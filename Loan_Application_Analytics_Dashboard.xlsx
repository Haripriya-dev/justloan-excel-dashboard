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rip\Downloads\"/>
    </mc:Choice>
  </mc:AlternateContent>
  <xr:revisionPtr revIDLastSave="0" documentId="8_{9E5A9A16-EE3B-4060-A250-1FD559E7D0C5}" xr6:coauthVersionLast="47" xr6:coauthVersionMax="47" xr10:uidLastSave="{00000000-0000-0000-0000-000000000000}"/>
  <bookViews>
    <workbookView xWindow="0" yWindow="225" windowWidth="19650" windowHeight="15195" activeTab="2" xr2:uid="{00000000-000D-0000-FFFF-FFFF00000000}"/>
  </bookViews>
  <sheets>
    <sheet name="Pivot Tables" sheetId="4" r:id="rId1"/>
    <sheet name="Worked JustLoan dataset" sheetId="1" r:id="rId2"/>
    <sheet name="Dashbord" sheetId="3" r:id="rId3"/>
    <sheet name="Sheet1" sheetId="6" r:id="rId4"/>
    <sheet name="Results" sheetId="2" r:id="rId5"/>
  </sheets>
  <definedNames>
    <definedName name="_xlcn.WorksheetConnection_JustLoandataset2.xlsxTable21" hidden="1">Table2[]</definedName>
    <definedName name="_xlcn.WorksheetConnection_JustLoandataset2version1.xlsb.xlsxTable11" hidden="1">Table1</definedName>
    <definedName name="Slicer_Department1">#N/A</definedName>
    <definedName name="Slicer_Designation1">#N/A</definedName>
    <definedName name="Slicer_Loan_Type">#N/A</definedName>
    <definedName name="Timeline_Loan_Application_Date">#N/A</definedName>
  </definedNames>
  <calcPr calcId="191029"/>
  <pivotCaches>
    <pivotCache cacheId="382" r:id="rId6"/>
    <pivotCache cacheId="391" r:id="rId7"/>
  </pivotCaches>
  <extLst>
    <ext xmlns:x14="http://schemas.microsoft.com/office/spreadsheetml/2009/9/main" uri="{876F7934-8845-4945-9796-88D515C7AA90}">
      <x14:pivotCaches>
        <pivotCache cacheId="92"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841E416B-1EF1-43b6-AB56-02D37102CBD5}">
      <x15:pivotCaches>
        <pivotCache cacheId="394" r:id="rId12"/>
        <pivotCache cacheId="397" r:id="rId13"/>
        <pivotCache cacheId="400" r:id="rId14"/>
        <pivotCache cacheId="403" r:id="rId15"/>
        <pivotCache cacheId="406" r:id="rId16"/>
      </x15:pivotCaches>
    </ext>
    <ext xmlns:x15="http://schemas.microsoft.com/office/spreadsheetml/2010/11/main" uri="{983426D0-5260-488c-9760-48F4B6AC55F4}">
      <x15:pivotTableReferences>
        <x15:pivotTableReference r:id="rId17"/>
        <x15:pivotTableReference r:id="rId18"/>
        <x15:pivotTableReference r:id="rId19"/>
        <x15:pivotTableReference r:id="rId20"/>
        <x15:pivotTableReference r:id="rId21"/>
      </x15:pivotTableReferences>
    </ext>
    <ext xmlns:x15="http://schemas.microsoft.com/office/spreadsheetml/2010/11/main" uri="{A2CB5862-8E78-49c6-8D9D-AF26E26ADB89}">
      <x15:timelineCachePivotCaches>
        <pivotCache cacheId="407"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FCE2AD5D-F65C-4FA6-A056-5C36A1767C68}">
      <x15:dataModel>
        <x15:modelTables>
          <x15:modelTable id="Table2" name="Table2" connection="WorksheetConnection_JustLoan dataset (2).xlsx!Table2"/>
          <x15:modelTable id="Table1" name="Table1" connection="WorksheetConnection_JustLoan dataset (2) (version 1).xlsb.xlsx!Table1"/>
        </x15:modelTables>
        <x15:extLst>
          <ext xmlns:x16="http://schemas.microsoft.com/office/spreadsheetml/2014/11/main" uri="{9835A34E-60A6-4A7C-AAB8-D5F71C897F49}">
            <x16:modelTimeGroupings>
              <x16:modelTimeGrouping tableName="Table2" columnName="Loan Application Date" columnId="Loan Application Date">
                <x16:calculatedTimeColumn columnName="Loan Application Date (Month Index)" columnId="Loan Application Date (Month Index)" contentType="monthsindex" isSelected="1"/>
                <x16:calculatedTimeColumn columnName="Loan Application Date (Month)" columnId="Loan Applica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B23" i="2"/>
  <c r="B18" i="2" a="1"/>
  <c r="B18" i="2" s="1"/>
  <c r="B11" i="2" a="1"/>
  <c r="B12" i="2" s="1"/>
  <c r="B7" i="2"/>
  <c r="K4" i="3"/>
  <c r="H4" i="3"/>
  <c r="E4" i="3"/>
  <c r="P1096" i="1" a="1"/>
  <c r="P1096" i="1" s="1"/>
  <c r="O1096" i="1"/>
  <c r="O1096" i="1" a="1"/>
  <c r="N1096" i="1"/>
  <c r="M1096" i="1"/>
  <c r="L1096" i="1"/>
  <c r="E1096" i="1"/>
  <c r="D1096" i="1"/>
  <c r="P1095" i="1" a="1"/>
  <c r="P1095" i="1" s="1"/>
  <c r="O1095" i="1" a="1"/>
  <c r="O1095" i="1" s="1"/>
  <c r="M1095" i="1"/>
  <c r="L1095" i="1"/>
  <c r="N1095" i="1" s="1"/>
  <c r="E1095" i="1"/>
  <c r="D1095" i="1"/>
  <c r="P1094" i="1"/>
  <c r="P1094" i="1" a="1"/>
  <c r="O1094" i="1"/>
  <c r="O1094" i="1" a="1"/>
  <c r="N1094" i="1"/>
  <c r="M1094" i="1"/>
  <c r="L1094" i="1"/>
  <c r="E1094" i="1"/>
  <c r="D1094" i="1"/>
  <c r="P1093" i="1" a="1"/>
  <c r="P1093" i="1" s="1"/>
  <c r="O1093" i="1" a="1"/>
  <c r="O1093" i="1" s="1"/>
  <c r="N1093" i="1"/>
  <c r="M1093" i="1"/>
  <c r="L1093" i="1"/>
  <c r="E1093" i="1"/>
  <c r="D1093" i="1"/>
  <c r="P1092" i="1"/>
  <c r="P1092" i="1" a="1"/>
  <c r="O1092" i="1" a="1"/>
  <c r="O1092" i="1" s="1"/>
  <c r="M1092" i="1"/>
  <c r="L1092" i="1"/>
  <c r="N1092" i="1" s="1"/>
  <c r="E1092" i="1"/>
  <c r="D1092" i="1"/>
  <c r="P1091" i="1" a="1"/>
  <c r="P1091" i="1" s="1"/>
  <c r="O1091" i="1"/>
  <c r="O1091" i="1" a="1"/>
  <c r="M1091" i="1"/>
  <c r="L1091" i="1"/>
  <c r="N1091" i="1" s="1"/>
  <c r="E1091" i="1"/>
  <c r="D1091" i="1"/>
  <c r="P1090" i="1" a="1"/>
  <c r="P1090" i="1" s="1"/>
  <c r="O1090" i="1"/>
  <c r="O1090" i="1" a="1"/>
  <c r="N1090" i="1"/>
  <c r="M1090" i="1"/>
  <c r="L1090" i="1"/>
  <c r="E1090" i="1"/>
  <c r="D1090" i="1"/>
  <c r="P1089" i="1"/>
  <c r="P1089" i="1" a="1"/>
  <c r="O1089" i="1" a="1"/>
  <c r="O1089" i="1" s="1"/>
  <c r="M1089" i="1"/>
  <c r="L1089" i="1"/>
  <c r="N1089" i="1" s="1"/>
  <c r="E1089" i="1"/>
  <c r="D1089" i="1"/>
  <c r="P1088" i="1"/>
  <c r="P1088" i="1" a="1"/>
  <c r="O1088" i="1"/>
  <c r="O1088" i="1" a="1"/>
  <c r="N1088" i="1"/>
  <c r="M1088" i="1"/>
  <c r="L1088" i="1"/>
  <c r="E1088" i="1"/>
  <c r="D1088" i="1"/>
  <c r="P1087" i="1" a="1"/>
  <c r="P1087" i="1" s="1"/>
  <c r="O1087" i="1" a="1"/>
  <c r="O1087" i="1" s="1"/>
  <c r="M1087" i="1"/>
  <c r="L1087" i="1"/>
  <c r="N1087" i="1" s="1"/>
  <c r="E1087" i="1"/>
  <c r="D1087" i="1"/>
  <c r="P1086" i="1"/>
  <c r="P1086" i="1" a="1"/>
  <c r="O1086" i="1"/>
  <c r="O1086" i="1" a="1"/>
  <c r="N1086" i="1"/>
  <c r="M1086" i="1"/>
  <c r="L1086" i="1"/>
  <c r="E1086" i="1"/>
  <c r="D1086" i="1"/>
  <c r="P1085" i="1" a="1"/>
  <c r="P1085" i="1" s="1"/>
  <c r="O1085" i="1" a="1"/>
  <c r="O1085" i="1" s="1"/>
  <c r="N1085" i="1"/>
  <c r="M1085" i="1"/>
  <c r="L1085" i="1"/>
  <c r="E1085" i="1"/>
  <c r="D1085" i="1"/>
  <c r="P1084" i="1"/>
  <c r="P1084" i="1" a="1"/>
  <c r="O1084" i="1" a="1"/>
  <c r="O1084" i="1" s="1"/>
  <c r="M1084" i="1"/>
  <c r="L1084" i="1"/>
  <c r="N1084" i="1" s="1"/>
  <c r="E1084" i="1"/>
  <c r="D1084" i="1"/>
  <c r="P1083" i="1" a="1"/>
  <c r="P1083" i="1" s="1"/>
  <c r="O1083" i="1"/>
  <c r="O1083" i="1" a="1"/>
  <c r="M1083" i="1"/>
  <c r="L1083" i="1"/>
  <c r="N1083" i="1" s="1"/>
  <c r="E1083" i="1"/>
  <c r="D1083" i="1"/>
  <c r="P1082" i="1" a="1"/>
  <c r="P1082" i="1" s="1"/>
  <c r="O1082" i="1"/>
  <c r="O1082" i="1" a="1"/>
  <c r="N1082" i="1"/>
  <c r="M1082" i="1"/>
  <c r="L1082" i="1"/>
  <c r="E1082" i="1"/>
  <c r="D1082" i="1"/>
  <c r="P1081" i="1"/>
  <c r="P1081" i="1" a="1"/>
  <c r="O1081" i="1" a="1"/>
  <c r="O1081" i="1" s="1"/>
  <c r="M1081" i="1"/>
  <c r="L1081" i="1"/>
  <c r="N1081" i="1" s="1"/>
  <c r="E1081" i="1"/>
  <c r="D1081" i="1"/>
  <c r="P1080" i="1" a="1"/>
  <c r="P1080" i="1" s="1"/>
  <c r="O1080" i="1"/>
  <c r="O1080" i="1" a="1"/>
  <c r="N1080" i="1"/>
  <c r="M1080" i="1"/>
  <c r="L1080" i="1"/>
  <c r="E1080" i="1"/>
  <c r="D1080" i="1"/>
  <c r="P1079" i="1" a="1"/>
  <c r="P1079" i="1" s="1"/>
  <c r="O1079" i="1" a="1"/>
  <c r="O1079" i="1" s="1"/>
  <c r="M1079" i="1"/>
  <c r="L1079" i="1"/>
  <c r="N1079" i="1" s="1"/>
  <c r="E1079" i="1"/>
  <c r="D1079" i="1"/>
  <c r="P1078" i="1"/>
  <c r="P1078" i="1" a="1"/>
  <c r="O1078" i="1"/>
  <c r="O1078" i="1" a="1"/>
  <c r="N1078" i="1"/>
  <c r="M1078" i="1"/>
  <c r="L1078" i="1"/>
  <c r="E1078" i="1"/>
  <c r="D1078" i="1"/>
  <c r="P1077" i="1" a="1"/>
  <c r="P1077" i="1" s="1"/>
  <c r="O1077" i="1" a="1"/>
  <c r="O1077" i="1" s="1"/>
  <c r="N1077" i="1"/>
  <c r="M1077" i="1"/>
  <c r="L1077" i="1"/>
  <c r="E1077" i="1"/>
  <c r="D1077" i="1"/>
  <c r="P1076" i="1"/>
  <c r="P1076" i="1" a="1"/>
  <c r="O1076" i="1" a="1"/>
  <c r="O1076" i="1" s="1"/>
  <c r="M1076" i="1"/>
  <c r="L1076" i="1"/>
  <c r="N1076" i="1" s="1"/>
  <c r="E1076" i="1"/>
  <c r="D1076" i="1"/>
  <c r="P1075" i="1" a="1"/>
  <c r="P1075" i="1" s="1"/>
  <c r="O1075" i="1"/>
  <c r="O1075" i="1" a="1"/>
  <c r="M1075" i="1"/>
  <c r="L1075" i="1"/>
  <c r="N1075" i="1" s="1"/>
  <c r="E1075" i="1"/>
  <c r="D1075" i="1"/>
  <c r="P1074" i="1" a="1"/>
  <c r="P1074" i="1" s="1"/>
  <c r="O1074" i="1" a="1"/>
  <c r="O1074" i="1" s="1"/>
  <c r="N1074" i="1"/>
  <c r="M1074" i="1"/>
  <c r="L1074" i="1"/>
  <c r="E1074" i="1"/>
  <c r="D1074" i="1"/>
  <c r="P1073" i="1"/>
  <c r="P1073" i="1" a="1"/>
  <c r="O1073" i="1" a="1"/>
  <c r="O1073" i="1" s="1"/>
  <c r="M1073" i="1"/>
  <c r="L1073" i="1"/>
  <c r="N1073" i="1" s="1"/>
  <c r="E1073" i="1"/>
  <c r="D1073" i="1"/>
  <c r="P1072" i="1" a="1"/>
  <c r="P1072" i="1" s="1"/>
  <c r="O1072" i="1"/>
  <c r="O1072" i="1" a="1"/>
  <c r="N1072" i="1"/>
  <c r="M1072" i="1"/>
  <c r="L1072" i="1"/>
  <c r="E1072" i="1"/>
  <c r="D1072" i="1"/>
  <c r="P1071" i="1" a="1"/>
  <c r="P1071" i="1" s="1"/>
  <c r="O1071" i="1" a="1"/>
  <c r="O1071" i="1" s="1"/>
  <c r="M1071" i="1"/>
  <c r="L1071" i="1"/>
  <c r="N1071" i="1" s="1"/>
  <c r="E1071" i="1"/>
  <c r="D1071" i="1"/>
  <c r="P1070" i="1"/>
  <c r="P1070" i="1" a="1"/>
  <c r="O1070" i="1"/>
  <c r="O1070" i="1" a="1"/>
  <c r="N1070" i="1"/>
  <c r="M1070" i="1"/>
  <c r="L1070" i="1"/>
  <c r="E1070" i="1"/>
  <c r="D1070" i="1"/>
  <c r="P1069" i="1" a="1"/>
  <c r="P1069" i="1" s="1"/>
  <c r="O1069" i="1" a="1"/>
  <c r="O1069" i="1" s="1"/>
  <c r="N1069" i="1"/>
  <c r="M1069" i="1"/>
  <c r="L1069" i="1"/>
  <c r="E1069" i="1"/>
  <c r="D1069" i="1"/>
  <c r="P1068" i="1"/>
  <c r="P1068" i="1" a="1"/>
  <c r="O1068" i="1" a="1"/>
  <c r="O1068" i="1" s="1"/>
  <c r="M1068" i="1"/>
  <c r="L1068" i="1"/>
  <c r="N1068" i="1" s="1"/>
  <c r="E1068" i="1"/>
  <c r="D1068" i="1"/>
  <c r="P1067" i="1" a="1"/>
  <c r="P1067" i="1" s="1"/>
  <c r="O1067" i="1"/>
  <c r="O1067" i="1" a="1"/>
  <c r="M1067" i="1"/>
  <c r="L1067" i="1"/>
  <c r="N1067" i="1" s="1"/>
  <c r="E1067" i="1"/>
  <c r="D1067" i="1"/>
  <c r="P1066" i="1" a="1"/>
  <c r="P1066" i="1" s="1"/>
  <c r="O1066" i="1"/>
  <c r="O1066" i="1" a="1"/>
  <c r="N1066" i="1"/>
  <c r="M1066" i="1"/>
  <c r="L1066" i="1"/>
  <c r="E1066" i="1"/>
  <c r="D1066" i="1"/>
  <c r="P1065" i="1"/>
  <c r="P1065" i="1" a="1"/>
  <c r="O1065" i="1" a="1"/>
  <c r="O1065" i="1" s="1"/>
  <c r="M1065" i="1"/>
  <c r="L1065" i="1"/>
  <c r="N1065" i="1" s="1"/>
  <c r="E1065" i="1"/>
  <c r="D1065" i="1"/>
  <c r="P1064" i="1" a="1"/>
  <c r="P1064" i="1" s="1"/>
  <c r="O1064" i="1"/>
  <c r="O1064" i="1" a="1"/>
  <c r="N1064" i="1"/>
  <c r="M1064" i="1"/>
  <c r="L1064" i="1"/>
  <c r="E1064" i="1"/>
  <c r="D1064" i="1"/>
  <c r="P1063" i="1" a="1"/>
  <c r="P1063" i="1" s="1"/>
  <c r="O1063" i="1" a="1"/>
  <c r="O1063" i="1" s="1"/>
  <c r="M1063" i="1"/>
  <c r="L1063" i="1"/>
  <c r="N1063" i="1" s="1"/>
  <c r="E1063" i="1"/>
  <c r="D1063" i="1"/>
  <c r="P1062" i="1"/>
  <c r="P1062" i="1" a="1"/>
  <c r="O1062" i="1"/>
  <c r="O1062" i="1" a="1"/>
  <c r="N1062" i="1"/>
  <c r="M1062" i="1"/>
  <c r="L1062" i="1"/>
  <c r="E1062" i="1"/>
  <c r="D1062" i="1"/>
  <c r="P1061" i="1" a="1"/>
  <c r="P1061" i="1" s="1"/>
  <c r="O1061" i="1" a="1"/>
  <c r="O1061" i="1" s="1"/>
  <c r="N1061" i="1"/>
  <c r="M1061" i="1"/>
  <c r="L1061" i="1"/>
  <c r="E1061" i="1"/>
  <c r="D1061" i="1"/>
  <c r="P1060" i="1"/>
  <c r="P1060" i="1" a="1"/>
  <c r="O1060" i="1" a="1"/>
  <c r="O1060" i="1" s="1"/>
  <c r="M1060" i="1"/>
  <c r="L1060" i="1"/>
  <c r="N1060" i="1" s="1"/>
  <c r="E1060" i="1"/>
  <c r="D1060" i="1"/>
  <c r="P1059" i="1" a="1"/>
  <c r="P1059" i="1" s="1"/>
  <c r="O1059" i="1"/>
  <c r="O1059" i="1" a="1"/>
  <c r="M1059" i="1"/>
  <c r="L1059" i="1"/>
  <c r="N1059" i="1" s="1"/>
  <c r="E1059" i="1"/>
  <c r="D1059" i="1"/>
  <c r="P1058" i="1" a="1"/>
  <c r="P1058" i="1" s="1"/>
  <c r="O1058" i="1" a="1"/>
  <c r="O1058" i="1" s="1"/>
  <c r="N1058" i="1"/>
  <c r="M1058" i="1"/>
  <c r="L1058" i="1"/>
  <c r="E1058" i="1"/>
  <c r="D1058" i="1"/>
  <c r="P1057" i="1"/>
  <c r="P1057" i="1" a="1"/>
  <c r="O1057" i="1" a="1"/>
  <c r="O1057" i="1" s="1"/>
  <c r="M1057" i="1"/>
  <c r="L1057" i="1"/>
  <c r="N1057" i="1" s="1"/>
  <c r="E1057" i="1"/>
  <c r="D1057" i="1"/>
  <c r="P1056" i="1" a="1"/>
  <c r="P1056" i="1" s="1"/>
  <c r="O1056" i="1"/>
  <c r="O1056" i="1" a="1"/>
  <c r="N1056" i="1"/>
  <c r="M1056" i="1"/>
  <c r="L1056" i="1"/>
  <c r="E1056" i="1"/>
  <c r="D1056" i="1"/>
  <c r="P1055" i="1" a="1"/>
  <c r="P1055" i="1" s="1"/>
  <c r="O1055" i="1" a="1"/>
  <c r="O1055" i="1" s="1"/>
  <c r="M1055" i="1"/>
  <c r="L1055" i="1"/>
  <c r="N1055" i="1" s="1"/>
  <c r="E1055" i="1"/>
  <c r="D1055" i="1"/>
  <c r="P1054" i="1"/>
  <c r="P1054" i="1" a="1"/>
  <c r="O1054" i="1"/>
  <c r="O1054" i="1" a="1"/>
  <c r="N1054" i="1"/>
  <c r="M1054" i="1"/>
  <c r="L1054" i="1"/>
  <c r="E1054" i="1"/>
  <c r="D1054" i="1"/>
  <c r="P1053" i="1" a="1"/>
  <c r="P1053" i="1" s="1"/>
  <c r="O1053" i="1" a="1"/>
  <c r="O1053" i="1" s="1"/>
  <c r="N1053" i="1"/>
  <c r="M1053" i="1"/>
  <c r="L1053" i="1"/>
  <c r="E1053" i="1"/>
  <c r="D1053" i="1"/>
  <c r="P1052" i="1"/>
  <c r="P1052" i="1" a="1"/>
  <c r="O1052" i="1" a="1"/>
  <c r="O1052" i="1" s="1"/>
  <c r="M1052" i="1"/>
  <c r="L1052" i="1"/>
  <c r="N1052" i="1" s="1"/>
  <c r="E1052" i="1"/>
  <c r="D1052" i="1"/>
  <c r="P1051" i="1" a="1"/>
  <c r="P1051" i="1" s="1"/>
  <c r="O1051" i="1"/>
  <c r="O1051" i="1" a="1"/>
  <c r="M1051" i="1"/>
  <c r="L1051" i="1"/>
  <c r="N1051" i="1" s="1"/>
  <c r="E1051" i="1"/>
  <c r="D1051" i="1"/>
  <c r="P1050" i="1" a="1"/>
  <c r="P1050" i="1" s="1"/>
  <c r="O1050" i="1" a="1"/>
  <c r="O1050" i="1" s="1"/>
  <c r="N1050" i="1"/>
  <c r="M1050" i="1"/>
  <c r="L1050" i="1"/>
  <c r="E1050" i="1"/>
  <c r="D1050" i="1"/>
  <c r="P1049" i="1"/>
  <c r="P1049" i="1" a="1"/>
  <c r="O1049" i="1" a="1"/>
  <c r="O1049" i="1" s="1"/>
  <c r="M1049" i="1"/>
  <c r="L1049" i="1"/>
  <c r="N1049" i="1" s="1"/>
  <c r="E1049" i="1"/>
  <c r="D1049" i="1"/>
  <c r="P1048" i="1" a="1"/>
  <c r="P1048" i="1" s="1"/>
  <c r="O1048" i="1"/>
  <c r="O1048" i="1" a="1"/>
  <c r="N1048" i="1"/>
  <c r="M1048" i="1"/>
  <c r="L1048" i="1"/>
  <c r="E1048" i="1"/>
  <c r="D1048" i="1"/>
  <c r="P1047" i="1" a="1"/>
  <c r="P1047" i="1" s="1"/>
  <c r="O1047" i="1" a="1"/>
  <c r="O1047" i="1" s="1"/>
  <c r="M1047" i="1"/>
  <c r="L1047" i="1"/>
  <c r="N1047" i="1" s="1"/>
  <c r="E1047" i="1"/>
  <c r="D1047" i="1"/>
  <c r="P1046" i="1"/>
  <c r="P1046" i="1" a="1"/>
  <c r="O1046" i="1"/>
  <c r="O1046" i="1" a="1"/>
  <c r="N1046" i="1"/>
  <c r="M1046" i="1"/>
  <c r="L1046" i="1"/>
  <c r="E1046" i="1"/>
  <c r="D1046" i="1"/>
  <c r="P1045" i="1" a="1"/>
  <c r="P1045" i="1" s="1"/>
  <c r="O1045" i="1" a="1"/>
  <c r="O1045" i="1" s="1"/>
  <c r="N1045" i="1"/>
  <c r="M1045" i="1"/>
  <c r="L1045" i="1"/>
  <c r="E1045" i="1"/>
  <c r="D1045" i="1"/>
  <c r="P1044" i="1"/>
  <c r="P1044" i="1" a="1"/>
  <c r="O1044" i="1" a="1"/>
  <c r="O1044" i="1" s="1"/>
  <c r="M1044" i="1"/>
  <c r="L1044" i="1"/>
  <c r="N1044" i="1" s="1"/>
  <c r="E1044" i="1"/>
  <c r="D1044" i="1"/>
  <c r="P1043" i="1" a="1"/>
  <c r="P1043" i="1" s="1"/>
  <c r="O1043" i="1"/>
  <c r="O1043" i="1" a="1"/>
  <c r="M1043" i="1"/>
  <c r="L1043" i="1"/>
  <c r="N1043" i="1" s="1"/>
  <c r="E1043" i="1"/>
  <c r="D1043" i="1"/>
  <c r="P1042" i="1" a="1"/>
  <c r="P1042" i="1" s="1"/>
  <c r="O1042" i="1" a="1"/>
  <c r="O1042" i="1" s="1"/>
  <c r="N1042" i="1"/>
  <c r="M1042" i="1"/>
  <c r="L1042" i="1"/>
  <c r="E1042" i="1"/>
  <c r="D1042" i="1"/>
  <c r="P1041" i="1"/>
  <c r="P1041" i="1" a="1"/>
  <c r="O1041" i="1" a="1"/>
  <c r="O1041" i="1" s="1"/>
  <c r="M1041" i="1"/>
  <c r="L1041" i="1"/>
  <c r="N1041" i="1" s="1"/>
  <c r="E1041" i="1"/>
  <c r="D1041" i="1"/>
  <c r="P1040" i="1" a="1"/>
  <c r="P1040" i="1" s="1"/>
  <c r="O1040" i="1"/>
  <c r="O1040" i="1" a="1"/>
  <c r="N1040" i="1"/>
  <c r="M1040" i="1"/>
  <c r="L1040" i="1"/>
  <c r="E1040" i="1"/>
  <c r="D1040" i="1"/>
  <c r="P1039" i="1" a="1"/>
  <c r="P1039" i="1" s="1"/>
  <c r="O1039" i="1" a="1"/>
  <c r="O1039" i="1" s="1"/>
  <c r="M1039" i="1"/>
  <c r="L1039" i="1"/>
  <c r="N1039" i="1" s="1"/>
  <c r="E1039" i="1"/>
  <c r="D1039" i="1"/>
  <c r="P1038" i="1"/>
  <c r="P1038" i="1" a="1"/>
  <c r="O1038" i="1"/>
  <c r="O1038" i="1" a="1"/>
  <c r="N1038" i="1"/>
  <c r="M1038" i="1"/>
  <c r="L1038" i="1"/>
  <c r="E1038" i="1"/>
  <c r="D1038" i="1"/>
  <c r="P1037" i="1" a="1"/>
  <c r="P1037" i="1" s="1"/>
  <c r="O1037" i="1" a="1"/>
  <c r="O1037" i="1" s="1"/>
  <c r="N1037" i="1"/>
  <c r="M1037" i="1"/>
  <c r="L1037" i="1"/>
  <c r="E1037" i="1"/>
  <c r="D1037" i="1"/>
  <c r="P1036" i="1"/>
  <c r="P1036" i="1" a="1"/>
  <c r="O1036" i="1" a="1"/>
  <c r="O1036" i="1" s="1"/>
  <c r="M1036" i="1"/>
  <c r="L1036" i="1"/>
  <c r="N1036" i="1" s="1"/>
  <c r="E1036" i="1"/>
  <c r="D1036" i="1"/>
  <c r="P1035" i="1" a="1"/>
  <c r="P1035" i="1" s="1"/>
  <c r="O1035" i="1"/>
  <c r="O1035" i="1" a="1"/>
  <c r="M1035" i="1"/>
  <c r="L1035" i="1"/>
  <c r="N1035" i="1" s="1"/>
  <c r="E1035" i="1"/>
  <c r="D1035" i="1"/>
  <c r="P1034" i="1" a="1"/>
  <c r="P1034" i="1" s="1"/>
  <c r="O1034" i="1" a="1"/>
  <c r="O1034" i="1" s="1"/>
  <c r="N1034" i="1"/>
  <c r="M1034" i="1"/>
  <c r="L1034" i="1"/>
  <c r="E1034" i="1"/>
  <c r="D1034" i="1"/>
  <c r="P1033" i="1"/>
  <c r="P1033" i="1" a="1"/>
  <c r="O1033" i="1" a="1"/>
  <c r="O1033" i="1" s="1"/>
  <c r="M1033" i="1"/>
  <c r="L1033" i="1"/>
  <c r="N1033" i="1" s="1"/>
  <c r="E1033" i="1"/>
  <c r="D1033" i="1"/>
  <c r="P1032" i="1" a="1"/>
  <c r="P1032" i="1" s="1"/>
  <c r="O1032" i="1"/>
  <c r="O1032" i="1" a="1"/>
  <c r="N1032" i="1"/>
  <c r="M1032" i="1"/>
  <c r="L1032" i="1"/>
  <c r="E1032" i="1"/>
  <c r="D1032" i="1"/>
  <c r="P1031" i="1" a="1"/>
  <c r="P1031" i="1" s="1"/>
  <c r="O1031" i="1" a="1"/>
  <c r="O1031" i="1" s="1"/>
  <c r="M1031" i="1"/>
  <c r="L1031" i="1"/>
  <c r="N1031" i="1" s="1"/>
  <c r="E1031" i="1"/>
  <c r="D1031" i="1"/>
  <c r="P1030" i="1"/>
  <c r="P1030" i="1" a="1"/>
  <c r="O1030" i="1"/>
  <c r="O1030" i="1" a="1"/>
  <c r="N1030" i="1"/>
  <c r="M1030" i="1"/>
  <c r="L1030" i="1"/>
  <c r="E1030" i="1"/>
  <c r="D1030" i="1"/>
  <c r="P1029" i="1" a="1"/>
  <c r="P1029" i="1" s="1"/>
  <c r="O1029" i="1" a="1"/>
  <c r="O1029" i="1" s="1"/>
  <c r="N1029" i="1"/>
  <c r="M1029" i="1"/>
  <c r="L1029" i="1"/>
  <c r="E1029" i="1"/>
  <c r="D1029" i="1"/>
  <c r="P1028" i="1"/>
  <c r="P1028" i="1" a="1"/>
  <c r="O1028" i="1" a="1"/>
  <c r="O1028" i="1" s="1"/>
  <c r="M1028" i="1"/>
  <c r="L1028" i="1"/>
  <c r="N1028" i="1" s="1"/>
  <c r="E1028" i="1"/>
  <c r="D1028" i="1"/>
  <c r="P1027" i="1" a="1"/>
  <c r="P1027" i="1" s="1"/>
  <c r="O1027" i="1"/>
  <c r="O1027" i="1" a="1"/>
  <c r="M1027" i="1"/>
  <c r="L1027" i="1"/>
  <c r="N1027" i="1" s="1"/>
  <c r="E1027" i="1"/>
  <c r="D1027" i="1"/>
  <c r="P1026" i="1" a="1"/>
  <c r="P1026" i="1" s="1"/>
  <c r="O1026" i="1" a="1"/>
  <c r="O1026" i="1" s="1"/>
  <c r="N1026" i="1"/>
  <c r="M1026" i="1"/>
  <c r="L1026" i="1"/>
  <c r="E1026" i="1"/>
  <c r="D1026" i="1"/>
  <c r="P1025" i="1"/>
  <c r="P1025" i="1" a="1"/>
  <c r="O1025" i="1" a="1"/>
  <c r="O1025" i="1" s="1"/>
  <c r="N1025" i="1"/>
  <c r="M1025" i="1"/>
  <c r="L1025" i="1"/>
  <c r="E1025" i="1"/>
  <c r="D1025" i="1"/>
  <c r="P1024" i="1" a="1"/>
  <c r="P1024" i="1" s="1"/>
  <c r="O1024" i="1"/>
  <c r="O1024" i="1" a="1"/>
  <c r="N1024" i="1"/>
  <c r="M1024" i="1"/>
  <c r="L1024" i="1"/>
  <c r="E1024" i="1"/>
  <c r="D1024" i="1"/>
  <c r="P1023" i="1" a="1"/>
  <c r="P1023" i="1" s="1"/>
  <c r="O1023" i="1" a="1"/>
  <c r="O1023" i="1" s="1"/>
  <c r="M1023" i="1"/>
  <c r="L1023" i="1"/>
  <c r="N1023" i="1" s="1"/>
  <c r="E1023" i="1"/>
  <c r="D1023" i="1"/>
  <c r="P1022" i="1"/>
  <c r="P1022" i="1" a="1"/>
  <c r="O1022" i="1"/>
  <c r="O1022" i="1" a="1"/>
  <c r="N1022" i="1"/>
  <c r="M1022" i="1"/>
  <c r="L1022" i="1"/>
  <c r="E1022" i="1"/>
  <c r="D1022" i="1"/>
  <c r="P1021" i="1" a="1"/>
  <c r="P1021" i="1" s="1"/>
  <c r="O1021" i="1" a="1"/>
  <c r="O1021" i="1" s="1"/>
  <c r="N1021" i="1"/>
  <c r="M1021" i="1"/>
  <c r="L1021" i="1"/>
  <c r="E1021" i="1"/>
  <c r="D1021" i="1"/>
  <c r="P1020" i="1"/>
  <c r="P1020" i="1" a="1"/>
  <c r="O1020" i="1" a="1"/>
  <c r="O1020" i="1" s="1"/>
  <c r="M1020" i="1"/>
  <c r="L1020" i="1"/>
  <c r="N1020" i="1" s="1"/>
  <c r="E1020" i="1"/>
  <c r="D1020" i="1"/>
  <c r="P1019" i="1" a="1"/>
  <c r="P1019" i="1" s="1"/>
  <c r="O1019" i="1"/>
  <c r="O1019" i="1" a="1"/>
  <c r="M1019" i="1"/>
  <c r="L1019" i="1"/>
  <c r="N1019" i="1" s="1"/>
  <c r="E1019" i="1"/>
  <c r="D1019" i="1"/>
  <c r="P1018" i="1" a="1"/>
  <c r="P1018" i="1" s="1"/>
  <c r="O1018" i="1" a="1"/>
  <c r="O1018" i="1" s="1"/>
  <c r="N1018" i="1"/>
  <c r="M1018" i="1"/>
  <c r="L1018" i="1"/>
  <c r="E1018" i="1"/>
  <c r="D1018" i="1"/>
  <c r="P1017" i="1"/>
  <c r="P1017" i="1" a="1"/>
  <c r="O1017" i="1" a="1"/>
  <c r="O1017" i="1" s="1"/>
  <c r="N1017" i="1"/>
  <c r="M1017" i="1"/>
  <c r="L1017" i="1"/>
  <c r="E1017" i="1"/>
  <c r="D1017" i="1"/>
  <c r="P1016" i="1" a="1"/>
  <c r="P1016" i="1" s="1"/>
  <c r="O1016" i="1"/>
  <c r="O1016" i="1" a="1"/>
  <c r="N1016" i="1"/>
  <c r="M1016" i="1"/>
  <c r="L1016" i="1"/>
  <c r="E1016" i="1"/>
  <c r="D1016" i="1"/>
  <c r="P1015" i="1" a="1"/>
  <c r="P1015" i="1" s="1"/>
  <c r="O1015" i="1" a="1"/>
  <c r="O1015" i="1" s="1"/>
  <c r="M1015" i="1"/>
  <c r="L1015" i="1"/>
  <c r="N1015" i="1" s="1"/>
  <c r="E1015" i="1"/>
  <c r="D1015" i="1"/>
  <c r="P1014" i="1"/>
  <c r="P1014" i="1" a="1"/>
  <c r="O1014" i="1"/>
  <c r="O1014" i="1" a="1"/>
  <c r="N1014" i="1"/>
  <c r="M1014" i="1"/>
  <c r="L1014" i="1"/>
  <c r="E1014" i="1"/>
  <c r="D1014" i="1"/>
  <c r="P1013" i="1" a="1"/>
  <c r="P1013" i="1" s="1"/>
  <c r="O1013" i="1" a="1"/>
  <c r="O1013" i="1" s="1"/>
  <c r="N1013" i="1"/>
  <c r="M1013" i="1"/>
  <c r="L1013" i="1"/>
  <c r="E1013" i="1"/>
  <c r="D1013" i="1"/>
  <c r="P1012" i="1"/>
  <c r="P1012" i="1" a="1"/>
  <c r="O1012" i="1" a="1"/>
  <c r="O1012" i="1" s="1"/>
  <c r="M1012" i="1"/>
  <c r="L1012" i="1"/>
  <c r="N1012" i="1" s="1"/>
  <c r="E1012" i="1"/>
  <c r="D1012" i="1"/>
  <c r="P1011" i="1" a="1"/>
  <c r="P1011" i="1" s="1"/>
  <c r="O1011" i="1"/>
  <c r="O1011" i="1" a="1"/>
  <c r="M1011" i="1"/>
  <c r="L1011" i="1"/>
  <c r="N1011" i="1" s="1"/>
  <c r="E1011" i="1"/>
  <c r="D1011" i="1"/>
  <c r="P1010" i="1" a="1"/>
  <c r="P1010" i="1" s="1"/>
  <c r="O1010" i="1" a="1"/>
  <c r="O1010" i="1" s="1"/>
  <c r="N1010" i="1"/>
  <c r="M1010" i="1"/>
  <c r="L1010" i="1"/>
  <c r="E1010" i="1"/>
  <c r="D1010" i="1"/>
  <c r="P1009" i="1"/>
  <c r="P1009" i="1" a="1"/>
  <c r="O1009" i="1" a="1"/>
  <c r="O1009" i="1" s="1"/>
  <c r="N1009" i="1"/>
  <c r="M1009" i="1"/>
  <c r="L1009" i="1"/>
  <c r="E1009" i="1"/>
  <c r="D1009" i="1"/>
  <c r="P1008" i="1" a="1"/>
  <c r="P1008" i="1" s="1"/>
  <c r="O1008" i="1"/>
  <c r="O1008" i="1" a="1"/>
  <c r="N1008" i="1"/>
  <c r="M1008" i="1"/>
  <c r="L1008" i="1"/>
  <c r="E1008" i="1"/>
  <c r="D1008" i="1"/>
  <c r="P1007" i="1" a="1"/>
  <c r="P1007" i="1" s="1"/>
  <c r="O1007" i="1" a="1"/>
  <c r="O1007" i="1" s="1"/>
  <c r="M1007" i="1"/>
  <c r="L1007" i="1"/>
  <c r="N1007" i="1" s="1"/>
  <c r="E1007" i="1"/>
  <c r="D1007" i="1"/>
  <c r="P1006" i="1"/>
  <c r="P1006" i="1" a="1"/>
  <c r="O1006" i="1"/>
  <c r="O1006" i="1" a="1"/>
  <c r="N1006" i="1"/>
  <c r="M1006" i="1"/>
  <c r="L1006" i="1"/>
  <c r="E1006" i="1"/>
  <c r="D1006" i="1"/>
  <c r="P1005" i="1" a="1"/>
  <c r="P1005" i="1" s="1"/>
  <c r="O1005" i="1" a="1"/>
  <c r="O1005" i="1" s="1"/>
  <c r="N1005" i="1"/>
  <c r="M1005" i="1"/>
  <c r="L1005" i="1"/>
  <c r="E1005" i="1"/>
  <c r="D1005" i="1"/>
  <c r="P1004" i="1"/>
  <c r="P1004" i="1" a="1"/>
  <c r="O1004" i="1" a="1"/>
  <c r="O1004" i="1" s="1"/>
  <c r="M1004" i="1"/>
  <c r="L1004" i="1"/>
  <c r="N1004" i="1" s="1"/>
  <c r="E1004" i="1"/>
  <c r="D1004" i="1"/>
  <c r="P1003" i="1" a="1"/>
  <c r="P1003" i="1" s="1"/>
  <c r="O1003" i="1"/>
  <c r="O1003" i="1" a="1"/>
  <c r="M1003" i="1"/>
  <c r="L1003" i="1"/>
  <c r="N1003" i="1" s="1"/>
  <c r="E1003" i="1"/>
  <c r="D1003" i="1"/>
  <c r="P1002" i="1" a="1"/>
  <c r="P1002" i="1" s="1"/>
  <c r="O1002" i="1" a="1"/>
  <c r="O1002" i="1" s="1"/>
  <c r="N1002" i="1"/>
  <c r="M1002" i="1"/>
  <c r="L1002" i="1"/>
  <c r="E1002" i="1"/>
  <c r="D1002" i="1"/>
  <c r="P1001" i="1"/>
  <c r="P1001" i="1" a="1"/>
  <c r="O1001" i="1" a="1"/>
  <c r="O1001" i="1" s="1"/>
  <c r="M1001" i="1"/>
  <c r="L1001" i="1"/>
  <c r="N1001" i="1" s="1"/>
  <c r="E1001" i="1"/>
  <c r="D1001" i="1"/>
  <c r="P1000" i="1" a="1"/>
  <c r="P1000" i="1" s="1"/>
  <c r="O1000" i="1"/>
  <c r="O1000" i="1" a="1"/>
  <c r="N1000" i="1"/>
  <c r="M1000" i="1"/>
  <c r="L1000" i="1"/>
  <c r="E1000" i="1"/>
  <c r="D1000" i="1"/>
  <c r="P999" i="1" a="1"/>
  <c r="P999" i="1" s="1"/>
  <c r="O999" i="1" a="1"/>
  <c r="O999" i="1" s="1"/>
  <c r="M999" i="1"/>
  <c r="L999" i="1"/>
  <c r="N999" i="1" s="1"/>
  <c r="E999" i="1"/>
  <c r="D999" i="1"/>
  <c r="P998" i="1"/>
  <c r="P998" i="1" a="1"/>
  <c r="O998" i="1"/>
  <c r="O998" i="1" a="1"/>
  <c r="N998" i="1"/>
  <c r="M998" i="1"/>
  <c r="L998" i="1"/>
  <c r="E998" i="1"/>
  <c r="D998" i="1"/>
  <c r="P997" i="1" a="1"/>
  <c r="P997" i="1" s="1"/>
  <c r="O997" i="1" a="1"/>
  <c r="O997" i="1" s="1"/>
  <c r="N997" i="1"/>
  <c r="M997" i="1"/>
  <c r="L997" i="1"/>
  <c r="E997" i="1"/>
  <c r="D997" i="1"/>
  <c r="P996" i="1"/>
  <c r="P996" i="1" a="1"/>
  <c r="O996" i="1" a="1"/>
  <c r="O996" i="1" s="1"/>
  <c r="M996" i="1"/>
  <c r="L996" i="1"/>
  <c r="N996" i="1" s="1"/>
  <c r="E996" i="1"/>
  <c r="D996" i="1"/>
  <c r="P995" i="1" a="1"/>
  <c r="P995" i="1" s="1"/>
  <c r="O995" i="1"/>
  <c r="O995" i="1" a="1"/>
  <c r="M995" i="1"/>
  <c r="L995" i="1"/>
  <c r="N995" i="1" s="1"/>
  <c r="E995" i="1"/>
  <c r="D995" i="1"/>
  <c r="P994" i="1" a="1"/>
  <c r="P994" i="1" s="1"/>
  <c r="O994" i="1" a="1"/>
  <c r="O994" i="1" s="1"/>
  <c r="N994" i="1"/>
  <c r="M994" i="1"/>
  <c r="L994" i="1"/>
  <c r="E994" i="1"/>
  <c r="D994" i="1"/>
  <c r="P993" i="1"/>
  <c r="P993" i="1" a="1"/>
  <c r="O993" i="1" a="1"/>
  <c r="O993" i="1" s="1"/>
  <c r="N993" i="1"/>
  <c r="M993" i="1"/>
  <c r="L993" i="1"/>
  <c r="E993" i="1"/>
  <c r="D993" i="1"/>
  <c r="P992" i="1" a="1"/>
  <c r="P992" i="1" s="1"/>
  <c r="O992" i="1"/>
  <c r="O992" i="1" a="1"/>
  <c r="N992" i="1"/>
  <c r="M992" i="1"/>
  <c r="L992" i="1"/>
  <c r="E992" i="1"/>
  <c r="D992" i="1"/>
  <c r="P991" i="1" a="1"/>
  <c r="P991" i="1" s="1"/>
  <c r="O991" i="1" a="1"/>
  <c r="O991" i="1" s="1"/>
  <c r="M991" i="1"/>
  <c r="L991" i="1"/>
  <c r="N991" i="1" s="1"/>
  <c r="E991" i="1"/>
  <c r="D991" i="1"/>
  <c r="P990" i="1"/>
  <c r="P990" i="1" a="1"/>
  <c r="O990" i="1"/>
  <c r="O990" i="1" a="1"/>
  <c r="N990" i="1"/>
  <c r="M990" i="1"/>
  <c r="L990" i="1"/>
  <c r="E990" i="1"/>
  <c r="D990" i="1"/>
  <c r="P989" i="1" a="1"/>
  <c r="P989" i="1" s="1"/>
  <c r="O989" i="1" a="1"/>
  <c r="O989" i="1" s="1"/>
  <c r="N989" i="1"/>
  <c r="M989" i="1"/>
  <c r="L989" i="1"/>
  <c r="E989" i="1"/>
  <c r="D989" i="1"/>
  <c r="P988" i="1"/>
  <c r="P988" i="1" a="1"/>
  <c r="O988" i="1" a="1"/>
  <c r="O988" i="1" s="1"/>
  <c r="M988" i="1"/>
  <c r="L988" i="1"/>
  <c r="N988" i="1" s="1"/>
  <c r="E988" i="1"/>
  <c r="D988" i="1"/>
  <c r="P987" i="1" a="1"/>
  <c r="P987" i="1" s="1"/>
  <c r="O987" i="1"/>
  <c r="O987" i="1" a="1"/>
  <c r="M987" i="1"/>
  <c r="L987" i="1"/>
  <c r="N987" i="1" s="1"/>
  <c r="E987" i="1"/>
  <c r="D987" i="1"/>
  <c r="P986" i="1" a="1"/>
  <c r="P986" i="1" s="1"/>
  <c r="O986" i="1" a="1"/>
  <c r="O986" i="1" s="1"/>
  <c r="N986" i="1"/>
  <c r="M986" i="1"/>
  <c r="L986" i="1"/>
  <c r="E986" i="1"/>
  <c r="D986" i="1"/>
  <c r="P985" i="1"/>
  <c r="P985" i="1" a="1"/>
  <c r="O985" i="1" a="1"/>
  <c r="O985" i="1" s="1"/>
  <c r="N985" i="1"/>
  <c r="M985" i="1"/>
  <c r="L985" i="1"/>
  <c r="E985" i="1"/>
  <c r="D985" i="1"/>
  <c r="P984" i="1" a="1"/>
  <c r="P984" i="1" s="1"/>
  <c r="O984" i="1"/>
  <c r="O984" i="1" a="1"/>
  <c r="N984" i="1"/>
  <c r="M984" i="1"/>
  <c r="L984" i="1"/>
  <c r="E984" i="1"/>
  <c r="D984" i="1"/>
  <c r="P983" i="1" a="1"/>
  <c r="P983" i="1" s="1"/>
  <c r="O983" i="1" a="1"/>
  <c r="O983" i="1" s="1"/>
  <c r="M983" i="1"/>
  <c r="L983" i="1"/>
  <c r="N983" i="1" s="1"/>
  <c r="E983" i="1"/>
  <c r="D983" i="1"/>
  <c r="P982" i="1"/>
  <c r="P982" i="1" a="1"/>
  <c r="O982" i="1"/>
  <c r="O982" i="1" a="1"/>
  <c r="N982" i="1"/>
  <c r="M982" i="1"/>
  <c r="L982" i="1"/>
  <c r="E982" i="1"/>
  <c r="D982" i="1"/>
  <c r="P981" i="1" a="1"/>
  <c r="P981" i="1" s="1"/>
  <c r="O981" i="1" a="1"/>
  <c r="O981" i="1" s="1"/>
  <c r="N981" i="1"/>
  <c r="M981" i="1"/>
  <c r="L981" i="1"/>
  <c r="E981" i="1"/>
  <c r="D981" i="1"/>
  <c r="P980" i="1"/>
  <c r="P980" i="1" a="1"/>
  <c r="O980" i="1" a="1"/>
  <c r="O980" i="1" s="1"/>
  <c r="M980" i="1"/>
  <c r="L980" i="1"/>
  <c r="N980" i="1" s="1"/>
  <c r="E980" i="1"/>
  <c r="D980" i="1"/>
  <c r="P979" i="1" a="1"/>
  <c r="P979" i="1" s="1"/>
  <c r="O979" i="1"/>
  <c r="O979" i="1" a="1"/>
  <c r="M979" i="1"/>
  <c r="L979" i="1"/>
  <c r="N979" i="1" s="1"/>
  <c r="E979" i="1"/>
  <c r="D979" i="1"/>
  <c r="P978" i="1" a="1"/>
  <c r="P978" i="1" s="1"/>
  <c r="O978" i="1" a="1"/>
  <c r="O978" i="1" s="1"/>
  <c r="N978" i="1"/>
  <c r="M978" i="1"/>
  <c r="L978" i="1"/>
  <c r="E978" i="1"/>
  <c r="D978" i="1"/>
  <c r="P977" i="1"/>
  <c r="P977" i="1" a="1"/>
  <c r="O977" i="1" a="1"/>
  <c r="O977" i="1" s="1"/>
  <c r="N977" i="1"/>
  <c r="M977" i="1"/>
  <c r="L977" i="1"/>
  <c r="E977" i="1"/>
  <c r="D977" i="1"/>
  <c r="P976" i="1"/>
  <c r="P976" i="1" a="1"/>
  <c r="O976" i="1"/>
  <c r="O976" i="1" a="1"/>
  <c r="N976" i="1"/>
  <c r="M976" i="1"/>
  <c r="L976" i="1"/>
  <c r="E976" i="1"/>
  <c r="D976" i="1"/>
  <c r="P975" i="1" a="1"/>
  <c r="P975" i="1" s="1"/>
  <c r="O975" i="1" a="1"/>
  <c r="O975" i="1" s="1"/>
  <c r="M975" i="1"/>
  <c r="L975" i="1"/>
  <c r="N975" i="1" s="1"/>
  <c r="E975" i="1"/>
  <c r="D975" i="1"/>
  <c r="P974" i="1"/>
  <c r="P974" i="1" a="1"/>
  <c r="O974" i="1"/>
  <c r="O974" i="1" a="1"/>
  <c r="N974" i="1"/>
  <c r="M974" i="1"/>
  <c r="L974" i="1"/>
  <c r="E974" i="1"/>
  <c r="D974" i="1"/>
  <c r="P973" i="1" a="1"/>
  <c r="P973" i="1" s="1"/>
  <c r="O973" i="1" a="1"/>
  <c r="O973" i="1" s="1"/>
  <c r="N973" i="1"/>
  <c r="M973" i="1"/>
  <c r="L973" i="1"/>
  <c r="E973" i="1"/>
  <c r="D973" i="1"/>
  <c r="P972" i="1"/>
  <c r="P972" i="1" a="1"/>
  <c r="O972" i="1" a="1"/>
  <c r="O972" i="1" s="1"/>
  <c r="M972" i="1"/>
  <c r="L972" i="1"/>
  <c r="N972" i="1" s="1"/>
  <c r="E972" i="1"/>
  <c r="D972" i="1"/>
  <c r="P971" i="1" a="1"/>
  <c r="P971" i="1" s="1"/>
  <c r="O971" i="1"/>
  <c r="O971" i="1" a="1"/>
  <c r="M971" i="1"/>
  <c r="L971" i="1"/>
  <c r="N971" i="1" s="1"/>
  <c r="E971" i="1"/>
  <c r="D971" i="1"/>
  <c r="P970" i="1" a="1"/>
  <c r="P970" i="1" s="1"/>
  <c r="O970" i="1"/>
  <c r="O970" i="1" a="1"/>
  <c r="N970" i="1"/>
  <c r="M970" i="1"/>
  <c r="L970" i="1"/>
  <c r="E970" i="1"/>
  <c r="D970" i="1"/>
  <c r="P969" i="1"/>
  <c r="P969" i="1" a="1"/>
  <c r="O969" i="1" a="1"/>
  <c r="O969" i="1" s="1"/>
  <c r="N969" i="1"/>
  <c r="M969" i="1"/>
  <c r="L969" i="1"/>
  <c r="E969" i="1"/>
  <c r="D969" i="1"/>
  <c r="P968" i="1"/>
  <c r="P968" i="1" a="1"/>
  <c r="O968" i="1"/>
  <c r="O968" i="1" a="1"/>
  <c r="N968" i="1"/>
  <c r="M968" i="1"/>
  <c r="L968" i="1"/>
  <c r="E968" i="1"/>
  <c r="D968" i="1"/>
  <c r="P967" i="1" a="1"/>
  <c r="P967" i="1" s="1"/>
  <c r="O967" i="1" a="1"/>
  <c r="O967" i="1" s="1"/>
  <c r="M967" i="1"/>
  <c r="L967" i="1"/>
  <c r="N967" i="1" s="1"/>
  <c r="E967" i="1"/>
  <c r="D967" i="1"/>
  <c r="P966" i="1"/>
  <c r="P966" i="1" a="1"/>
  <c r="O966" i="1"/>
  <c r="O966" i="1" a="1"/>
  <c r="N966" i="1"/>
  <c r="M966" i="1"/>
  <c r="L966" i="1"/>
  <c r="E966" i="1"/>
  <c r="D966" i="1"/>
  <c r="P965" i="1" a="1"/>
  <c r="P965" i="1" s="1"/>
  <c r="O965" i="1" a="1"/>
  <c r="O965" i="1" s="1"/>
  <c r="N965" i="1"/>
  <c r="M965" i="1"/>
  <c r="L965" i="1"/>
  <c r="E965" i="1"/>
  <c r="D965" i="1"/>
  <c r="P964" i="1"/>
  <c r="P964" i="1" a="1"/>
  <c r="O964" i="1" a="1"/>
  <c r="O964" i="1" s="1"/>
  <c r="M964" i="1"/>
  <c r="L964" i="1"/>
  <c r="N964" i="1" s="1"/>
  <c r="E964" i="1"/>
  <c r="D964" i="1"/>
  <c r="P963" i="1" a="1"/>
  <c r="P963" i="1" s="1"/>
  <c r="O963" i="1"/>
  <c r="O963" i="1" a="1"/>
  <c r="M963" i="1"/>
  <c r="L963" i="1"/>
  <c r="N963" i="1" s="1"/>
  <c r="E963" i="1"/>
  <c r="D963" i="1"/>
  <c r="P962" i="1" a="1"/>
  <c r="P962" i="1" s="1"/>
  <c r="O962" i="1" a="1"/>
  <c r="O962" i="1" s="1"/>
  <c r="N962" i="1"/>
  <c r="M962" i="1"/>
  <c r="L962" i="1"/>
  <c r="E962" i="1"/>
  <c r="D962" i="1"/>
  <c r="P961" i="1"/>
  <c r="P961" i="1" a="1"/>
  <c r="O961" i="1" a="1"/>
  <c r="O961" i="1" s="1"/>
  <c r="N961" i="1"/>
  <c r="M961" i="1"/>
  <c r="L961" i="1"/>
  <c r="E961" i="1"/>
  <c r="D961" i="1"/>
  <c r="P960" i="1" a="1"/>
  <c r="P960" i="1" s="1"/>
  <c r="O960" i="1"/>
  <c r="O960" i="1" a="1"/>
  <c r="N960" i="1"/>
  <c r="M960" i="1"/>
  <c r="L960" i="1"/>
  <c r="E960" i="1"/>
  <c r="D960" i="1"/>
  <c r="P959" i="1" a="1"/>
  <c r="P959" i="1" s="1"/>
  <c r="O959" i="1" a="1"/>
  <c r="O959" i="1" s="1"/>
  <c r="M959" i="1"/>
  <c r="L959" i="1"/>
  <c r="N959" i="1" s="1"/>
  <c r="E959" i="1"/>
  <c r="D959" i="1"/>
  <c r="P958" i="1"/>
  <c r="P958" i="1" a="1"/>
  <c r="O958" i="1"/>
  <c r="O958" i="1" a="1"/>
  <c r="N958" i="1"/>
  <c r="M958" i="1"/>
  <c r="L958" i="1"/>
  <c r="E958" i="1"/>
  <c r="D958" i="1"/>
  <c r="P957" i="1" a="1"/>
  <c r="P957" i="1" s="1"/>
  <c r="O957" i="1" a="1"/>
  <c r="O957" i="1" s="1"/>
  <c r="N957" i="1"/>
  <c r="M957" i="1"/>
  <c r="L957" i="1"/>
  <c r="E957" i="1"/>
  <c r="D957" i="1"/>
  <c r="P956" i="1"/>
  <c r="P956" i="1" a="1"/>
  <c r="O956" i="1" a="1"/>
  <c r="O956" i="1" s="1"/>
  <c r="M956" i="1"/>
  <c r="L956" i="1"/>
  <c r="N956" i="1" s="1"/>
  <c r="E956" i="1"/>
  <c r="D956" i="1"/>
  <c r="P955" i="1" a="1"/>
  <c r="P955" i="1" s="1"/>
  <c r="O955" i="1"/>
  <c r="O955" i="1" a="1"/>
  <c r="M955" i="1"/>
  <c r="L955" i="1"/>
  <c r="N955" i="1" s="1"/>
  <c r="E955" i="1"/>
  <c r="D955" i="1"/>
  <c r="P954" i="1" a="1"/>
  <c r="P954" i="1" s="1"/>
  <c r="O954" i="1" a="1"/>
  <c r="O954" i="1" s="1"/>
  <c r="N954" i="1"/>
  <c r="M954" i="1"/>
  <c r="L954" i="1"/>
  <c r="E954" i="1"/>
  <c r="D954" i="1"/>
  <c r="P953" i="1"/>
  <c r="P953" i="1" a="1"/>
  <c r="O953" i="1" a="1"/>
  <c r="O953" i="1" s="1"/>
  <c r="N953" i="1"/>
  <c r="M953" i="1"/>
  <c r="L953" i="1"/>
  <c r="E953" i="1"/>
  <c r="D953" i="1"/>
  <c r="P952" i="1" a="1"/>
  <c r="P952" i="1" s="1"/>
  <c r="O952" i="1"/>
  <c r="O952" i="1" a="1"/>
  <c r="N952" i="1"/>
  <c r="M952" i="1"/>
  <c r="L952" i="1"/>
  <c r="E952" i="1"/>
  <c r="D952" i="1"/>
  <c r="P951" i="1" a="1"/>
  <c r="P951" i="1" s="1"/>
  <c r="O951" i="1" a="1"/>
  <c r="O951" i="1" s="1"/>
  <c r="M951" i="1"/>
  <c r="L951" i="1"/>
  <c r="N951" i="1" s="1"/>
  <c r="E951" i="1"/>
  <c r="D951" i="1"/>
  <c r="P950" i="1"/>
  <c r="P950" i="1" a="1"/>
  <c r="O950" i="1"/>
  <c r="O950" i="1" a="1"/>
  <c r="N950" i="1"/>
  <c r="M950" i="1"/>
  <c r="L950" i="1"/>
  <c r="E950" i="1"/>
  <c r="D950" i="1"/>
  <c r="P949" i="1" a="1"/>
  <c r="P949" i="1" s="1"/>
  <c r="O949" i="1" a="1"/>
  <c r="O949" i="1" s="1"/>
  <c r="N949" i="1"/>
  <c r="M949" i="1"/>
  <c r="L949" i="1"/>
  <c r="E949" i="1"/>
  <c r="D949" i="1"/>
  <c r="P948" i="1"/>
  <c r="P948" i="1" a="1"/>
  <c r="O948" i="1" a="1"/>
  <c r="O948" i="1" s="1"/>
  <c r="M948" i="1"/>
  <c r="L948" i="1"/>
  <c r="N948" i="1" s="1"/>
  <c r="E948" i="1"/>
  <c r="D948" i="1"/>
  <c r="P947" i="1" a="1"/>
  <c r="P947" i="1" s="1"/>
  <c r="O947" i="1"/>
  <c r="O947" i="1" a="1"/>
  <c r="M947" i="1"/>
  <c r="L947" i="1"/>
  <c r="N947" i="1" s="1"/>
  <c r="E947" i="1"/>
  <c r="D947" i="1"/>
  <c r="P946" i="1" a="1"/>
  <c r="P946" i="1" s="1"/>
  <c r="O946" i="1" a="1"/>
  <c r="O946" i="1" s="1"/>
  <c r="N946" i="1"/>
  <c r="M946" i="1"/>
  <c r="L946" i="1"/>
  <c r="E946" i="1"/>
  <c r="D946" i="1"/>
  <c r="P945" i="1"/>
  <c r="P945" i="1" a="1"/>
  <c r="O945" i="1" a="1"/>
  <c r="O945" i="1" s="1"/>
  <c r="N945" i="1"/>
  <c r="M945" i="1"/>
  <c r="L945" i="1"/>
  <c r="E945" i="1"/>
  <c r="D945" i="1"/>
  <c r="P944" i="1" a="1"/>
  <c r="P944" i="1" s="1"/>
  <c r="O944" i="1"/>
  <c r="O944" i="1" a="1"/>
  <c r="N944" i="1"/>
  <c r="M944" i="1"/>
  <c r="L944" i="1"/>
  <c r="E944" i="1"/>
  <c r="D944" i="1"/>
  <c r="P943" i="1" a="1"/>
  <c r="P943" i="1" s="1"/>
  <c r="O943" i="1" a="1"/>
  <c r="O943" i="1" s="1"/>
  <c r="M943" i="1"/>
  <c r="L943" i="1"/>
  <c r="N943" i="1" s="1"/>
  <c r="E943" i="1"/>
  <c r="D943" i="1"/>
  <c r="P942" i="1"/>
  <c r="P942" i="1" a="1"/>
  <c r="O942" i="1"/>
  <c r="O942" i="1" a="1"/>
  <c r="N942" i="1"/>
  <c r="M942" i="1"/>
  <c r="L942" i="1"/>
  <c r="E942" i="1"/>
  <c r="D942" i="1"/>
  <c r="P941" i="1" a="1"/>
  <c r="P941" i="1" s="1"/>
  <c r="O941" i="1" a="1"/>
  <c r="O941" i="1" s="1"/>
  <c r="N941" i="1"/>
  <c r="M941" i="1"/>
  <c r="L941" i="1"/>
  <c r="E941" i="1"/>
  <c r="D941" i="1"/>
  <c r="P940" i="1"/>
  <c r="P940" i="1" a="1"/>
  <c r="O940" i="1" a="1"/>
  <c r="O940" i="1" s="1"/>
  <c r="M940" i="1"/>
  <c r="L940" i="1"/>
  <c r="N940" i="1" s="1"/>
  <c r="E940" i="1"/>
  <c r="D940" i="1"/>
  <c r="P939" i="1" a="1"/>
  <c r="P939" i="1" s="1"/>
  <c r="O939" i="1"/>
  <c r="O939" i="1" a="1"/>
  <c r="M939" i="1"/>
  <c r="L939" i="1"/>
  <c r="N939" i="1" s="1"/>
  <c r="E939" i="1"/>
  <c r="D939" i="1"/>
  <c r="P938" i="1" a="1"/>
  <c r="P938" i="1" s="1"/>
  <c r="O938" i="1" a="1"/>
  <c r="O938" i="1" s="1"/>
  <c r="N938" i="1"/>
  <c r="M938" i="1"/>
  <c r="L938" i="1"/>
  <c r="E938" i="1"/>
  <c r="D938" i="1"/>
  <c r="P937" i="1"/>
  <c r="P937" i="1" a="1"/>
  <c r="O937" i="1" a="1"/>
  <c r="O937" i="1" s="1"/>
  <c r="N937" i="1"/>
  <c r="M937" i="1"/>
  <c r="L937" i="1"/>
  <c r="E937" i="1"/>
  <c r="D937" i="1"/>
  <c r="P936" i="1" a="1"/>
  <c r="P936" i="1" s="1"/>
  <c r="O936" i="1"/>
  <c r="O936" i="1" a="1"/>
  <c r="N936" i="1"/>
  <c r="M936" i="1"/>
  <c r="L936" i="1"/>
  <c r="E936" i="1"/>
  <c r="D936" i="1"/>
  <c r="P935" i="1" a="1"/>
  <c r="P935" i="1" s="1"/>
  <c r="O935" i="1" a="1"/>
  <c r="O935" i="1" s="1"/>
  <c r="M935" i="1"/>
  <c r="L935" i="1"/>
  <c r="N935" i="1" s="1"/>
  <c r="E935" i="1"/>
  <c r="D935" i="1"/>
  <c r="P934" i="1"/>
  <c r="P934" i="1" a="1"/>
  <c r="O934" i="1"/>
  <c r="O934" i="1" a="1"/>
  <c r="N934" i="1"/>
  <c r="M934" i="1"/>
  <c r="L934" i="1"/>
  <c r="E934" i="1"/>
  <c r="D934" i="1"/>
  <c r="P933" i="1" a="1"/>
  <c r="P933" i="1" s="1"/>
  <c r="O933" i="1" a="1"/>
  <c r="O933" i="1" s="1"/>
  <c r="N933" i="1"/>
  <c r="M933" i="1"/>
  <c r="L933" i="1"/>
  <c r="E933" i="1"/>
  <c r="D933" i="1"/>
  <c r="P932" i="1"/>
  <c r="P932" i="1" a="1"/>
  <c r="O932" i="1" a="1"/>
  <c r="O932" i="1" s="1"/>
  <c r="M932" i="1"/>
  <c r="L932" i="1"/>
  <c r="N932" i="1" s="1"/>
  <c r="E932" i="1"/>
  <c r="D932" i="1"/>
  <c r="P931" i="1" a="1"/>
  <c r="P931" i="1" s="1"/>
  <c r="O931" i="1"/>
  <c r="O931" i="1" a="1"/>
  <c r="M931" i="1"/>
  <c r="L931" i="1"/>
  <c r="N931" i="1" s="1"/>
  <c r="E931" i="1"/>
  <c r="D931" i="1"/>
  <c r="P930" i="1" a="1"/>
  <c r="P930" i="1" s="1"/>
  <c r="O930" i="1"/>
  <c r="O930" i="1" a="1"/>
  <c r="N930" i="1"/>
  <c r="M930" i="1"/>
  <c r="L930" i="1"/>
  <c r="E930" i="1"/>
  <c r="D930" i="1"/>
  <c r="P929" i="1"/>
  <c r="P929" i="1" a="1"/>
  <c r="O929" i="1" a="1"/>
  <c r="O929" i="1" s="1"/>
  <c r="N929" i="1"/>
  <c r="M929" i="1"/>
  <c r="L929" i="1"/>
  <c r="E929" i="1"/>
  <c r="D929" i="1"/>
  <c r="P928" i="1" a="1"/>
  <c r="P928" i="1" s="1"/>
  <c r="O928" i="1"/>
  <c r="O928" i="1" a="1"/>
  <c r="N928" i="1"/>
  <c r="M928" i="1"/>
  <c r="L928" i="1"/>
  <c r="E928" i="1"/>
  <c r="D928" i="1"/>
  <c r="P927" i="1" a="1"/>
  <c r="P927" i="1" s="1"/>
  <c r="O927" i="1" a="1"/>
  <c r="O927" i="1" s="1"/>
  <c r="M927" i="1"/>
  <c r="L927" i="1"/>
  <c r="N927" i="1" s="1"/>
  <c r="E927" i="1"/>
  <c r="D927" i="1"/>
  <c r="P926" i="1"/>
  <c r="P926" i="1" a="1"/>
  <c r="O926" i="1"/>
  <c r="O926" i="1" a="1"/>
  <c r="N926" i="1"/>
  <c r="M926" i="1"/>
  <c r="L926" i="1"/>
  <c r="E926" i="1"/>
  <c r="D926" i="1"/>
  <c r="P925" i="1" a="1"/>
  <c r="P925" i="1" s="1"/>
  <c r="O925" i="1" a="1"/>
  <c r="O925" i="1" s="1"/>
  <c r="N925" i="1"/>
  <c r="M925" i="1"/>
  <c r="L925" i="1"/>
  <c r="E925" i="1"/>
  <c r="D925" i="1"/>
  <c r="P924" i="1"/>
  <c r="P924" i="1" a="1"/>
  <c r="O924" i="1" a="1"/>
  <c r="O924" i="1" s="1"/>
  <c r="M924" i="1"/>
  <c r="L924" i="1"/>
  <c r="N924" i="1" s="1"/>
  <c r="E924" i="1"/>
  <c r="D924" i="1"/>
  <c r="P923" i="1" a="1"/>
  <c r="P923" i="1" s="1"/>
  <c r="O923" i="1"/>
  <c r="O923" i="1" a="1"/>
  <c r="M923" i="1"/>
  <c r="L923" i="1"/>
  <c r="N923" i="1" s="1"/>
  <c r="E923" i="1"/>
  <c r="D923" i="1"/>
  <c r="P922" i="1" a="1"/>
  <c r="P922" i="1" s="1"/>
  <c r="O922" i="1" a="1"/>
  <c r="O922" i="1" s="1"/>
  <c r="M922" i="1"/>
  <c r="L922" i="1"/>
  <c r="N922" i="1" s="1"/>
  <c r="E922" i="1"/>
  <c r="D922" i="1"/>
  <c r="P921" i="1"/>
  <c r="P921" i="1" a="1"/>
  <c r="O921" i="1" a="1"/>
  <c r="O921" i="1" s="1"/>
  <c r="N921" i="1"/>
  <c r="M921" i="1"/>
  <c r="L921" i="1"/>
  <c r="E921" i="1"/>
  <c r="D921" i="1"/>
  <c r="P920" i="1"/>
  <c r="P920" i="1" a="1"/>
  <c r="O920" i="1"/>
  <c r="O920" i="1" a="1"/>
  <c r="N920" i="1"/>
  <c r="M920" i="1"/>
  <c r="L920" i="1"/>
  <c r="E920" i="1"/>
  <c r="D920" i="1"/>
  <c r="P919" i="1" a="1"/>
  <c r="P919" i="1" s="1"/>
  <c r="O919" i="1" a="1"/>
  <c r="O919" i="1" s="1"/>
  <c r="M919" i="1"/>
  <c r="L919" i="1"/>
  <c r="N919" i="1" s="1"/>
  <c r="E919" i="1"/>
  <c r="D919" i="1"/>
  <c r="P918" i="1"/>
  <c r="P918" i="1" a="1"/>
  <c r="O918" i="1"/>
  <c r="O918" i="1" a="1"/>
  <c r="N918" i="1"/>
  <c r="M918" i="1"/>
  <c r="L918" i="1"/>
  <c r="E918" i="1"/>
  <c r="D918" i="1"/>
  <c r="P917" i="1" a="1"/>
  <c r="P917" i="1" s="1"/>
  <c r="O917" i="1" a="1"/>
  <c r="O917" i="1" s="1"/>
  <c r="N917" i="1"/>
  <c r="M917" i="1"/>
  <c r="L917" i="1"/>
  <c r="E917" i="1"/>
  <c r="D917" i="1"/>
  <c r="P916" i="1"/>
  <c r="P916" i="1" a="1"/>
  <c r="O916" i="1" a="1"/>
  <c r="O916" i="1" s="1"/>
  <c r="M916" i="1"/>
  <c r="L916" i="1"/>
  <c r="N916" i="1" s="1"/>
  <c r="E916" i="1"/>
  <c r="D916" i="1"/>
  <c r="P915" i="1" a="1"/>
  <c r="P915" i="1" s="1"/>
  <c r="O915" i="1"/>
  <c r="O915" i="1" a="1"/>
  <c r="M915" i="1"/>
  <c r="L915" i="1"/>
  <c r="N915" i="1" s="1"/>
  <c r="E915" i="1"/>
  <c r="D915" i="1"/>
  <c r="P914" i="1" a="1"/>
  <c r="P914" i="1" s="1"/>
  <c r="O914" i="1"/>
  <c r="O914" i="1" a="1"/>
  <c r="N914" i="1"/>
  <c r="M914" i="1"/>
  <c r="L914" i="1"/>
  <c r="E914" i="1"/>
  <c r="D914" i="1"/>
  <c r="P913" i="1"/>
  <c r="P913" i="1" a="1"/>
  <c r="O913" i="1" a="1"/>
  <c r="O913" i="1" s="1"/>
  <c r="N913" i="1"/>
  <c r="M913" i="1"/>
  <c r="L913" i="1"/>
  <c r="E913" i="1"/>
  <c r="D913" i="1"/>
  <c r="P912" i="1"/>
  <c r="P912" i="1" a="1"/>
  <c r="O912" i="1"/>
  <c r="O912" i="1" a="1"/>
  <c r="N912" i="1"/>
  <c r="M912" i="1"/>
  <c r="L912" i="1"/>
  <c r="E912" i="1"/>
  <c r="D912" i="1"/>
  <c r="P911" i="1" a="1"/>
  <c r="P911" i="1" s="1"/>
  <c r="O911" i="1" a="1"/>
  <c r="O911" i="1" s="1"/>
  <c r="M911" i="1"/>
  <c r="L911" i="1"/>
  <c r="N911" i="1" s="1"/>
  <c r="E911" i="1"/>
  <c r="D911" i="1"/>
  <c r="P910" i="1"/>
  <c r="P910" i="1" a="1"/>
  <c r="O910" i="1"/>
  <c r="O910" i="1" a="1"/>
  <c r="N910" i="1"/>
  <c r="M910" i="1"/>
  <c r="L910" i="1"/>
  <c r="E910" i="1"/>
  <c r="D910" i="1"/>
  <c r="P909" i="1" a="1"/>
  <c r="P909" i="1" s="1"/>
  <c r="O909" i="1" a="1"/>
  <c r="O909" i="1" s="1"/>
  <c r="N909" i="1"/>
  <c r="M909" i="1"/>
  <c r="L909" i="1"/>
  <c r="E909" i="1"/>
  <c r="D909" i="1"/>
  <c r="P908" i="1"/>
  <c r="P908" i="1" a="1"/>
  <c r="O908" i="1" a="1"/>
  <c r="O908" i="1" s="1"/>
  <c r="M908" i="1"/>
  <c r="L908" i="1"/>
  <c r="N908" i="1" s="1"/>
  <c r="E908" i="1"/>
  <c r="D908" i="1"/>
  <c r="P907" i="1" a="1"/>
  <c r="P907" i="1" s="1"/>
  <c r="O907" i="1"/>
  <c r="O907" i="1" a="1"/>
  <c r="M907" i="1"/>
  <c r="L907" i="1"/>
  <c r="N907" i="1" s="1"/>
  <c r="E907" i="1"/>
  <c r="D907" i="1"/>
  <c r="P906" i="1" a="1"/>
  <c r="P906" i="1" s="1"/>
  <c r="O906" i="1"/>
  <c r="O906" i="1" a="1"/>
  <c r="M906" i="1"/>
  <c r="L906" i="1"/>
  <c r="N906" i="1" s="1"/>
  <c r="E906" i="1"/>
  <c r="D906" i="1"/>
  <c r="P905" i="1"/>
  <c r="P905" i="1" a="1"/>
  <c r="O905" i="1" a="1"/>
  <c r="O905" i="1" s="1"/>
  <c r="N905" i="1"/>
  <c r="M905" i="1"/>
  <c r="L905" i="1"/>
  <c r="E905" i="1"/>
  <c r="D905" i="1"/>
  <c r="P904" i="1"/>
  <c r="P904" i="1" a="1"/>
  <c r="O904" i="1"/>
  <c r="O904" i="1" a="1"/>
  <c r="N904" i="1"/>
  <c r="M904" i="1"/>
  <c r="L904" i="1"/>
  <c r="E904" i="1"/>
  <c r="D904" i="1"/>
  <c r="P903" i="1" a="1"/>
  <c r="P903" i="1" s="1"/>
  <c r="O903" i="1" a="1"/>
  <c r="O903" i="1" s="1"/>
  <c r="M903" i="1"/>
  <c r="L903" i="1"/>
  <c r="N903" i="1" s="1"/>
  <c r="E903" i="1"/>
  <c r="D903" i="1"/>
  <c r="P902" i="1"/>
  <c r="P902" i="1" a="1"/>
  <c r="O902" i="1"/>
  <c r="O902" i="1" a="1"/>
  <c r="N902" i="1"/>
  <c r="M902" i="1"/>
  <c r="L902" i="1"/>
  <c r="E902" i="1"/>
  <c r="D902" i="1"/>
  <c r="P901" i="1" a="1"/>
  <c r="P901" i="1" s="1"/>
  <c r="O901" i="1" a="1"/>
  <c r="O901" i="1" s="1"/>
  <c r="N901" i="1"/>
  <c r="M901" i="1"/>
  <c r="L901" i="1"/>
  <c r="E901" i="1"/>
  <c r="D901" i="1"/>
  <c r="P900" i="1"/>
  <c r="P900" i="1" a="1"/>
  <c r="O900" i="1" a="1"/>
  <c r="O900" i="1" s="1"/>
  <c r="M900" i="1"/>
  <c r="L900" i="1"/>
  <c r="N900" i="1" s="1"/>
  <c r="E900" i="1"/>
  <c r="D900" i="1"/>
  <c r="P899" i="1" a="1"/>
  <c r="P899" i="1" s="1"/>
  <c r="O899" i="1"/>
  <c r="O899" i="1" a="1"/>
  <c r="M899" i="1"/>
  <c r="L899" i="1"/>
  <c r="N899" i="1" s="1"/>
  <c r="E899" i="1"/>
  <c r="D899" i="1"/>
  <c r="P898" i="1" a="1"/>
  <c r="P898" i="1" s="1"/>
  <c r="O898" i="1"/>
  <c r="O898" i="1" a="1"/>
  <c r="M898" i="1"/>
  <c r="L898" i="1"/>
  <c r="N898" i="1" s="1"/>
  <c r="E898" i="1"/>
  <c r="D898" i="1"/>
  <c r="P897" i="1"/>
  <c r="P897" i="1" a="1"/>
  <c r="O897" i="1" a="1"/>
  <c r="O897" i="1" s="1"/>
  <c r="N897" i="1"/>
  <c r="M897" i="1"/>
  <c r="L897" i="1"/>
  <c r="E897" i="1"/>
  <c r="D897" i="1"/>
  <c r="P896" i="1"/>
  <c r="P896" i="1" a="1"/>
  <c r="O896" i="1"/>
  <c r="O896" i="1" a="1"/>
  <c r="N896" i="1"/>
  <c r="M896" i="1"/>
  <c r="L896" i="1"/>
  <c r="E896" i="1"/>
  <c r="D896" i="1"/>
  <c r="P895" i="1" a="1"/>
  <c r="P895" i="1" s="1"/>
  <c r="O895" i="1" a="1"/>
  <c r="O895" i="1" s="1"/>
  <c r="M895" i="1"/>
  <c r="L895" i="1"/>
  <c r="N895" i="1" s="1"/>
  <c r="E895" i="1"/>
  <c r="D895" i="1"/>
  <c r="P894" i="1"/>
  <c r="P894" i="1" a="1"/>
  <c r="O894" i="1"/>
  <c r="O894" i="1" a="1"/>
  <c r="N894" i="1"/>
  <c r="M894" i="1"/>
  <c r="L894" i="1"/>
  <c r="E894" i="1"/>
  <c r="D894" i="1"/>
  <c r="P893" i="1" a="1"/>
  <c r="P893" i="1" s="1"/>
  <c r="O893" i="1" a="1"/>
  <c r="O893" i="1" s="1"/>
  <c r="N893" i="1"/>
  <c r="M893" i="1"/>
  <c r="L893" i="1"/>
  <c r="E893" i="1"/>
  <c r="D893" i="1"/>
  <c r="P892" i="1"/>
  <c r="P892" i="1" a="1"/>
  <c r="O892" i="1" a="1"/>
  <c r="O892" i="1" s="1"/>
  <c r="M892" i="1"/>
  <c r="L892" i="1"/>
  <c r="N892" i="1" s="1"/>
  <c r="E892" i="1"/>
  <c r="D892" i="1"/>
  <c r="P891" i="1" a="1"/>
  <c r="P891" i="1" s="1"/>
  <c r="O891" i="1"/>
  <c r="O891" i="1" a="1"/>
  <c r="M891" i="1"/>
  <c r="L891" i="1"/>
  <c r="N891" i="1" s="1"/>
  <c r="E891" i="1"/>
  <c r="D891" i="1"/>
  <c r="P890" i="1" a="1"/>
  <c r="P890" i="1" s="1"/>
  <c r="O890" i="1"/>
  <c r="O890" i="1" a="1"/>
  <c r="M890" i="1"/>
  <c r="L890" i="1"/>
  <c r="N890" i="1" s="1"/>
  <c r="E890" i="1"/>
  <c r="D890" i="1"/>
  <c r="P889" i="1"/>
  <c r="P889" i="1" a="1"/>
  <c r="O889" i="1" a="1"/>
  <c r="O889" i="1" s="1"/>
  <c r="N889" i="1"/>
  <c r="M889" i="1"/>
  <c r="L889" i="1"/>
  <c r="E889" i="1"/>
  <c r="D889" i="1"/>
  <c r="P888" i="1"/>
  <c r="P888" i="1" a="1"/>
  <c r="O888" i="1"/>
  <c r="O888" i="1" a="1"/>
  <c r="N888" i="1"/>
  <c r="M888" i="1"/>
  <c r="L888" i="1"/>
  <c r="E888" i="1"/>
  <c r="D888" i="1"/>
  <c r="P887" i="1" a="1"/>
  <c r="P887" i="1" s="1"/>
  <c r="O887" i="1"/>
  <c r="O887" i="1" a="1"/>
  <c r="M887" i="1"/>
  <c r="L887" i="1"/>
  <c r="N887" i="1" s="1"/>
  <c r="E887" i="1"/>
  <c r="D887" i="1"/>
  <c r="P886" i="1"/>
  <c r="P886" i="1" a="1"/>
  <c r="O886" i="1"/>
  <c r="O886" i="1" a="1"/>
  <c r="N886" i="1"/>
  <c r="M886" i="1"/>
  <c r="L886" i="1"/>
  <c r="E886" i="1"/>
  <c r="D886" i="1"/>
  <c r="P885" i="1" a="1"/>
  <c r="P885" i="1" s="1"/>
  <c r="O885" i="1" a="1"/>
  <c r="O885" i="1" s="1"/>
  <c r="N885" i="1"/>
  <c r="M885" i="1"/>
  <c r="L885" i="1"/>
  <c r="E885" i="1"/>
  <c r="D885" i="1"/>
  <c r="P884" i="1"/>
  <c r="P884" i="1" a="1"/>
  <c r="O884" i="1"/>
  <c r="O884" i="1" a="1"/>
  <c r="M884" i="1"/>
  <c r="L884" i="1"/>
  <c r="N884" i="1" s="1"/>
  <c r="E884" i="1"/>
  <c r="D884" i="1"/>
  <c r="P883" i="1"/>
  <c r="P883" i="1" a="1"/>
  <c r="O883" i="1"/>
  <c r="O883" i="1" a="1"/>
  <c r="M883" i="1"/>
  <c r="L883" i="1"/>
  <c r="N883" i="1" s="1"/>
  <c r="E883" i="1"/>
  <c r="D883" i="1"/>
  <c r="P882" i="1" a="1"/>
  <c r="P882" i="1" s="1"/>
  <c r="O882" i="1"/>
  <c r="O882" i="1" a="1"/>
  <c r="M882" i="1"/>
  <c r="L882" i="1"/>
  <c r="N882" i="1" s="1"/>
  <c r="E882" i="1"/>
  <c r="D882" i="1"/>
  <c r="P881" i="1"/>
  <c r="P881" i="1" a="1"/>
  <c r="O881" i="1" a="1"/>
  <c r="O881" i="1" s="1"/>
  <c r="M881" i="1"/>
  <c r="L881" i="1"/>
  <c r="N881" i="1" s="1"/>
  <c r="E881" i="1"/>
  <c r="D881" i="1"/>
  <c r="P880" i="1" a="1"/>
  <c r="P880" i="1" s="1"/>
  <c r="O880" i="1"/>
  <c r="O880" i="1" a="1"/>
  <c r="M880" i="1"/>
  <c r="L880" i="1"/>
  <c r="N880" i="1" s="1"/>
  <c r="E880" i="1"/>
  <c r="D880" i="1"/>
  <c r="P879" i="1" a="1"/>
  <c r="P879" i="1" s="1"/>
  <c r="O879" i="1"/>
  <c r="O879" i="1" a="1"/>
  <c r="M879" i="1"/>
  <c r="L879" i="1"/>
  <c r="N879" i="1" s="1"/>
  <c r="E879" i="1"/>
  <c r="D879" i="1"/>
  <c r="P878" i="1" a="1"/>
  <c r="P878" i="1" s="1"/>
  <c r="O878" i="1"/>
  <c r="O878" i="1" a="1"/>
  <c r="M878" i="1"/>
  <c r="L878" i="1"/>
  <c r="N878" i="1" s="1"/>
  <c r="E878" i="1"/>
  <c r="D878" i="1"/>
  <c r="P877" i="1"/>
  <c r="P877" i="1" a="1"/>
  <c r="O877" i="1"/>
  <c r="O877" i="1" a="1"/>
  <c r="N877" i="1"/>
  <c r="M877" i="1"/>
  <c r="L877" i="1"/>
  <c r="E877" i="1"/>
  <c r="D877" i="1"/>
  <c r="P876" i="1"/>
  <c r="P876" i="1" a="1"/>
  <c r="O876" i="1" a="1"/>
  <c r="O876" i="1" s="1"/>
  <c r="M876" i="1"/>
  <c r="L876" i="1"/>
  <c r="N876" i="1" s="1"/>
  <c r="E876" i="1"/>
  <c r="D876" i="1"/>
  <c r="P875" i="1"/>
  <c r="P875" i="1" a="1"/>
  <c r="O875" i="1"/>
  <c r="O875" i="1" a="1"/>
  <c r="M875" i="1"/>
  <c r="L875" i="1"/>
  <c r="N875" i="1" s="1"/>
  <c r="E875" i="1"/>
  <c r="D875" i="1"/>
  <c r="P874" i="1" a="1"/>
  <c r="P874" i="1" s="1"/>
  <c r="O874" i="1" a="1"/>
  <c r="O874" i="1" s="1"/>
  <c r="M874" i="1"/>
  <c r="L874" i="1"/>
  <c r="N874" i="1" s="1"/>
  <c r="E874" i="1"/>
  <c r="D874" i="1"/>
  <c r="P873" i="1"/>
  <c r="P873" i="1" a="1"/>
  <c r="O873" i="1"/>
  <c r="O873" i="1" a="1"/>
  <c r="N873" i="1"/>
  <c r="M873" i="1"/>
  <c r="L873" i="1"/>
  <c r="E873" i="1"/>
  <c r="D873" i="1"/>
  <c r="P872" i="1" a="1"/>
  <c r="P872" i="1" s="1"/>
  <c r="O872" i="1" a="1"/>
  <c r="O872" i="1" s="1"/>
  <c r="N872" i="1"/>
  <c r="M872" i="1"/>
  <c r="L872" i="1"/>
  <c r="E872" i="1"/>
  <c r="D872" i="1"/>
  <c r="P871" i="1"/>
  <c r="P871" i="1" a="1"/>
  <c r="O871" i="1"/>
  <c r="O871" i="1" a="1"/>
  <c r="M871" i="1"/>
  <c r="L871" i="1"/>
  <c r="N871" i="1" s="1"/>
  <c r="E871" i="1"/>
  <c r="D871" i="1"/>
  <c r="P870" i="1" a="1"/>
  <c r="P870" i="1" s="1"/>
  <c r="O870" i="1"/>
  <c r="O870" i="1" a="1"/>
  <c r="M870" i="1"/>
  <c r="L870" i="1"/>
  <c r="N870" i="1" s="1"/>
  <c r="E870" i="1"/>
  <c r="D870" i="1"/>
  <c r="P869" i="1"/>
  <c r="P869" i="1" a="1"/>
  <c r="O869" i="1"/>
  <c r="O869" i="1" a="1"/>
  <c r="N869" i="1"/>
  <c r="M869" i="1"/>
  <c r="L869" i="1"/>
  <c r="E869" i="1"/>
  <c r="D869" i="1"/>
  <c r="P868" i="1"/>
  <c r="P868" i="1" a="1"/>
  <c r="O868" i="1" a="1"/>
  <c r="O868" i="1" s="1"/>
  <c r="N868" i="1"/>
  <c r="M868" i="1"/>
  <c r="L868" i="1"/>
  <c r="E868" i="1"/>
  <c r="D868" i="1"/>
  <c r="P867" i="1"/>
  <c r="P867" i="1" a="1"/>
  <c r="O867" i="1"/>
  <c r="O867" i="1" a="1"/>
  <c r="M867" i="1"/>
  <c r="L867" i="1"/>
  <c r="N867" i="1" s="1"/>
  <c r="E867" i="1"/>
  <c r="D867" i="1"/>
  <c r="P866" i="1" a="1"/>
  <c r="P866" i="1" s="1"/>
  <c r="O866" i="1" a="1"/>
  <c r="O866" i="1" s="1"/>
  <c r="M866" i="1"/>
  <c r="L866" i="1"/>
  <c r="N866" i="1" s="1"/>
  <c r="E866" i="1"/>
  <c r="D866" i="1"/>
  <c r="P865" i="1"/>
  <c r="P865" i="1" a="1"/>
  <c r="O865" i="1"/>
  <c r="O865" i="1" a="1"/>
  <c r="N865" i="1"/>
  <c r="M865" i="1"/>
  <c r="L865" i="1"/>
  <c r="E865" i="1"/>
  <c r="D865" i="1"/>
  <c r="P864" i="1" a="1"/>
  <c r="P864" i="1" s="1"/>
  <c r="O864" i="1" a="1"/>
  <c r="O864" i="1" s="1"/>
  <c r="N864" i="1"/>
  <c r="M864" i="1"/>
  <c r="L864" i="1"/>
  <c r="E864" i="1"/>
  <c r="D864" i="1"/>
  <c r="P863" i="1"/>
  <c r="P863" i="1" a="1"/>
  <c r="O863" i="1"/>
  <c r="O863" i="1" a="1"/>
  <c r="M863" i="1"/>
  <c r="L863" i="1"/>
  <c r="N863" i="1" s="1"/>
  <c r="E863" i="1"/>
  <c r="D863" i="1"/>
  <c r="P862" i="1" a="1"/>
  <c r="P862" i="1" s="1"/>
  <c r="O862" i="1"/>
  <c r="O862" i="1" a="1"/>
  <c r="M862" i="1"/>
  <c r="L862" i="1"/>
  <c r="N862" i="1" s="1"/>
  <c r="E862" i="1"/>
  <c r="D862" i="1"/>
  <c r="P861" i="1"/>
  <c r="P861" i="1" a="1"/>
  <c r="O861" i="1"/>
  <c r="O861" i="1" a="1"/>
  <c r="N861" i="1"/>
  <c r="M861" i="1"/>
  <c r="L861" i="1"/>
  <c r="E861" i="1"/>
  <c r="D861" i="1"/>
  <c r="P860" i="1"/>
  <c r="P860" i="1" a="1"/>
  <c r="O860" i="1" a="1"/>
  <c r="O860" i="1" s="1"/>
  <c r="N860" i="1"/>
  <c r="M860" i="1"/>
  <c r="L860" i="1"/>
  <c r="E860" i="1"/>
  <c r="D860" i="1"/>
  <c r="P859" i="1"/>
  <c r="P859" i="1" a="1"/>
  <c r="O859" i="1"/>
  <c r="O859" i="1" a="1"/>
  <c r="M859" i="1"/>
  <c r="L859" i="1"/>
  <c r="N859" i="1" s="1"/>
  <c r="E859" i="1"/>
  <c r="D859" i="1"/>
  <c r="P858" i="1" a="1"/>
  <c r="P858" i="1" s="1"/>
  <c r="O858" i="1" a="1"/>
  <c r="O858" i="1" s="1"/>
  <c r="M858" i="1"/>
  <c r="L858" i="1"/>
  <c r="N858" i="1" s="1"/>
  <c r="E858" i="1"/>
  <c r="D858" i="1"/>
  <c r="P857" i="1"/>
  <c r="P857" i="1" a="1"/>
  <c r="O857" i="1" a="1"/>
  <c r="O857" i="1" s="1"/>
  <c r="N857" i="1"/>
  <c r="M857" i="1"/>
  <c r="L857" i="1"/>
  <c r="E857" i="1"/>
  <c r="D857" i="1"/>
  <c r="P856" i="1" a="1"/>
  <c r="P856" i="1" s="1"/>
  <c r="O856" i="1" a="1"/>
  <c r="O856" i="1" s="1"/>
  <c r="N856" i="1"/>
  <c r="M856" i="1"/>
  <c r="L856" i="1"/>
  <c r="E856" i="1"/>
  <c r="D856" i="1"/>
  <c r="P855" i="1"/>
  <c r="P855" i="1" a="1"/>
  <c r="O855" i="1"/>
  <c r="O855" i="1" a="1"/>
  <c r="M855" i="1"/>
  <c r="L855" i="1"/>
  <c r="N855" i="1" s="1"/>
  <c r="E855" i="1"/>
  <c r="D855" i="1"/>
  <c r="P854" i="1" a="1"/>
  <c r="P854" i="1" s="1"/>
  <c r="O854" i="1"/>
  <c r="O854" i="1" a="1"/>
  <c r="M854" i="1"/>
  <c r="L854" i="1"/>
  <c r="N854" i="1" s="1"/>
  <c r="E854" i="1"/>
  <c r="D854" i="1"/>
  <c r="P853" i="1"/>
  <c r="P853" i="1" a="1"/>
  <c r="O853" i="1"/>
  <c r="O853" i="1" a="1"/>
  <c r="N853" i="1"/>
  <c r="M853" i="1"/>
  <c r="L853" i="1"/>
  <c r="E853" i="1"/>
  <c r="D853" i="1"/>
  <c r="P852" i="1"/>
  <c r="P852" i="1" a="1"/>
  <c r="O852" i="1" a="1"/>
  <c r="O852" i="1" s="1"/>
  <c r="N852" i="1"/>
  <c r="M852" i="1"/>
  <c r="L852" i="1"/>
  <c r="E852" i="1"/>
  <c r="D852" i="1"/>
  <c r="P851" i="1"/>
  <c r="P851" i="1" a="1"/>
  <c r="O851" i="1"/>
  <c r="O851" i="1" a="1"/>
  <c r="M851" i="1"/>
  <c r="L851" i="1"/>
  <c r="N851" i="1" s="1"/>
  <c r="E851" i="1"/>
  <c r="D851" i="1"/>
  <c r="P850" i="1" a="1"/>
  <c r="P850" i="1" s="1"/>
  <c r="O850" i="1"/>
  <c r="O850" i="1" a="1"/>
  <c r="M850" i="1"/>
  <c r="L850" i="1"/>
  <c r="N850" i="1" s="1"/>
  <c r="E850" i="1"/>
  <c r="D850" i="1"/>
  <c r="P849" i="1"/>
  <c r="P849" i="1" a="1"/>
  <c r="O849" i="1" a="1"/>
  <c r="O849" i="1" s="1"/>
  <c r="N849" i="1"/>
  <c r="M849" i="1"/>
  <c r="L849" i="1"/>
  <c r="E849" i="1"/>
  <c r="D849" i="1"/>
  <c r="P848" i="1"/>
  <c r="P848" i="1" a="1"/>
  <c r="O848" i="1" a="1"/>
  <c r="O848" i="1" s="1"/>
  <c r="N848" i="1"/>
  <c r="M848" i="1"/>
  <c r="L848" i="1"/>
  <c r="E848" i="1"/>
  <c r="D848" i="1"/>
  <c r="P847" i="1"/>
  <c r="P847" i="1" a="1"/>
  <c r="O847" i="1"/>
  <c r="O847" i="1" a="1"/>
  <c r="M847" i="1"/>
  <c r="L847" i="1"/>
  <c r="N847" i="1" s="1"/>
  <c r="E847" i="1"/>
  <c r="D847" i="1"/>
  <c r="P846" i="1" a="1"/>
  <c r="P846" i="1" s="1"/>
  <c r="O846" i="1" a="1"/>
  <c r="O846" i="1" s="1"/>
  <c r="M846" i="1"/>
  <c r="L846" i="1"/>
  <c r="N846" i="1" s="1"/>
  <c r="E846" i="1"/>
  <c r="D846" i="1"/>
  <c r="P845" i="1"/>
  <c r="P845" i="1" a="1"/>
  <c r="O845" i="1"/>
  <c r="O845" i="1" a="1"/>
  <c r="N845" i="1"/>
  <c r="M845" i="1"/>
  <c r="L845" i="1"/>
  <c r="E845" i="1"/>
  <c r="D845" i="1"/>
  <c r="P844" i="1" a="1"/>
  <c r="P844" i="1" s="1"/>
  <c r="O844" i="1" a="1"/>
  <c r="O844" i="1" s="1"/>
  <c r="N844" i="1"/>
  <c r="M844" i="1"/>
  <c r="L844" i="1"/>
  <c r="E844" i="1"/>
  <c r="D844" i="1"/>
  <c r="P843" i="1"/>
  <c r="P843" i="1" a="1"/>
  <c r="O843" i="1"/>
  <c r="O843" i="1" a="1"/>
  <c r="M843" i="1"/>
  <c r="L843" i="1"/>
  <c r="N843" i="1" s="1"/>
  <c r="E843" i="1"/>
  <c r="D843" i="1"/>
  <c r="P842" i="1" a="1"/>
  <c r="P842" i="1" s="1"/>
  <c r="O842" i="1"/>
  <c r="O842" i="1" a="1"/>
  <c r="M842" i="1"/>
  <c r="L842" i="1"/>
  <c r="N842" i="1" s="1"/>
  <c r="E842" i="1"/>
  <c r="D842" i="1"/>
  <c r="P841" i="1"/>
  <c r="P841" i="1" a="1"/>
  <c r="O841" i="1" a="1"/>
  <c r="O841" i="1" s="1"/>
  <c r="N841" i="1"/>
  <c r="M841" i="1"/>
  <c r="L841" i="1"/>
  <c r="E841" i="1"/>
  <c r="D841" i="1"/>
  <c r="P840" i="1"/>
  <c r="P840" i="1" a="1"/>
  <c r="O840" i="1" a="1"/>
  <c r="O840" i="1" s="1"/>
  <c r="N840" i="1"/>
  <c r="M840" i="1"/>
  <c r="L840" i="1"/>
  <c r="E840" i="1"/>
  <c r="D840" i="1"/>
  <c r="P839" i="1" a="1"/>
  <c r="P839" i="1" s="1"/>
  <c r="O839" i="1"/>
  <c r="O839" i="1" a="1"/>
  <c r="M839" i="1"/>
  <c r="L839" i="1"/>
  <c r="N839" i="1" s="1"/>
  <c r="E839" i="1"/>
  <c r="D839" i="1"/>
  <c r="P838" i="1" a="1"/>
  <c r="P838" i="1" s="1"/>
  <c r="O838" i="1" a="1"/>
  <c r="O838" i="1" s="1"/>
  <c r="M838" i="1"/>
  <c r="L838" i="1"/>
  <c r="N838" i="1" s="1"/>
  <c r="E838" i="1"/>
  <c r="D838" i="1"/>
  <c r="P837" i="1"/>
  <c r="P837" i="1" a="1"/>
  <c r="O837" i="1"/>
  <c r="O837" i="1" a="1"/>
  <c r="N837" i="1"/>
  <c r="M837" i="1"/>
  <c r="L837" i="1"/>
  <c r="E837" i="1"/>
  <c r="D837" i="1"/>
  <c r="P836" i="1" a="1"/>
  <c r="P836" i="1" s="1"/>
  <c r="O836" i="1" a="1"/>
  <c r="O836" i="1" s="1"/>
  <c r="N836" i="1"/>
  <c r="M836" i="1"/>
  <c r="L836" i="1"/>
  <c r="E836" i="1"/>
  <c r="D836" i="1"/>
  <c r="P835" i="1"/>
  <c r="P835" i="1" a="1"/>
  <c r="O835" i="1"/>
  <c r="O835" i="1" a="1"/>
  <c r="M835" i="1"/>
  <c r="L835" i="1"/>
  <c r="N835" i="1" s="1"/>
  <c r="E835" i="1"/>
  <c r="D835" i="1"/>
  <c r="P834" i="1" a="1"/>
  <c r="P834" i="1" s="1"/>
  <c r="O834" i="1"/>
  <c r="O834" i="1" a="1"/>
  <c r="N834" i="1"/>
  <c r="M834" i="1"/>
  <c r="L834" i="1"/>
  <c r="E834" i="1"/>
  <c r="D834" i="1"/>
  <c r="P833" i="1"/>
  <c r="P833" i="1" a="1"/>
  <c r="O833" i="1" a="1"/>
  <c r="O833" i="1" s="1"/>
  <c r="N833" i="1"/>
  <c r="M833" i="1"/>
  <c r="L833" i="1"/>
  <c r="E833" i="1"/>
  <c r="D833" i="1"/>
  <c r="P832" i="1"/>
  <c r="P832" i="1" a="1"/>
  <c r="O832" i="1" a="1"/>
  <c r="O832" i="1" s="1"/>
  <c r="N832" i="1"/>
  <c r="M832" i="1"/>
  <c r="L832" i="1"/>
  <c r="E832" i="1"/>
  <c r="D832" i="1"/>
  <c r="P831" i="1" a="1"/>
  <c r="P831" i="1" s="1"/>
  <c r="O831" i="1"/>
  <c r="O831" i="1" a="1"/>
  <c r="M831" i="1"/>
  <c r="L831" i="1"/>
  <c r="N831" i="1" s="1"/>
  <c r="E831" i="1"/>
  <c r="D831" i="1"/>
  <c r="P830" i="1" a="1"/>
  <c r="P830" i="1" s="1"/>
  <c r="O830" i="1" a="1"/>
  <c r="O830" i="1" s="1"/>
  <c r="M830" i="1"/>
  <c r="L830" i="1"/>
  <c r="N830" i="1" s="1"/>
  <c r="E830" i="1"/>
  <c r="D830" i="1"/>
  <c r="P829" i="1"/>
  <c r="P829" i="1" a="1"/>
  <c r="O829" i="1"/>
  <c r="O829" i="1" a="1"/>
  <c r="N829" i="1"/>
  <c r="M829" i="1"/>
  <c r="L829" i="1"/>
  <c r="E829" i="1"/>
  <c r="D829" i="1"/>
  <c r="P828" i="1" a="1"/>
  <c r="P828" i="1" s="1"/>
  <c r="O828" i="1" a="1"/>
  <c r="O828" i="1" s="1"/>
  <c r="N828" i="1"/>
  <c r="M828" i="1"/>
  <c r="L828" i="1"/>
  <c r="E828" i="1"/>
  <c r="D828" i="1"/>
  <c r="P827" i="1"/>
  <c r="P827" i="1" a="1"/>
  <c r="O827" i="1"/>
  <c r="O827" i="1" a="1"/>
  <c r="M827" i="1"/>
  <c r="L827" i="1"/>
  <c r="N827" i="1" s="1"/>
  <c r="E827" i="1"/>
  <c r="D827" i="1"/>
  <c r="P826" i="1" a="1"/>
  <c r="P826" i="1" s="1"/>
  <c r="O826" i="1"/>
  <c r="O826" i="1" a="1"/>
  <c r="M826" i="1"/>
  <c r="L826" i="1"/>
  <c r="N826" i="1" s="1"/>
  <c r="E826" i="1"/>
  <c r="D826" i="1"/>
  <c r="P825" i="1"/>
  <c r="P825" i="1" a="1"/>
  <c r="O825" i="1" a="1"/>
  <c r="O825" i="1" s="1"/>
  <c r="N825" i="1"/>
  <c r="M825" i="1"/>
  <c r="L825" i="1"/>
  <c r="E825" i="1"/>
  <c r="D825" i="1"/>
  <c r="P824" i="1"/>
  <c r="P824" i="1" a="1"/>
  <c r="O824" i="1" a="1"/>
  <c r="O824" i="1" s="1"/>
  <c r="N824" i="1"/>
  <c r="M824" i="1"/>
  <c r="L824" i="1"/>
  <c r="E824" i="1"/>
  <c r="D824" i="1"/>
  <c r="P823" i="1" a="1"/>
  <c r="P823" i="1" s="1"/>
  <c r="O823" i="1"/>
  <c r="O823" i="1" a="1"/>
  <c r="M823" i="1"/>
  <c r="L823" i="1"/>
  <c r="N823" i="1" s="1"/>
  <c r="E823" i="1"/>
  <c r="D823" i="1"/>
  <c r="P822" i="1" a="1"/>
  <c r="P822" i="1" s="1"/>
  <c r="O822" i="1" a="1"/>
  <c r="O822" i="1" s="1"/>
  <c r="M822" i="1"/>
  <c r="L822" i="1"/>
  <c r="N822" i="1" s="1"/>
  <c r="E822" i="1"/>
  <c r="D822" i="1"/>
  <c r="P821" i="1"/>
  <c r="P821" i="1" a="1"/>
  <c r="O821" i="1"/>
  <c r="O821" i="1" a="1"/>
  <c r="N821" i="1"/>
  <c r="M821" i="1"/>
  <c r="L821" i="1"/>
  <c r="E821" i="1"/>
  <c r="D821" i="1"/>
  <c r="P820" i="1" a="1"/>
  <c r="P820" i="1" s="1"/>
  <c r="O820" i="1" a="1"/>
  <c r="O820" i="1" s="1"/>
  <c r="N820" i="1"/>
  <c r="M820" i="1"/>
  <c r="L820" i="1"/>
  <c r="E820" i="1"/>
  <c r="D820" i="1"/>
  <c r="P819" i="1"/>
  <c r="P819" i="1" a="1"/>
  <c r="O819" i="1"/>
  <c r="O819" i="1" a="1"/>
  <c r="M819" i="1"/>
  <c r="L819" i="1"/>
  <c r="N819" i="1" s="1"/>
  <c r="E819" i="1"/>
  <c r="D819" i="1"/>
  <c r="P818" i="1" a="1"/>
  <c r="P818" i="1" s="1"/>
  <c r="O818" i="1"/>
  <c r="O818" i="1" a="1"/>
  <c r="M818" i="1"/>
  <c r="L818" i="1"/>
  <c r="N818" i="1" s="1"/>
  <c r="E818" i="1"/>
  <c r="D818" i="1"/>
  <c r="P817" i="1"/>
  <c r="P817" i="1" a="1"/>
  <c r="O817" i="1" a="1"/>
  <c r="O817" i="1" s="1"/>
  <c r="N817" i="1"/>
  <c r="M817" i="1"/>
  <c r="L817" i="1"/>
  <c r="E817" i="1"/>
  <c r="D817" i="1"/>
  <c r="P816" i="1"/>
  <c r="P816" i="1" a="1"/>
  <c r="O816" i="1" a="1"/>
  <c r="O816" i="1" s="1"/>
  <c r="N816" i="1"/>
  <c r="M816" i="1"/>
  <c r="L816" i="1"/>
  <c r="E816" i="1"/>
  <c r="D816" i="1"/>
  <c r="P815" i="1" a="1"/>
  <c r="P815" i="1" s="1"/>
  <c r="O815" i="1"/>
  <c r="O815" i="1" a="1"/>
  <c r="M815" i="1"/>
  <c r="L815" i="1"/>
  <c r="N815" i="1" s="1"/>
  <c r="E815" i="1"/>
  <c r="D815" i="1"/>
  <c r="P814" i="1" a="1"/>
  <c r="P814" i="1" s="1"/>
  <c r="O814" i="1" a="1"/>
  <c r="O814" i="1" s="1"/>
  <c r="M814" i="1"/>
  <c r="L814" i="1"/>
  <c r="N814" i="1" s="1"/>
  <c r="E814" i="1"/>
  <c r="D814" i="1"/>
  <c r="P813" i="1"/>
  <c r="P813" i="1" a="1"/>
  <c r="O813" i="1"/>
  <c r="O813" i="1" a="1"/>
  <c r="N813" i="1"/>
  <c r="M813" i="1"/>
  <c r="L813" i="1"/>
  <c r="E813" i="1"/>
  <c r="D813" i="1"/>
  <c r="P812" i="1" a="1"/>
  <c r="P812" i="1" s="1"/>
  <c r="O812" i="1" a="1"/>
  <c r="O812" i="1" s="1"/>
  <c r="N812" i="1"/>
  <c r="M812" i="1"/>
  <c r="L812" i="1"/>
  <c r="E812" i="1"/>
  <c r="D812" i="1"/>
  <c r="P811" i="1"/>
  <c r="P811" i="1" a="1"/>
  <c r="O811" i="1"/>
  <c r="O811" i="1" a="1"/>
  <c r="M811" i="1"/>
  <c r="L811" i="1"/>
  <c r="N811" i="1" s="1"/>
  <c r="E811" i="1"/>
  <c r="D811" i="1"/>
  <c r="P810" i="1" a="1"/>
  <c r="P810" i="1" s="1"/>
  <c r="O810" i="1"/>
  <c r="O810" i="1" a="1"/>
  <c r="M810" i="1"/>
  <c r="L810" i="1"/>
  <c r="N810" i="1" s="1"/>
  <c r="E810" i="1"/>
  <c r="D810" i="1"/>
  <c r="P809" i="1"/>
  <c r="P809" i="1" a="1"/>
  <c r="O809" i="1" a="1"/>
  <c r="O809" i="1" s="1"/>
  <c r="N809" i="1"/>
  <c r="M809" i="1"/>
  <c r="L809" i="1"/>
  <c r="E809" i="1"/>
  <c r="D809" i="1"/>
  <c r="P808" i="1"/>
  <c r="P808" i="1" a="1"/>
  <c r="O808" i="1" a="1"/>
  <c r="O808" i="1" s="1"/>
  <c r="N808" i="1"/>
  <c r="M808" i="1"/>
  <c r="L808" i="1"/>
  <c r="E808" i="1"/>
  <c r="D808" i="1"/>
  <c r="P807" i="1" a="1"/>
  <c r="P807" i="1" s="1"/>
  <c r="O807" i="1"/>
  <c r="O807" i="1" a="1"/>
  <c r="M807" i="1"/>
  <c r="L807" i="1"/>
  <c r="N807" i="1" s="1"/>
  <c r="E807" i="1"/>
  <c r="D807" i="1"/>
  <c r="P806" i="1" a="1"/>
  <c r="P806" i="1" s="1"/>
  <c r="O806" i="1" a="1"/>
  <c r="O806" i="1" s="1"/>
  <c r="M806" i="1"/>
  <c r="L806" i="1"/>
  <c r="N806" i="1" s="1"/>
  <c r="E806" i="1"/>
  <c r="D806" i="1"/>
  <c r="P805" i="1"/>
  <c r="P805" i="1" a="1"/>
  <c r="O805" i="1"/>
  <c r="O805" i="1" a="1"/>
  <c r="N805" i="1"/>
  <c r="M805" i="1"/>
  <c r="L805" i="1"/>
  <c r="E805" i="1"/>
  <c r="D805" i="1"/>
  <c r="P804" i="1" a="1"/>
  <c r="P804" i="1" s="1"/>
  <c r="O804" i="1" a="1"/>
  <c r="O804" i="1" s="1"/>
  <c r="N804" i="1"/>
  <c r="M804" i="1"/>
  <c r="L804" i="1"/>
  <c r="E804" i="1"/>
  <c r="D804" i="1"/>
  <c r="P803" i="1"/>
  <c r="P803" i="1" a="1"/>
  <c r="O803" i="1"/>
  <c r="O803" i="1" a="1"/>
  <c r="M803" i="1"/>
  <c r="L803" i="1"/>
  <c r="N803" i="1" s="1"/>
  <c r="E803" i="1"/>
  <c r="D803" i="1"/>
  <c r="P802" i="1" a="1"/>
  <c r="P802" i="1" s="1"/>
  <c r="O802" i="1"/>
  <c r="O802" i="1" a="1"/>
  <c r="M802" i="1"/>
  <c r="L802" i="1"/>
  <c r="N802" i="1" s="1"/>
  <c r="E802" i="1"/>
  <c r="D802" i="1"/>
  <c r="P801" i="1"/>
  <c r="P801" i="1" a="1"/>
  <c r="O801" i="1" a="1"/>
  <c r="O801" i="1" s="1"/>
  <c r="N801" i="1"/>
  <c r="M801" i="1"/>
  <c r="L801" i="1"/>
  <c r="E801" i="1"/>
  <c r="D801" i="1"/>
  <c r="P800" i="1"/>
  <c r="P800" i="1" a="1"/>
  <c r="O800" i="1" a="1"/>
  <c r="O800" i="1" s="1"/>
  <c r="N800" i="1"/>
  <c r="M800" i="1"/>
  <c r="L800" i="1"/>
  <c r="E800" i="1"/>
  <c r="D800" i="1"/>
  <c r="P799" i="1" a="1"/>
  <c r="P799" i="1" s="1"/>
  <c r="O799" i="1"/>
  <c r="O799" i="1" a="1"/>
  <c r="M799" i="1"/>
  <c r="L799" i="1"/>
  <c r="N799" i="1" s="1"/>
  <c r="E799" i="1"/>
  <c r="D799" i="1"/>
  <c r="P798" i="1" a="1"/>
  <c r="P798" i="1" s="1"/>
  <c r="O798" i="1" a="1"/>
  <c r="O798" i="1" s="1"/>
  <c r="M798" i="1"/>
  <c r="L798" i="1"/>
  <c r="N798" i="1" s="1"/>
  <c r="E798" i="1"/>
  <c r="D798" i="1"/>
  <c r="P797" i="1"/>
  <c r="P797" i="1" a="1"/>
  <c r="O797" i="1"/>
  <c r="O797" i="1" a="1"/>
  <c r="N797" i="1"/>
  <c r="M797" i="1"/>
  <c r="L797" i="1"/>
  <c r="E797" i="1"/>
  <c r="D797" i="1"/>
  <c r="P796" i="1" a="1"/>
  <c r="P796" i="1" s="1"/>
  <c r="O796" i="1" a="1"/>
  <c r="O796" i="1" s="1"/>
  <c r="N796" i="1"/>
  <c r="M796" i="1"/>
  <c r="L796" i="1"/>
  <c r="E796" i="1"/>
  <c r="D796" i="1"/>
  <c r="P795" i="1"/>
  <c r="P795" i="1" a="1"/>
  <c r="O795" i="1"/>
  <c r="O795" i="1" a="1"/>
  <c r="M795" i="1"/>
  <c r="L795" i="1"/>
  <c r="N795" i="1" s="1"/>
  <c r="E795" i="1"/>
  <c r="D795" i="1"/>
  <c r="P794" i="1" a="1"/>
  <c r="P794" i="1" s="1"/>
  <c r="O794" i="1"/>
  <c r="O794" i="1" a="1"/>
  <c r="M794" i="1"/>
  <c r="L794" i="1"/>
  <c r="N794" i="1" s="1"/>
  <c r="E794" i="1"/>
  <c r="D794" i="1"/>
  <c r="P793" i="1"/>
  <c r="P793" i="1" a="1"/>
  <c r="O793" i="1" a="1"/>
  <c r="O793" i="1" s="1"/>
  <c r="N793" i="1"/>
  <c r="M793" i="1"/>
  <c r="L793" i="1"/>
  <c r="E793" i="1"/>
  <c r="D793" i="1"/>
  <c r="P792" i="1"/>
  <c r="P792" i="1" a="1"/>
  <c r="O792" i="1" a="1"/>
  <c r="O792" i="1" s="1"/>
  <c r="N792" i="1"/>
  <c r="M792" i="1"/>
  <c r="L792" i="1"/>
  <c r="E792" i="1"/>
  <c r="D792" i="1"/>
  <c r="P791" i="1" a="1"/>
  <c r="P791" i="1" s="1"/>
  <c r="O791" i="1"/>
  <c r="O791" i="1" a="1"/>
  <c r="M791" i="1"/>
  <c r="L791" i="1"/>
  <c r="N791" i="1" s="1"/>
  <c r="E791" i="1"/>
  <c r="D791" i="1"/>
  <c r="P790" i="1" a="1"/>
  <c r="P790" i="1" s="1"/>
  <c r="O790" i="1" a="1"/>
  <c r="O790" i="1" s="1"/>
  <c r="M790" i="1"/>
  <c r="L790" i="1"/>
  <c r="N790" i="1" s="1"/>
  <c r="E790" i="1"/>
  <c r="D790" i="1"/>
  <c r="P789" i="1"/>
  <c r="P789" i="1" a="1"/>
  <c r="O789" i="1"/>
  <c r="O789" i="1" a="1"/>
  <c r="N789" i="1"/>
  <c r="M789" i="1"/>
  <c r="L789" i="1"/>
  <c r="E789" i="1"/>
  <c r="D789" i="1"/>
  <c r="P788" i="1" a="1"/>
  <c r="P788" i="1" s="1"/>
  <c r="O788" i="1" a="1"/>
  <c r="O788" i="1" s="1"/>
  <c r="N788" i="1"/>
  <c r="M788" i="1"/>
  <c r="L788" i="1"/>
  <c r="E788" i="1"/>
  <c r="D788" i="1"/>
  <c r="P787" i="1"/>
  <c r="P787" i="1" a="1"/>
  <c r="O787" i="1"/>
  <c r="O787" i="1" a="1"/>
  <c r="M787" i="1"/>
  <c r="L787" i="1"/>
  <c r="N787" i="1" s="1"/>
  <c r="E787" i="1"/>
  <c r="D787" i="1"/>
  <c r="P786" i="1" a="1"/>
  <c r="P786" i="1" s="1"/>
  <c r="O786" i="1"/>
  <c r="O786" i="1" a="1"/>
  <c r="N786" i="1"/>
  <c r="M786" i="1"/>
  <c r="L786" i="1"/>
  <c r="E786" i="1"/>
  <c r="D786" i="1"/>
  <c r="P785" i="1"/>
  <c r="P785" i="1" a="1"/>
  <c r="O785" i="1" a="1"/>
  <c r="O785" i="1" s="1"/>
  <c r="N785" i="1"/>
  <c r="M785" i="1"/>
  <c r="L785" i="1"/>
  <c r="E785" i="1"/>
  <c r="D785" i="1"/>
  <c r="P784" i="1"/>
  <c r="P784" i="1" a="1"/>
  <c r="O784" i="1" a="1"/>
  <c r="O784" i="1" s="1"/>
  <c r="N784" i="1"/>
  <c r="M784" i="1"/>
  <c r="L784" i="1"/>
  <c r="E784" i="1"/>
  <c r="D784" i="1"/>
  <c r="P783" i="1" a="1"/>
  <c r="P783" i="1" s="1"/>
  <c r="O783" i="1"/>
  <c r="O783" i="1" a="1"/>
  <c r="M783" i="1"/>
  <c r="L783" i="1"/>
  <c r="N783" i="1" s="1"/>
  <c r="E783" i="1"/>
  <c r="D783" i="1"/>
  <c r="P782" i="1" a="1"/>
  <c r="P782" i="1" s="1"/>
  <c r="O782" i="1" a="1"/>
  <c r="O782" i="1" s="1"/>
  <c r="M782" i="1"/>
  <c r="L782" i="1"/>
  <c r="N782" i="1" s="1"/>
  <c r="E782" i="1"/>
  <c r="D782" i="1"/>
  <c r="P781" i="1"/>
  <c r="P781" i="1" a="1"/>
  <c r="O781" i="1"/>
  <c r="O781" i="1" a="1"/>
  <c r="N781" i="1"/>
  <c r="M781" i="1"/>
  <c r="L781" i="1"/>
  <c r="E781" i="1"/>
  <c r="D781" i="1"/>
  <c r="P780" i="1" a="1"/>
  <c r="P780" i="1" s="1"/>
  <c r="O780" i="1" a="1"/>
  <c r="O780" i="1" s="1"/>
  <c r="N780" i="1"/>
  <c r="M780" i="1"/>
  <c r="L780" i="1"/>
  <c r="E780" i="1"/>
  <c r="D780" i="1"/>
  <c r="P779" i="1"/>
  <c r="P779" i="1" a="1"/>
  <c r="O779" i="1"/>
  <c r="O779" i="1" a="1"/>
  <c r="M779" i="1"/>
  <c r="L779" i="1"/>
  <c r="N779" i="1" s="1"/>
  <c r="E779" i="1"/>
  <c r="D779" i="1"/>
  <c r="P778" i="1" a="1"/>
  <c r="P778" i="1" s="1"/>
  <c r="O778" i="1"/>
  <c r="O778" i="1" a="1"/>
  <c r="N778" i="1"/>
  <c r="M778" i="1"/>
  <c r="L778" i="1"/>
  <c r="E778" i="1"/>
  <c r="D778" i="1"/>
  <c r="P777" i="1"/>
  <c r="P777" i="1" a="1"/>
  <c r="O777" i="1" a="1"/>
  <c r="O777" i="1" s="1"/>
  <c r="N777" i="1"/>
  <c r="M777" i="1"/>
  <c r="L777" i="1"/>
  <c r="E777" i="1"/>
  <c r="D777" i="1"/>
  <c r="P776" i="1"/>
  <c r="P776" i="1" a="1"/>
  <c r="O776" i="1" a="1"/>
  <c r="O776" i="1" s="1"/>
  <c r="N776" i="1"/>
  <c r="M776" i="1"/>
  <c r="L776" i="1"/>
  <c r="E776" i="1"/>
  <c r="D776" i="1"/>
  <c r="P775" i="1" a="1"/>
  <c r="P775" i="1" s="1"/>
  <c r="O775" i="1"/>
  <c r="O775" i="1" a="1"/>
  <c r="M775" i="1"/>
  <c r="L775" i="1"/>
  <c r="N775" i="1" s="1"/>
  <c r="E775" i="1"/>
  <c r="D775" i="1"/>
  <c r="P774" i="1" a="1"/>
  <c r="P774" i="1" s="1"/>
  <c r="O774" i="1" a="1"/>
  <c r="O774" i="1" s="1"/>
  <c r="M774" i="1"/>
  <c r="L774" i="1"/>
  <c r="N774" i="1" s="1"/>
  <c r="E774" i="1"/>
  <c r="D774" i="1"/>
  <c r="P773" i="1"/>
  <c r="P773" i="1" a="1"/>
  <c r="O773" i="1"/>
  <c r="O773" i="1" a="1"/>
  <c r="N773" i="1"/>
  <c r="M773" i="1"/>
  <c r="L773" i="1"/>
  <c r="E773" i="1"/>
  <c r="D773" i="1"/>
  <c r="P772" i="1" a="1"/>
  <c r="P772" i="1" s="1"/>
  <c r="O772" i="1" a="1"/>
  <c r="O772" i="1" s="1"/>
  <c r="N772" i="1"/>
  <c r="M772" i="1"/>
  <c r="L772" i="1"/>
  <c r="E772" i="1"/>
  <c r="D772" i="1"/>
  <c r="P771" i="1"/>
  <c r="P771" i="1" a="1"/>
  <c r="O771" i="1"/>
  <c r="O771" i="1" a="1"/>
  <c r="M771" i="1"/>
  <c r="L771" i="1"/>
  <c r="N771" i="1" s="1"/>
  <c r="E771" i="1"/>
  <c r="D771" i="1"/>
  <c r="P770" i="1" a="1"/>
  <c r="P770" i="1" s="1"/>
  <c r="O770" i="1"/>
  <c r="O770" i="1" a="1"/>
  <c r="N770" i="1"/>
  <c r="M770" i="1"/>
  <c r="L770" i="1"/>
  <c r="E770" i="1"/>
  <c r="D770" i="1"/>
  <c r="P769" i="1"/>
  <c r="P769" i="1" a="1"/>
  <c r="O769" i="1" a="1"/>
  <c r="O769" i="1" s="1"/>
  <c r="N769" i="1"/>
  <c r="M769" i="1"/>
  <c r="L769" i="1"/>
  <c r="E769" i="1"/>
  <c r="D769" i="1"/>
  <c r="P768" i="1"/>
  <c r="P768" i="1" a="1"/>
  <c r="O768" i="1" a="1"/>
  <c r="O768" i="1" s="1"/>
  <c r="N768" i="1"/>
  <c r="M768" i="1"/>
  <c r="L768" i="1"/>
  <c r="E768" i="1"/>
  <c r="D768" i="1"/>
  <c r="P767" i="1" a="1"/>
  <c r="P767" i="1" s="1"/>
  <c r="O767" i="1"/>
  <c r="O767" i="1" a="1"/>
  <c r="M767" i="1"/>
  <c r="L767" i="1"/>
  <c r="N767" i="1" s="1"/>
  <c r="E767" i="1"/>
  <c r="D767" i="1"/>
  <c r="P766" i="1" a="1"/>
  <c r="P766" i="1" s="1"/>
  <c r="O766" i="1" a="1"/>
  <c r="O766" i="1" s="1"/>
  <c r="M766" i="1"/>
  <c r="L766" i="1"/>
  <c r="N766" i="1" s="1"/>
  <c r="E766" i="1"/>
  <c r="D766" i="1"/>
  <c r="P765" i="1"/>
  <c r="P765" i="1" a="1"/>
  <c r="O765" i="1"/>
  <c r="O765" i="1" a="1"/>
  <c r="N765" i="1"/>
  <c r="M765" i="1"/>
  <c r="L765" i="1"/>
  <c r="E765" i="1"/>
  <c r="D765" i="1"/>
  <c r="P764" i="1" a="1"/>
  <c r="P764" i="1" s="1"/>
  <c r="O764" i="1" a="1"/>
  <c r="O764" i="1" s="1"/>
  <c r="N764" i="1"/>
  <c r="M764" i="1"/>
  <c r="L764" i="1"/>
  <c r="E764" i="1"/>
  <c r="D764" i="1"/>
  <c r="P763" i="1"/>
  <c r="P763" i="1" a="1"/>
  <c r="O763" i="1"/>
  <c r="O763" i="1" a="1"/>
  <c r="M763" i="1"/>
  <c r="L763" i="1"/>
  <c r="N763" i="1" s="1"/>
  <c r="E763" i="1"/>
  <c r="D763" i="1"/>
  <c r="P762" i="1" a="1"/>
  <c r="P762" i="1" s="1"/>
  <c r="O762" i="1"/>
  <c r="O762" i="1" a="1"/>
  <c r="N762" i="1"/>
  <c r="M762" i="1"/>
  <c r="L762" i="1"/>
  <c r="E762" i="1"/>
  <c r="D762" i="1"/>
  <c r="P761" i="1"/>
  <c r="P761" i="1" a="1"/>
  <c r="O761" i="1" a="1"/>
  <c r="O761" i="1" s="1"/>
  <c r="N761" i="1"/>
  <c r="M761" i="1"/>
  <c r="L761" i="1"/>
  <c r="E761" i="1"/>
  <c r="D761" i="1"/>
  <c r="P760" i="1"/>
  <c r="P760" i="1" a="1"/>
  <c r="O760" i="1" a="1"/>
  <c r="O760" i="1" s="1"/>
  <c r="N760" i="1"/>
  <c r="M760" i="1"/>
  <c r="L760" i="1"/>
  <c r="E760" i="1"/>
  <c r="D760" i="1"/>
  <c r="P759" i="1" a="1"/>
  <c r="P759" i="1" s="1"/>
  <c r="O759" i="1"/>
  <c r="O759" i="1" a="1"/>
  <c r="N759" i="1"/>
  <c r="M759" i="1"/>
  <c r="L759" i="1"/>
  <c r="E759" i="1"/>
  <c r="D759" i="1"/>
  <c r="P758" i="1" a="1"/>
  <c r="P758" i="1" s="1"/>
  <c r="O758" i="1" a="1"/>
  <c r="O758" i="1" s="1"/>
  <c r="M758" i="1"/>
  <c r="L758" i="1"/>
  <c r="N758" i="1" s="1"/>
  <c r="E758" i="1"/>
  <c r="D758" i="1"/>
  <c r="P757" i="1"/>
  <c r="P757" i="1" a="1"/>
  <c r="O757" i="1"/>
  <c r="O757" i="1" a="1"/>
  <c r="N757" i="1"/>
  <c r="M757" i="1"/>
  <c r="L757" i="1"/>
  <c r="E757" i="1"/>
  <c r="D757" i="1"/>
  <c r="P756" i="1" a="1"/>
  <c r="P756" i="1" s="1"/>
  <c r="O756" i="1" a="1"/>
  <c r="O756" i="1" s="1"/>
  <c r="N756" i="1"/>
  <c r="M756" i="1"/>
  <c r="L756" i="1"/>
  <c r="E756" i="1"/>
  <c r="D756" i="1"/>
  <c r="P755" i="1"/>
  <c r="P755" i="1" a="1"/>
  <c r="O755" i="1"/>
  <c r="O755" i="1" a="1"/>
  <c r="M755" i="1"/>
  <c r="L755" i="1"/>
  <c r="N755" i="1" s="1"/>
  <c r="E755" i="1"/>
  <c r="D755" i="1"/>
  <c r="P754" i="1" a="1"/>
  <c r="P754" i="1" s="1"/>
  <c r="O754" i="1"/>
  <c r="O754" i="1" a="1"/>
  <c r="N754" i="1"/>
  <c r="M754" i="1"/>
  <c r="L754" i="1"/>
  <c r="E754" i="1"/>
  <c r="D754" i="1"/>
  <c r="P753" i="1"/>
  <c r="P753" i="1" a="1"/>
  <c r="O753" i="1" a="1"/>
  <c r="O753" i="1" s="1"/>
  <c r="N753" i="1"/>
  <c r="M753" i="1"/>
  <c r="L753" i="1"/>
  <c r="E753" i="1"/>
  <c r="D753" i="1"/>
  <c r="P752" i="1"/>
  <c r="P752" i="1" a="1"/>
  <c r="O752" i="1" a="1"/>
  <c r="O752" i="1" s="1"/>
  <c r="N752" i="1"/>
  <c r="M752" i="1"/>
  <c r="L752" i="1"/>
  <c r="E752" i="1"/>
  <c r="D752" i="1"/>
  <c r="P751" i="1" a="1"/>
  <c r="P751" i="1" s="1"/>
  <c r="O751" i="1"/>
  <c r="O751" i="1" a="1"/>
  <c r="M751" i="1"/>
  <c r="L751" i="1"/>
  <c r="N751" i="1" s="1"/>
  <c r="E751" i="1"/>
  <c r="D751" i="1"/>
  <c r="P750" i="1" a="1"/>
  <c r="P750" i="1" s="1"/>
  <c r="O750" i="1" a="1"/>
  <c r="O750" i="1" s="1"/>
  <c r="M750" i="1"/>
  <c r="L750" i="1"/>
  <c r="N750" i="1" s="1"/>
  <c r="E750" i="1"/>
  <c r="D750" i="1"/>
  <c r="P749" i="1"/>
  <c r="P749" i="1" a="1"/>
  <c r="O749" i="1"/>
  <c r="O749" i="1" a="1"/>
  <c r="N749" i="1"/>
  <c r="M749" i="1"/>
  <c r="L749" i="1"/>
  <c r="E749" i="1"/>
  <c r="D749" i="1"/>
  <c r="P748" i="1" a="1"/>
  <c r="P748" i="1" s="1"/>
  <c r="O748" i="1" a="1"/>
  <c r="O748" i="1" s="1"/>
  <c r="N748" i="1"/>
  <c r="M748" i="1"/>
  <c r="L748" i="1"/>
  <c r="E748" i="1"/>
  <c r="D748" i="1"/>
  <c r="P747" i="1"/>
  <c r="P747" i="1" a="1"/>
  <c r="O747" i="1"/>
  <c r="O747" i="1" a="1"/>
  <c r="M747" i="1"/>
  <c r="L747" i="1"/>
  <c r="N747" i="1" s="1"/>
  <c r="E747" i="1"/>
  <c r="D747" i="1"/>
  <c r="P746" i="1" a="1"/>
  <c r="P746" i="1" s="1"/>
  <c r="O746" i="1"/>
  <c r="O746" i="1" a="1"/>
  <c r="N746" i="1"/>
  <c r="M746" i="1"/>
  <c r="L746" i="1"/>
  <c r="E746" i="1"/>
  <c r="D746" i="1"/>
  <c r="P745" i="1"/>
  <c r="P745" i="1" a="1"/>
  <c r="O745" i="1" a="1"/>
  <c r="O745" i="1" s="1"/>
  <c r="N745" i="1"/>
  <c r="M745" i="1"/>
  <c r="L745" i="1"/>
  <c r="E745" i="1"/>
  <c r="D745" i="1"/>
  <c r="P744" i="1"/>
  <c r="P744" i="1" a="1"/>
  <c r="O744" i="1" a="1"/>
  <c r="O744" i="1" s="1"/>
  <c r="M744" i="1"/>
  <c r="L744" i="1"/>
  <c r="N744" i="1" s="1"/>
  <c r="E744" i="1"/>
  <c r="D744" i="1"/>
  <c r="P743" i="1" a="1"/>
  <c r="P743" i="1" s="1"/>
  <c r="O743" i="1"/>
  <c r="O743" i="1" a="1"/>
  <c r="M743" i="1"/>
  <c r="L743" i="1"/>
  <c r="N743" i="1" s="1"/>
  <c r="E743" i="1"/>
  <c r="D743" i="1"/>
  <c r="P742" i="1" a="1"/>
  <c r="P742" i="1" s="1"/>
  <c r="O742" i="1" a="1"/>
  <c r="O742" i="1" s="1"/>
  <c r="M742" i="1"/>
  <c r="L742" i="1"/>
  <c r="N742" i="1" s="1"/>
  <c r="E742" i="1"/>
  <c r="D742" i="1"/>
  <c r="P741" i="1"/>
  <c r="P741" i="1" a="1"/>
  <c r="O741" i="1"/>
  <c r="O741" i="1" a="1"/>
  <c r="N741" i="1"/>
  <c r="M741" i="1"/>
  <c r="L741" i="1"/>
  <c r="E741" i="1"/>
  <c r="D741" i="1"/>
  <c r="P740" i="1" a="1"/>
  <c r="P740" i="1" s="1"/>
  <c r="O740" i="1" a="1"/>
  <c r="O740" i="1" s="1"/>
  <c r="N740" i="1"/>
  <c r="M740" i="1"/>
  <c r="L740" i="1"/>
  <c r="E740" i="1"/>
  <c r="D740" i="1"/>
  <c r="P739" i="1"/>
  <c r="P739" i="1" a="1"/>
  <c r="O739" i="1"/>
  <c r="O739" i="1" a="1"/>
  <c r="M739" i="1"/>
  <c r="L739" i="1"/>
  <c r="N739" i="1" s="1"/>
  <c r="E739" i="1"/>
  <c r="D739" i="1"/>
  <c r="P738" i="1" a="1"/>
  <c r="P738" i="1" s="1"/>
  <c r="O738" i="1"/>
  <c r="O738" i="1" a="1"/>
  <c r="N738" i="1"/>
  <c r="M738" i="1"/>
  <c r="L738" i="1"/>
  <c r="E738" i="1"/>
  <c r="D738" i="1"/>
  <c r="P737" i="1"/>
  <c r="P737" i="1" a="1"/>
  <c r="O737" i="1" a="1"/>
  <c r="O737" i="1" s="1"/>
  <c r="N737" i="1"/>
  <c r="M737" i="1"/>
  <c r="L737" i="1"/>
  <c r="E737" i="1"/>
  <c r="D737" i="1"/>
  <c r="P736" i="1"/>
  <c r="P736" i="1" a="1"/>
  <c r="O736" i="1" a="1"/>
  <c r="O736" i="1" s="1"/>
  <c r="M736" i="1"/>
  <c r="L736" i="1"/>
  <c r="N736" i="1" s="1"/>
  <c r="E736" i="1"/>
  <c r="D736" i="1"/>
  <c r="P735" i="1" a="1"/>
  <c r="P735" i="1" s="1"/>
  <c r="O735" i="1"/>
  <c r="O735" i="1" a="1"/>
  <c r="M735" i="1"/>
  <c r="L735" i="1"/>
  <c r="N735" i="1" s="1"/>
  <c r="E735" i="1"/>
  <c r="D735" i="1"/>
  <c r="P734" i="1" a="1"/>
  <c r="P734" i="1" s="1"/>
  <c r="O734" i="1" a="1"/>
  <c r="O734" i="1" s="1"/>
  <c r="M734" i="1"/>
  <c r="L734" i="1"/>
  <c r="N734" i="1" s="1"/>
  <c r="E734" i="1"/>
  <c r="D734" i="1"/>
  <c r="P733" i="1"/>
  <c r="P733" i="1" a="1"/>
  <c r="O733" i="1"/>
  <c r="O733" i="1" a="1"/>
  <c r="N733" i="1"/>
  <c r="M733" i="1"/>
  <c r="L733" i="1"/>
  <c r="E733" i="1"/>
  <c r="D733" i="1"/>
  <c r="P732" i="1" a="1"/>
  <c r="P732" i="1" s="1"/>
  <c r="O732" i="1" a="1"/>
  <c r="O732" i="1" s="1"/>
  <c r="N732" i="1"/>
  <c r="M732" i="1"/>
  <c r="L732" i="1"/>
  <c r="E732" i="1"/>
  <c r="D732" i="1"/>
  <c r="P731" i="1"/>
  <c r="P731" i="1" a="1"/>
  <c r="O731" i="1"/>
  <c r="O731" i="1" a="1"/>
  <c r="M731" i="1"/>
  <c r="L731" i="1"/>
  <c r="N731" i="1" s="1"/>
  <c r="E731" i="1"/>
  <c r="D731" i="1"/>
  <c r="P730" i="1" a="1"/>
  <c r="P730" i="1" s="1"/>
  <c r="O730" i="1"/>
  <c r="O730" i="1" a="1"/>
  <c r="N730" i="1"/>
  <c r="M730" i="1"/>
  <c r="L730" i="1"/>
  <c r="E730" i="1"/>
  <c r="D730" i="1"/>
  <c r="P729" i="1"/>
  <c r="P729" i="1" a="1"/>
  <c r="O729" i="1" a="1"/>
  <c r="O729" i="1" s="1"/>
  <c r="N729" i="1"/>
  <c r="M729" i="1"/>
  <c r="L729" i="1"/>
  <c r="E729" i="1"/>
  <c r="D729" i="1"/>
  <c r="P728" i="1"/>
  <c r="P728" i="1" a="1"/>
  <c r="O728" i="1" a="1"/>
  <c r="O728" i="1" s="1"/>
  <c r="M728" i="1"/>
  <c r="L728" i="1"/>
  <c r="N728" i="1" s="1"/>
  <c r="E728" i="1"/>
  <c r="D728" i="1"/>
  <c r="P727" i="1" a="1"/>
  <c r="P727" i="1" s="1"/>
  <c r="O727" i="1"/>
  <c r="O727" i="1" a="1"/>
  <c r="M727" i="1"/>
  <c r="L727" i="1"/>
  <c r="N727" i="1" s="1"/>
  <c r="E727" i="1"/>
  <c r="D727" i="1"/>
  <c r="P726" i="1" a="1"/>
  <c r="P726" i="1" s="1"/>
  <c r="O726" i="1" a="1"/>
  <c r="O726" i="1" s="1"/>
  <c r="M726" i="1"/>
  <c r="L726" i="1"/>
  <c r="N726" i="1" s="1"/>
  <c r="E726" i="1"/>
  <c r="D726" i="1"/>
  <c r="P725" i="1"/>
  <c r="P725" i="1" a="1"/>
  <c r="O725" i="1"/>
  <c r="O725" i="1" a="1"/>
  <c r="N725" i="1"/>
  <c r="M725" i="1"/>
  <c r="L725" i="1"/>
  <c r="E725" i="1"/>
  <c r="D725" i="1"/>
  <c r="P724" i="1" a="1"/>
  <c r="P724" i="1" s="1"/>
  <c r="O724" i="1" a="1"/>
  <c r="O724" i="1" s="1"/>
  <c r="N724" i="1"/>
  <c r="M724" i="1"/>
  <c r="L724" i="1"/>
  <c r="E724" i="1"/>
  <c r="D724" i="1"/>
  <c r="P723" i="1"/>
  <c r="P723" i="1" a="1"/>
  <c r="O723" i="1"/>
  <c r="O723" i="1" a="1"/>
  <c r="M723" i="1"/>
  <c r="L723" i="1"/>
  <c r="N723" i="1" s="1"/>
  <c r="E723" i="1"/>
  <c r="D723" i="1"/>
  <c r="P722" i="1" a="1"/>
  <c r="P722" i="1" s="1"/>
  <c r="O722" i="1"/>
  <c r="O722" i="1" a="1"/>
  <c r="N722" i="1"/>
  <c r="M722" i="1"/>
  <c r="L722" i="1"/>
  <c r="E722" i="1"/>
  <c r="D722" i="1"/>
  <c r="P721" i="1"/>
  <c r="P721" i="1" a="1"/>
  <c r="O721" i="1" a="1"/>
  <c r="O721" i="1" s="1"/>
  <c r="N721" i="1"/>
  <c r="M721" i="1"/>
  <c r="L721" i="1"/>
  <c r="E721" i="1"/>
  <c r="D721" i="1"/>
  <c r="P720" i="1"/>
  <c r="P720" i="1" a="1"/>
  <c r="O720" i="1" a="1"/>
  <c r="O720" i="1" s="1"/>
  <c r="M720" i="1"/>
  <c r="L720" i="1"/>
  <c r="N720" i="1" s="1"/>
  <c r="E720" i="1"/>
  <c r="D720" i="1"/>
  <c r="P719" i="1" a="1"/>
  <c r="P719" i="1" s="1"/>
  <c r="O719" i="1"/>
  <c r="O719" i="1" a="1"/>
  <c r="M719" i="1"/>
  <c r="L719" i="1"/>
  <c r="N719" i="1" s="1"/>
  <c r="E719" i="1"/>
  <c r="D719" i="1"/>
  <c r="P718" i="1" a="1"/>
  <c r="P718" i="1" s="1"/>
  <c r="O718" i="1" a="1"/>
  <c r="O718" i="1" s="1"/>
  <c r="M718" i="1"/>
  <c r="L718" i="1"/>
  <c r="N718" i="1" s="1"/>
  <c r="E718" i="1"/>
  <c r="D718" i="1"/>
  <c r="P717" i="1"/>
  <c r="P717" i="1" a="1"/>
  <c r="O717" i="1"/>
  <c r="O717" i="1" a="1"/>
  <c r="N717" i="1"/>
  <c r="M717" i="1"/>
  <c r="L717" i="1"/>
  <c r="E717" i="1"/>
  <c r="D717" i="1"/>
  <c r="P716" i="1" a="1"/>
  <c r="P716" i="1" s="1"/>
  <c r="O716" i="1" a="1"/>
  <c r="O716" i="1" s="1"/>
  <c r="N716" i="1"/>
  <c r="M716" i="1"/>
  <c r="L716" i="1"/>
  <c r="E716" i="1"/>
  <c r="D716" i="1"/>
  <c r="P715" i="1"/>
  <c r="P715" i="1" a="1"/>
  <c r="O715" i="1"/>
  <c r="O715" i="1" a="1"/>
  <c r="M715" i="1"/>
  <c r="L715" i="1"/>
  <c r="N715" i="1" s="1"/>
  <c r="E715" i="1"/>
  <c r="D715" i="1"/>
  <c r="P714" i="1" a="1"/>
  <c r="P714" i="1" s="1"/>
  <c r="O714" i="1"/>
  <c r="O714" i="1" a="1"/>
  <c r="N714" i="1"/>
  <c r="M714" i="1"/>
  <c r="L714" i="1"/>
  <c r="E714" i="1"/>
  <c r="D714" i="1"/>
  <c r="P713" i="1"/>
  <c r="P713" i="1" a="1"/>
  <c r="O713" i="1" a="1"/>
  <c r="O713" i="1" s="1"/>
  <c r="N713" i="1"/>
  <c r="M713" i="1"/>
  <c r="L713" i="1"/>
  <c r="E713" i="1"/>
  <c r="D713" i="1"/>
  <c r="P712" i="1"/>
  <c r="P712" i="1" a="1"/>
  <c r="O712" i="1" a="1"/>
  <c r="O712" i="1" s="1"/>
  <c r="M712" i="1"/>
  <c r="L712" i="1"/>
  <c r="N712" i="1" s="1"/>
  <c r="E712" i="1"/>
  <c r="D712" i="1"/>
  <c r="P711" i="1" a="1"/>
  <c r="P711" i="1" s="1"/>
  <c r="O711" i="1"/>
  <c r="O711" i="1" a="1"/>
  <c r="M711" i="1"/>
  <c r="L711" i="1"/>
  <c r="N711" i="1" s="1"/>
  <c r="E711" i="1"/>
  <c r="D711" i="1"/>
  <c r="P710" i="1" a="1"/>
  <c r="P710" i="1" s="1"/>
  <c r="O710" i="1" a="1"/>
  <c r="O710" i="1" s="1"/>
  <c r="M710" i="1"/>
  <c r="L710" i="1"/>
  <c r="N710" i="1" s="1"/>
  <c r="E710" i="1"/>
  <c r="D710" i="1"/>
  <c r="P709" i="1"/>
  <c r="P709" i="1" a="1"/>
  <c r="O709" i="1"/>
  <c r="O709" i="1" a="1"/>
  <c r="N709" i="1"/>
  <c r="M709" i="1"/>
  <c r="L709" i="1"/>
  <c r="E709" i="1"/>
  <c r="D709" i="1"/>
  <c r="P708" i="1" a="1"/>
  <c r="P708" i="1" s="1"/>
  <c r="O708" i="1" a="1"/>
  <c r="O708" i="1" s="1"/>
  <c r="N708" i="1"/>
  <c r="M708" i="1"/>
  <c r="L708" i="1"/>
  <c r="E708" i="1"/>
  <c r="D708" i="1"/>
  <c r="P707" i="1"/>
  <c r="P707" i="1" a="1"/>
  <c r="O707" i="1"/>
  <c r="O707" i="1" a="1"/>
  <c r="M707" i="1"/>
  <c r="L707" i="1"/>
  <c r="N707" i="1" s="1"/>
  <c r="E707" i="1"/>
  <c r="D707" i="1"/>
  <c r="P706" i="1" a="1"/>
  <c r="P706" i="1" s="1"/>
  <c r="O706" i="1"/>
  <c r="O706" i="1" a="1"/>
  <c r="N706" i="1"/>
  <c r="M706" i="1"/>
  <c r="L706" i="1"/>
  <c r="E706" i="1"/>
  <c r="D706" i="1"/>
  <c r="P705" i="1"/>
  <c r="P705" i="1" a="1"/>
  <c r="O705" i="1" a="1"/>
  <c r="O705" i="1" s="1"/>
  <c r="N705" i="1"/>
  <c r="M705" i="1"/>
  <c r="L705" i="1"/>
  <c r="E705" i="1"/>
  <c r="D705" i="1"/>
  <c r="P704" i="1"/>
  <c r="P704" i="1" a="1"/>
  <c r="O704" i="1" a="1"/>
  <c r="O704" i="1" s="1"/>
  <c r="M704" i="1"/>
  <c r="L704" i="1"/>
  <c r="N704" i="1" s="1"/>
  <c r="E704" i="1"/>
  <c r="D704" i="1"/>
  <c r="P703" i="1" a="1"/>
  <c r="P703" i="1" s="1"/>
  <c r="O703" i="1"/>
  <c r="O703" i="1" a="1"/>
  <c r="M703" i="1"/>
  <c r="L703" i="1"/>
  <c r="N703" i="1" s="1"/>
  <c r="E703" i="1"/>
  <c r="D703" i="1"/>
  <c r="P702" i="1" a="1"/>
  <c r="P702" i="1" s="1"/>
  <c r="O702" i="1" a="1"/>
  <c r="O702" i="1" s="1"/>
  <c r="M702" i="1"/>
  <c r="L702" i="1"/>
  <c r="N702" i="1" s="1"/>
  <c r="E702" i="1"/>
  <c r="D702" i="1"/>
  <c r="P701" i="1"/>
  <c r="P701" i="1" a="1"/>
  <c r="O701" i="1"/>
  <c r="O701" i="1" a="1"/>
  <c r="N701" i="1"/>
  <c r="M701" i="1"/>
  <c r="L701" i="1"/>
  <c r="E701" i="1"/>
  <c r="D701" i="1"/>
  <c r="P700" i="1" a="1"/>
  <c r="P700" i="1" s="1"/>
  <c r="O700" i="1" a="1"/>
  <c r="O700" i="1" s="1"/>
  <c r="N700" i="1"/>
  <c r="M700" i="1"/>
  <c r="L700" i="1"/>
  <c r="E700" i="1"/>
  <c r="D700" i="1"/>
  <c r="P699" i="1"/>
  <c r="P699" i="1" a="1"/>
  <c r="O699" i="1"/>
  <c r="O699" i="1" a="1"/>
  <c r="M699" i="1"/>
  <c r="L699" i="1"/>
  <c r="N699" i="1" s="1"/>
  <c r="E699" i="1"/>
  <c r="D699" i="1"/>
  <c r="P698" i="1" a="1"/>
  <c r="P698" i="1" s="1"/>
  <c r="O698" i="1"/>
  <c r="O698" i="1" a="1"/>
  <c r="M698" i="1"/>
  <c r="L698" i="1"/>
  <c r="N698" i="1" s="1"/>
  <c r="E698" i="1"/>
  <c r="D698" i="1"/>
  <c r="P697" i="1"/>
  <c r="P697" i="1" a="1"/>
  <c r="O697" i="1" a="1"/>
  <c r="O697" i="1" s="1"/>
  <c r="N697" i="1"/>
  <c r="M697" i="1"/>
  <c r="L697" i="1"/>
  <c r="E697" i="1"/>
  <c r="D697" i="1"/>
  <c r="P696" i="1"/>
  <c r="P696" i="1" a="1"/>
  <c r="O696" i="1" a="1"/>
  <c r="O696" i="1" s="1"/>
  <c r="N696" i="1"/>
  <c r="M696" i="1"/>
  <c r="L696" i="1"/>
  <c r="E696" i="1"/>
  <c r="D696" i="1"/>
  <c r="P695" i="1" a="1"/>
  <c r="P695" i="1" s="1"/>
  <c r="O695" i="1"/>
  <c r="O695" i="1" a="1"/>
  <c r="M695" i="1"/>
  <c r="L695" i="1"/>
  <c r="N695" i="1" s="1"/>
  <c r="E695" i="1"/>
  <c r="D695" i="1"/>
  <c r="P694" i="1" a="1"/>
  <c r="P694" i="1" s="1"/>
  <c r="O694" i="1" a="1"/>
  <c r="O694" i="1" s="1"/>
  <c r="M694" i="1"/>
  <c r="L694" i="1"/>
  <c r="N694" i="1" s="1"/>
  <c r="E694" i="1"/>
  <c r="D694" i="1"/>
  <c r="P693" i="1"/>
  <c r="P693" i="1" a="1"/>
  <c r="O693" i="1"/>
  <c r="O693" i="1" a="1"/>
  <c r="N693" i="1"/>
  <c r="M693" i="1"/>
  <c r="L693" i="1"/>
  <c r="E693" i="1"/>
  <c r="D693" i="1"/>
  <c r="P692" i="1" a="1"/>
  <c r="P692" i="1" s="1"/>
  <c r="O692" i="1" a="1"/>
  <c r="O692" i="1" s="1"/>
  <c r="N692" i="1"/>
  <c r="M692" i="1"/>
  <c r="L692" i="1"/>
  <c r="E692" i="1"/>
  <c r="D692" i="1"/>
  <c r="P691" i="1"/>
  <c r="P691" i="1" a="1"/>
  <c r="O691" i="1"/>
  <c r="O691" i="1" a="1"/>
  <c r="M691" i="1"/>
  <c r="L691" i="1"/>
  <c r="N691" i="1" s="1"/>
  <c r="E691" i="1"/>
  <c r="D691" i="1"/>
  <c r="P690" i="1" a="1"/>
  <c r="P690" i="1" s="1"/>
  <c r="O690" i="1"/>
  <c r="O690" i="1" a="1"/>
  <c r="N690" i="1"/>
  <c r="M690" i="1"/>
  <c r="L690" i="1"/>
  <c r="E690" i="1"/>
  <c r="D690" i="1"/>
  <c r="P689" i="1"/>
  <c r="P689" i="1" a="1"/>
  <c r="O689" i="1" a="1"/>
  <c r="O689" i="1" s="1"/>
  <c r="N689" i="1"/>
  <c r="M689" i="1"/>
  <c r="L689" i="1"/>
  <c r="E689" i="1"/>
  <c r="D689" i="1"/>
  <c r="P688" i="1"/>
  <c r="P688" i="1" a="1"/>
  <c r="O688" i="1" a="1"/>
  <c r="O688" i="1" s="1"/>
  <c r="N688" i="1"/>
  <c r="M688" i="1"/>
  <c r="L688" i="1"/>
  <c r="E688" i="1"/>
  <c r="D688" i="1"/>
  <c r="P687" i="1" a="1"/>
  <c r="P687" i="1" s="1"/>
  <c r="O687" i="1"/>
  <c r="O687" i="1" a="1"/>
  <c r="M687" i="1"/>
  <c r="L687" i="1"/>
  <c r="N687" i="1" s="1"/>
  <c r="E687" i="1"/>
  <c r="D687" i="1"/>
  <c r="P686" i="1" a="1"/>
  <c r="P686" i="1" s="1"/>
  <c r="O686" i="1" a="1"/>
  <c r="O686" i="1" s="1"/>
  <c r="M686" i="1"/>
  <c r="L686" i="1"/>
  <c r="N686" i="1" s="1"/>
  <c r="E686" i="1"/>
  <c r="D686" i="1"/>
  <c r="P685" i="1"/>
  <c r="P685" i="1" a="1"/>
  <c r="O685" i="1"/>
  <c r="O685" i="1" a="1"/>
  <c r="N685" i="1"/>
  <c r="M685" i="1"/>
  <c r="L685" i="1"/>
  <c r="E685" i="1"/>
  <c r="D685" i="1"/>
  <c r="P684" i="1" a="1"/>
  <c r="P684" i="1" s="1"/>
  <c r="O684" i="1" a="1"/>
  <c r="O684" i="1" s="1"/>
  <c r="N684" i="1"/>
  <c r="M684" i="1"/>
  <c r="L684" i="1"/>
  <c r="E684" i="1"/>
  <c r="D684" i="1"/>
  <c r="P683" i="1"/>
  <c r="P683" i="1" a="1"/>
  <c r="O683" i="1"/>
  <c r="O683" i="1" a="1"/>
  <c r="M683" i="1"/>
  <c r="L683" i="1"/>
  <c r="N683" i="1" s="1"/>
  <c r="E683" i="1"/>
  <c r="D683" i="1"/>
  <c r="P682" i="1" a="1"/>
  <c r="P682" i="1" s="1"/>
  <c r="O682" i="1"/>
  <c r="O682" i="1" a="1"/>
  <c r="M682" i="1"/>
  <c r="L682" i="1"/>
  <c r="N682" i="1" s="1"/>
  <c r="E682" i="1"/>
  <c r="D682" i="1"/>
  <c r="P681" i="1"/>
  <c r="P681" i="1" a="1"/>
  <c r="O681" i="1" a="1"/>
  <c r="O681" i="1" s="1"/>
  <c r="N681" i="1"/>
  <c r="M681" i="1"/>
  <c r="L681" i="1"/>
  <c r="E681" i="1"/>
  <c r="D681" i="1"/>
  <c r="P680" i="1"/>
  <c r="P680" i="1" a="1"/>
  <c r="O680" i="1" a="1"/>
  <c r="O680" i="1" s="1"/>
  <c r="N680" i="1"/>
  <c r="M680" i="1"/>
  <c r="L680" i="1"/>
  <c r="E680" i="1"/>
  <c r="D680" i="1"/>
  <c r="P679" i="1" a="1"/>
  <c r="P679" i="1" s="1"/>
  <c r="O679" i="1"/>
  <c r="O679" i="1" a="1"/>
  <c r="M679" i="1"/>
  <c r="L679" i="1"/>
  <c r="N679" i="1" s="1"/>
  <c r="E679" i="1"/>
  <c r="D679" i="1"/>
  <c r="P678" i="1" a="1"/>
  <c r="P678" i="1" s="1"/>
  <c r="O678" i="1" a="1"/>
  <c r="O678" i="1" s="1"/>
  <c r="M678" i="1"/>
  <c r="L678" i="1"/>
  <c r="N678" i="1" s="1"/>
  <c r="E678" i="1"/>
  <c r="D678" i="1"/>
  <c r="P677" i="1"/>
  <c r="P677" i="1" a="1"/>
  <c r="O677" i="1"/>
  <c r="O677" i="1" a="1"/>
  <c r="N677" i="1"/>
  <c r="M677" i="1"/>
  <c r="L677" i="1"/>
  <c r="E677" i="1"/>
  <c r="D677" i="1"/>
  <c r="P676" i="1" a="1"/>
  <c r="P676" i="1" s="1"/>
  <c r="O676" i="1" a="1"/>
  <c r="O676" i="1" s="1"/>
  <c r="N676" i="1"/>
  <c r="M676" i="1"/>
  <c r="L676" i="1"/>
  <c r="E676" i="1"/>
  <c r="D676" i="1"/>
  <c r="P675" i="1"/>
  <c r="P675" i="1" a="1"/>
  <c r="O675" i="1"/>
  <c r="O675" i="1" a="1"/>
  <c r="M675" i="1"/>
  <c r="L675" i="1"/>
  <c r="N675" i="1" s="1"/>
  <c r="E675" i="1"/>
  <c r="D675" i="1"/>
  <c r="P674" i="1" a="1"/>
  <c r="P674" i="1" s="1"/>
  <c r="O674" i="1"/>
  <c r="O674" i="1" a="1"/>
  <c r="M674" i="1"/>
  <c r="L674" i="1"/>
  <c r="N674" i="1" s="1"/>
  <c r="E674" i="1"/>
  <c r="D674" i="1"/>
  <c r="P673" i="1"/>
  <c r="P673" i="1" a="1"/>
  <c r="O673" i="1" a="1"/>
  <c r="O673" i="1" s="1"/>
  <c r="M673" i="1"/>
  <c r="L673" i="1"/>
  <c r="N673" i="1" s="1"/>
  <c r="E673" i="1"/>
  <c r="D673" i="1"/>
  <c r="P672" i="1"/>
  <c r="P672" i="1" a="1"/>
  <c r="O672" i="1" a="1"/>
  <c r="O672" i="1" s="1"/>
  <c r="N672" i="1"/>
  <c r="M672" i="1"/>
  <c r="L672" i="1"/>
  <c r="E672" i="1"/>
  <c r="D672" i="1"/>
  <c r="P671" i="1" a="1"/>
  <c r="P671" i="1" s="1"/>
  <c r="O671" i="1"/>
  <c r="O671" i="1" a="1"/>
  <c r="M671" i="1"/>
  <c r="L671" i="1"/>
  <c r="N671" i="1" s="1"/>
  <c r="E671" i="1"/>
  <c r="D671" i="1"/>
  <c r="P670" i="1" a="1"/>
  <c r="P670" i="1" s="1"/>
  <c r="O670" i="1" a="1"/>
  <c r="O670" i="1" s="1"/>
  <c r="M670" i="1"/>
  <c r="L670" i="1"/>
  <c r="N670" i="1" s="1"/>
  <c r="E670" i="1"/>
  <c r="D670" i="1"/>
  <c r="P669" i="1"/>
  <c r="P669" i="1" a="1"/>
  <c r="O669" i="1"/>
  <c r="O669" i="1" a="1"/>
  <c r="N669" i="1"/>
  <c r="M669" i="1"/>
  <c r="L669" i="1"/>
  <c r="E669" i="1"/>
  <c r="D669" i="1"/>
  <c r="P668" i="1" a="1"/>
  <c r="P668" i="1" s="1"/>
  <c r="O668" i="1" a="1"/>
  <c r="O668" i="1" s="1"/>
  <c r="N668" i="1"/>
  <c r="M668" i="1"/>
  <c r="L668" i="1"/>
  <c r="E668" i="1"/>
  <c r="D668" i="1"/>
  <c r="P667" i="1"/>
  <c r="P667" i="1" a="1"/>
  <c r="O667" i="1" a="1"/>
  <c r="O667" i="1" s="1"/>
  <c r="M667" i="1"/>
  <c r="L667" i="1"/>
  <c r="N667" i="1" s="1"/>
  <c r="E667" i="1"/>
  <c r="D667" i="1"/>
  <c r="P666" i="1" a="1"/>
  <c r="P666" i="1" s="1"/>
  <c r="O666" i="1"/>
  <c r="O666" i="1" a="1"/>
  <c r="M666" i="1"/>
  <c r="L666" i="1"/>
  <c r="N666" i="1" s="1"/>
  <c r="E666" i="1"/>
  <c r="D666" i="1"/>
  <c r="P665" i="1"/>
  <c r="P665" i="1" a="1"/>
  <c r="O665" i="1" a="1"/>
  <c r="O665" i="1" s="1"/>
  <c r="M665" i="1"/>
  <c r="L665" i="1"/>
  <c r="N665" i="1" s="1"/>
  <c r="E665" i="1"/>
  <c r="D665" i="1"/>
  <c r="P664" i="1"/>
  <c r="P664" i="1" a="1"/>
  <c r="O664" i="1" a="1"/>
  <c r="O664" i="1" s="1"/>
  <c r="N664" i="1"/>
  <c r="M664" i="1"/>
  <c r="L664" i="1"/>
  <c r="E664" i="1"/>
  <c r="D664" i="1"/>
  <c r="P663" i="1" a="1"/>
  <c r="P663" i="1" s="1"/>
  <c r="O663" i="1"/>
  <c r="O663" i="1" a="1"/>
  <c r="M663" i="1"/>
  <c r="L663" i="1"/>
  <c r="N663" i="1" s="1"/>
  <c r="E663" i="1"/>
  <c r="D663" i="1"/>
  <c r="P662" i="1" a="1"/>
  <c r="P662" i="1" s="1"/>
  <c r="O662" i="1" a="1"/>
  <c r="O662" i="1" s="1"/>
  <c r="M662" i="1"/>
  <c r="L662" i="1"/>
  <c r="N662" i="1" s="1"/>
  <c r="E662" i="1"/>
  <c r="D662" i="1"/>
  <c r="P661" i="1"/>
  <c r="P661" i="1" a="1"/>
  <c r="O661" i="1"/>
  <c r="O661" i="1" a="1"/>
  <c r="N661" i="1"/>
  <c r="M661" i="1"/>
  <c r="L661" i="1"/>
  <c r="E661" i="1"/>
  <c r="D661" i="1"/>
  <c r="P660" i="1" a="1"/>
  <c r="P660" i="1" s="1"/>
  <c r="O660" i="1" a="1"/>
  <c r="O660" i="1" s="1"/>
  <c r="N660" i="1"/>
  <c r="M660" i="1"/>
  <c r="L660" i="1"/>
  <c r="E660" i="1"/>
  <c r="D660" i="1"/>
  <c r="P659" i="1"/>
  <c r="P659" i="1" a="1"/>
  <c r="O659" i="1"/>
  <c r="O659" i="1" a="1"/>
  <c r="M659" i="1"/>
  <c r="L659" i="1"/>
  <c r="N659" i="1" s="1"/>
  <c r="E659" i="1"/>
  <c r="D659" i="1"/>
  <c r="P658" i="1" a="1"/>
  <c r="P658" i="1" s="1"/>
  <c r="O658" i="1"/>
  <c r="O658" i="1" a="1"/>
  <c r="N658" i="1"/>
  <c r="M658" i="1"/>
  <c r="L658" i="1"/>
  <c r="E658" i="1"/>
  <c r="D658" i="1"/>
  <c r="P657" i="1" a="1"/>
  <c r="P657" i="1" s="1"/>
  <c r="O657" i="1"/>
  <c r="O657" i="1" a="1"/>
  <c r="M657" i="1"/>
  <c r="L657" i="1"/>
  <c r="N657" i="1" s="1"/>
  <c r="E657" i="1"/>
  <c r="D657" i="1"/>
  <c r="P656" i="1"/>
  <c r="P656" i="1" a="1"/>
  <c r="O656" i="1"/>
  <c r="O656" i="1" a="1"/>
  <c r="M656" i="1"/>
  <c r="L656" i="1"/>
  <c r="N656" i="1" s="1"/>
  <c r="E656" i="1"/>
  <c r="D656" i="1"/>
  <c r="P655" i="1"/>
  <c r="P655" i="1" a="1"/>
  <c r="O655" i="1" a="1"/>
  <c r="O655" i="1" s="1"/>
  <c r="M655" i="1"/>
  <c r="L655" i="1"/>
  <c r="N655" i="1" s="1"/>
  <c r="E655" i="1"/>
  <c r="D655" i="1"/>
  <c r="P654" i="1"/>
  <c r="P654" i="1" a="1"/>
  <c r="O654" i="1" a="1"/>
  <c r="O654" i="1" s="1"/>
  <c r="M654" i="1"/>
  <c r="L654" i="1"/>
  <c r="N654" i="1" s="1"/>
  <c r="E654" i="1"/>
  <c r="D654" i="1"/>
  <c r="P653" i="1" a="1"/>
  <c r="P653" i="1" s="1"/>
  <c r="O653" i="1"/>
  <c r="O653" i="1" a="1"/>
  <c r="N653" i="1"/>
  <c r="M653" i="1"/>
  <c r="L653" i="1"/>
  <c r="E653" i="1"/>
  <c r="D653" i="1"/>
  <c r="P652" i="1" a="1"/>
  <c r="P652" i="1" s="1"/>
  <c r="O652" i="1" a="1"/>
  <c r="O652" i="1" s="1"/>
  <c r="N652" i="1"/>
  <c r="M652" i="1"/>
  <c r="L652" i="1"/>
  <c r="E652" i="1"/>
  <c r="D652" i="1"/>
  <c r="P651" i="1"/>
  <c r="P651" i="1" a="1"/>
  <c r="O651" i="1" a="1"/>
  <c r="O651" i="1" s="1"/>
  <c r="N651" i="1"/>
  <c r="M651" i="1"/>
  <c r="L651" i="1"/>
  <c r="E651" i="1"/>
  <c r="D651" i="1"/>
  <c r="P650" i="1" a="1"/>
  <c r="P650" i="1" s="1"/>
  <c r="O650" i="1"/>
  <c r="O650" i="1" a="1"/>
  <c r="N650" i="1"/>
  <c r="M650" i="1"/>
  <c r="L650" i="1"/>
  <c r="E650" i="1"/>
  <c r="D650" i="1"/>
  <c r="P649" i="1" a="1"/>
  <c r="P649" i="1" s="1"/>
  <c r="O649" i="1"/>
  <c r="O649" i="1" a="1"/>
  <c r="M649" i="1"/>
  <c r="L649" i="1"/>
  <c r="N649" i="1" s="1"/>
  <c r="E649" i="1"/>
  <c r="D649" i="1"/>
  <c r="P648" i="1"/>
  <c r="P648" i="1" a="1"/>
  <c r="O648" i="1"/>
  <c r="O648" i="1" a="1"/>
  <c r="M648" i="1"/>
  <c r="L648" i="1"/>
  <c r="N648" i="1" s="1"/>
  <c r="E648" i="1"/>
  <c r="D648" i="1"/>
  <c r="P647" i="1"/>
  <c r="P647" i="1" a="1"/>
  <c r="O647" i="1" a="1"/>
  <c r="O647" i="1" s="1"/>
  <c r="M647" i="1"/>
  <c r="L647" i="1"/>
  <c r="N647" i="1" s="1"/>
  <c r="E647" i="1"/>
  <c r="D647" i="1"/>
  <c r="P646" i="1"/>
  <c r="P646" i="1" a="1"/>
  <c r="O646" i="1" a="1"/>
  <c r="O646" i="1" s="1"/>
  <c r="M646" i="1"/>
  <c r="L646" i="1"/>
  <c r="N646" i="1" s="1"/>
  <c r="E646" i="1"/>
  <c r="D646" i="1"/>
  <c r="P645" i="1" a="1"/>
  <c r="P645" i="1" s="1"/>
  <c r="O645" i="1"/>
  <c r="O645" i="1" a="1"/>
  <c r="N645" i="1"/>
  <c r="M645" i="1"/>
  <c r="L645" i="1"/>
  <c r="E645" i="1"/>
  <c r="D645" i="1"/>
  <c r="P644" i="1" a="1"/>
  <c r="P644" i="1" s="1"/>
  <c r="O644" i="1" a="1"/>
  <c r="O644" i="1" s="1"/>
  <c r="N644" i="1"/>
  <c r="M644" i="1"/>
  <c r="L644" i="1"/>
  <c r="E644" i="1"/>
  <c r="D644" i="1"/>
  <c r="P643" i="1"/>
  <c r="P643" i="1" a="1"/>
  <c r="O643" i="1" a="1"/>
  <c r="O643" i="1" s="1"/>
  <c r="N643" i="1"/>
  <c r="M643" i="1"/>
  <c r="L643" i="1"/>
  <c r="E643" i="1"/>
  <c r="D643" i="1"/>
  <c r="P642" i="1" a="1"/>
  <c r="P642" i="1" s="1"/>
  <c r="O642" i="1"/>
  <c r="O642" i="1" a="1"/>
  <c r="M642" i="1"/>
  <c r="L642" i="1"/>
  <c r="N642" i="1" s="1"/>
  <c r="E642" i="1"/>
  <c r="D642" i="1"/>
  <c r="P641" i="1" a="1"/>
  <c r="P641" i="1" s="1"/>
  <c r="O641" i="1" a="1"/>
  <c r="O641" i="1" s="1"/>
  <c r="M641" i="1"/>
  <c r="L641" i="1"/>
  <c r="N641" i="1" s="1"/>
  <c r="E641" i="1"/>
  <c r="D641" i="1"/>
  <c r="P640" i="1"/>
  <c r="P640" i="1" a="1"/>
  <c r="O640" i="1"/>
  <c r="O640" i="1" a="1"/>
  <c r="M640" i="1"/>
  <c r="L640" i="1"/>
  <c r="N640" i="1" s="1"/>
  <c r="E640" i="1"/>
  <c r="D640" i="1"/>
  <c r="P639" i="1"/>
  <c r="P639" i="1" a="1"/>
  <c r="O639" i="1" a="1"/>
  <c r="O639" i="1" s="1"/>
  <c r="M639" i="1"/>
  <c r="L639" i="1"/>
  <c r="N639" i="1" s="1"/>
  <c r="E639" i="1"/>
  <c r="D639" i="1"/>
  <c r="P638" i="1"/>
  <c r="P638" i="1" a="1"/>
  <c r="O638" i="1" a="1"/>
  <c r="O638" i="1" s="1"/>
  <c r="M638" i="1"/>
  <c r="L638" i="1"/>
  <c r="N638" i="1" s="1"/>
  <c r="E638" i="1"/>
  <c r="D638" i="1"/>
  <c r="P637" i="1" a="1"/>
  <c r="P637" i="1" s="1"/>
  <c r="O637" i="1"/>
  <c r="O637" i="1" a="1"/>
  <c r="N637" i="1"/>
  <c r="M637" i="1"/>
  <c r="L637" i="1"/>
  <c r="E637" i="1"/>
  <c r="D637" i="1"/>
  <c r="P636" i="1" a="1"/>
  <c r="P636" i="1" s="1"/>
  <c r="O636" i="1" a="1"/>
  <c r="O636" i="1" s="1"/>
  <c r="N636" i="1"/>
  <c r="M636" i="1"/>
  <c r="L636" i="1"/>
  <c r="E636" i="1"/>
  <c r="D636" i="1"/>
  <c r="P635" i="1"/>
  <c r="P635" i="1" a="1"/>
  <c r="O635" i="1" a="1"/>
  <c r="O635" i="1" s="1"/>
  <c r="N635" i="1"/>
  <c r="M635" i="1"/>
  <c r="L635" i="1"/>
  <c r="E635" i="1"/>
  <c r="D635" i="1"/>
  <c r="P634" i="1" a="1"/>
  <c r="P634" i="1" s="1"/>
  <c r="O634" i="1"/>
  <c r="O634" i="1" a="1"/>
  <c r="M634" i="1"/>
  <c r="L634" i="1"/>
  <c r="N634" i="1" s="1"/>
  <c r="E634" i="1"/>
  <c r="D634" i="1"/>
  <c r="P633" i="1" a="1"/>
  <c r="P633" i="1" s="1"/>
  <c r="O633" i="1"/>
  <c r="O633" i="1" a="1"/>
  <c r="M633" i="1"/>
  <c r="L633" i="1"/>
  <c r="N633" i="1" s="1"/>
  <c r="E633" i="1"/>
  <c r="D633" i="1"/>
  <c r="P632" i="1"/>
  <c r="P632" i="1" a="1"/>
  <c r="O632" i="1"/>
  <c r="O632" i="1" a="1"/>
  <c r="M632" i="1"/>
  <c r="L632" i="1"/>
  <c r="N632" i="1" s="1"/>
  <c r="E632" i="1"/>
  <c r="D632" i="1"/>
  <c r="P631" i="1"/>
  <c r="P631" i="1" a="1"/>
  <c r="O631" i="1" a="1"/>
  <c r="O631" i="1" s="1"/>
  <c r="M631" i="1"/>
  <c r="L631" i="1"/>
  <c r="N631" i="1" s="1"/>
  <c r="E631" i="1"/>
  <c r="D631" i="1"/>
  <c r="P630" i="1"/>
  <c r="P630" i="1" a="1"/>
  <c r="O630" i="1" a="1"/>
  <c r="O630" i="1" s="1"/>
  <c r="M630" i="1"/>
  <c r="L630" i="1"/>
  <c r="N630" i="1" s="1"/>
  <c r="E630" i="1"/>
  <c r="D630" i="1"/>
  <c r="P629" i="1" a="1"/>
  <c r="P629" i="1" s="1"/>
  <c r="O629" i="1"/>
  <c r="O629" i="1" a="1"/>
  <c r="N629" i="1"/>
  <c r="M629" i="1"/>
  <c r="L629" i="1"/>
  <c r="E629" i="1"/>
  <c r="D629" i="1"/>
  <c r="P628" i="1" a="1"/>
  <c r="P628" i="1" s="1"/>
  <c r="O628" i="1" a="1"/>
  <c r="O628" i="1" s="1"/>
  <c r="N628" i="1"/>
  <c r="M628" i="1"/>
  <c r="L628" i="1"/>
  <c r="E628" i="1"/>
  <c r="D628" i="1"/>
  <c r="P627" i="1"/>
  <c r="P627" i="1" a="1"/>
  <c r="O627" i="1" a="1"/>
  <c r="O627" i="1" s="1"/>
  <c r="N627" i="1"/>
  <c r="M627" i="1"/>
  <c r="L627" i="1"/>
  <c r="E627" i="1"/>
  <c r="D627" i="1"/>
  <c r="P626" i="1" a="1"/>
  <c r="P626" i="1" s="1"/>
  <c r="O626" i="1"/>
  <c r="O626" i="1" a="1"/>
  <c r="N626" i="1"/>
  <c r="M626" i="1"/>
  <c r="L626" i="1"/>
  <c r="E626" i="1"/>
  <c r="D626" i="1"/>
  <c r="P625" i="1" a="1"/>
  <c r="P625" i="1" s="1"/>
  <c r="O625" i="1"/>
  <c r="O625" i="1" a="1"/>
  <c r="M625" i="1"/>
  <c r="L625" i="1"/>
  <c r="N625" i="1" s="1"/>
  <c r="E625" i="1"/>
  <c r="D625" i="1"/>
  <c r="P624" i="1"/>
  <c r="P624" i="1" a="1"/>
  <c r="O624" i="1"/>
  <c r="O624" i="1" a="1"/>
  <c r="M624" i="1"/>
  <c r="L624" i="1"/>
  <c r="N624" i="1" s="1"/>
  <c r="E624" i="1"/>
  <c r="D624" i="1"/>
  <c r="P623" i="1"/>
  <c r="P623" i="1" a="1"/>
  <c r="O623" i="1" a="1"/>
  <c r="O623" i="1" s="1"/>
  <c r="M623" i="1"/>
  <c r="L623" i="1"/>
  <c r="N623" i="1" s="1"/>
  <c r="E623" i="1"/>
  <c r="D623" i="1"/>
  <c r="P622" i="1"/>
  <c r="P622" i="1" a="1"/>
  <c r="O622" i="1" a="1"/>
  <c r="O622" i="1" s="1"/>
  <c r="M622" i="1"/>
  <c r="L622" i="1"/>
  <c r="N622" i="1" s="1"/>
  <c r="E622" i="1"/>
  <c r="D622" i="1"/>
  <c r="P621" i="1" a="1"/>
  <c r="P621" i="1" s="1"/>
  <c r="O621" i="1"/>
  <c r="O621" i="1" a="1"/>
  <c r="N621" i="1"/>
  <c r="M621" i="1"/>
  <c r="L621" i="1"/>
  <c r="E621" i="1"/>
  <c r="D621" i="1"/>
  <c r="P620" i="1" a="1"/>
  <c r="P620" i="1" s="1"/>
  <c r="O620" i="1" a="1"/>
  <c r="O620" i="1" s="1"/>
  <c r="N620" i="1"/>
  <c r="M620" i="1"/>
  <c r="L620" i="1"/>
  <c r="E620" i="1"/>
  <c r="D620" i="1"/>
  <c r="P619" i="1"/>
  <c r="P619" i="1" a="1"/>
  <c r="O619" i="1" a="1"/>
  <c r="O619" i="1" s="1"/>
  <c r="N619" i="1"/>
  <c r="M619" i="1"/>
  <c r="L619" i="1"/>
  <c r="E619" i="1"/>
  <c r="D619" i="1"/>
  <c r="P618" i="1" a="1"/>
  <c r="P618" i="1" s="1"/>
  <c r="O618" i="1"/>
  <c r="O618" i="1" a="1"/>
  <c r="M618" i="1"/>
  <c r="L618" i="1"/>
  <c r="N618" i="1" s="1"/>
  <c r="E618" i="1"/>
  <c r="D618" i="1"/>
  <c r="P617" i="1" a="1"/>
  <c r="P617" i="1" s="1"/>
  <c r="O617" i="1"/>
  <c r="O617" i="1" a="1"/>
  <c r="M617" i="1"/>
  <c r="L617" i="1"/>
  <c r="N617" i="1" s="1"/>
  <c r="E617" i="1"/>
  <c r="D617" i="1"/>
  <c r="P616" i="1"/>
  <c r="P616" i="1" a="1"/>
  <c r="O616" i="1"/>
  <c r="O616" i="1" a="1"/>
  <c r="M616" i="1"/>
  <c r="L616" i="1"/>
  <c r="N616" i="1" s="1"/>
  <c r="E616" i="1"/>
  <c r="D616" i="1"/>
  <c r="P615" i="1"/>
  <c r="P615" i="1" a="1"/>
  <c r="O615" i="1" a="1"/>
  <c r="O615" i="1" s="1"/>
  <c r="M615" i="1"/>
  <c r="L615" i="1"/>
  <c r="N615" i="1" s="1"/>
  <c r="E615" i="1"/>
  <c r="D615" i="1"/>
  <c r="P614" i="1"/>
  <c r="P614" i="1" a="1"/>
  <c r="O614" i="1" a="1"/>
  <c r="O614" i="1" s="1"/>
  <c r="M614" i="1"/>
  <c r="L614" i="1"/>
  <c r="N614" i="1" s="1"/>
  <c r="E614" i="1"/>
  <c r="D614" i="1"/>
  <c r="P613" i="1" a="1"/>
  <c r="P613" i="1" s="1"/>
  <c r="O613" i="1"/>
  <c r="O613" i="1" a="1"/>
  <c r="N613" i="1"/>
  <c r="M613" i="1"/>
  <c r="L613" i="1"/>
  <c r="E613" i="1"/>
  <c r="D613" i="1"/>
  <c r="P612" i="1" a="1"/>
  <c r="P612" i="1" s="1"/>
  <c r="O612" i="1" a="1"/>
  <c r="O612" i="1" s="1"/>
  <c r="N612" i="1"/>
  <c r="M612" i="1"/>
  <c r="L612" i="1"/>
  <c r="E612" i="1"/>
  <c r="D612" i="1"/>
  <c r="P611" i="1"/>
  <c r="P611" i="1" a="1"/>
  <c r="O611" i="1" a="1"/>
  <c r="O611" i="1" s="1"/>
  <c r="N611" i="1"/>
  <c r="M611" i="1"/>
  <c r="L611" i="1"/>
  <c r="E611" i="1"/>
  <c r="D611" i="1"/>
  <c r="P610" i="1" a="1"/>
  <c r="P610" i="1" s="1"/>
  <c r="O610" i="1"/>
  <c r="O610" i="1" a="1"/>
  <c r="M610" i="1"/>
  <c r="L610" i="1"/>
  <c r="N610" i="1" s="1"/>
  <c r="E610" i="1"/>
  <c r="D610" i="1"/>
  <c r="P609" i="1" a="1"/>
  <c r="P609" i="1" s="1"/>
  <c r="O609" i="1"/>
  <c r="O609" i="1" a="1"/>
  <c r="M609" i="1"/>
  <c r="L609" i="1"/>
  <c r="N609" i="1" s="1"/>
  <c r="E609" i="1"/>
  <c r="D609" i="1"/>
  <c r="P608" i="1"/>
  <c r="P608" i="1" a="1"/>
  <c r="O608" i="1"/>
  <c r="O608" i="1" a="1"/>
  <c r="M608" i="1"/>
  <c r="L608" i="1"/>
  <c r="N608" i="1" s="1"/>
  <c r="E608" i="1"/>
  <c r="D608" i="1"/>
  <c r="P607" i="1" a="1"/>
  <c r="P607" i="1" s="1"/>
  <c r="O607" i="1" a="1"/>
  <c r="O607" i="1" s="1"/>
  <c r="M607" i="1"/>
  <c r="L607" i="1"/>
  <c r="N607" i="1" s="1"/>
  <c r="E607" i="1"/>
  <c r="D607" i="1"/>
  <c r="P606" i="1"/>
  <c r="P606" i="1" a="1"/>
  <c r="O606" i="1" a="1"/>
  <c r="O606" i="1" s="1"/>
  <c r="M606" i="1"/>
  <c r="L606" i="1"/>
  <c r="N606" i="1" s="1"/>
  <c r="E606" i="1"/>
  <c r="D606" i="1"/>
  <c r="P605" i="1" a="1"/>
  <c r="P605" i="1" s="1"/>
  <c r="O605" i="1"/>
  <c r="O605" i="1" a="1"/>
  <c r="N605" i="1"/>
  <c r="M605" i="1"/>
  <c r="L605" i="1"/>
  <c r="E605" i="1"/>
  <c r="D605" i="1"/>
  <c r="P604" i="1" a="1"/>
  <c r="P604" i="1" s="1"/>
  <c r="O604" i="1" a="1"/>
  <c r="O604" i="1" s="1"/>
  <c r="N604" i="1"/>
  <c r="M604" i="1"/>
  <c r="L604" i="1"/>
  <c r="E604" i="1"/>
  <c r="D604" i="1"/>
  <c r="P603" i="1"/>
  <c r="P603" i="1" a="1"/>
  <c r="O603" i="1" a="1"/>
  <c r="O603" i="1" s="1"/>
  <c r="N603" i="1"/>
  <c r="M603" i="1"/>
  <c r="L603" i="1"/>
  <c r="E603" i="1"/>
  <c r="D603" i="1"/>
  <c r="P602" i="1" a="1"/>
  <c r="P602" i="1" s="1"/>
  <c r="O602" i="1"/>
  <c r="O602" i="1" a="1"/>
  <c r="N602" i="1"/>
  <c r="M602" i="1"/>
  <c r="L602" i="1"/>
  <c r="E602" i="1"/>
  <c r="D602" i="1"/>
  <c r="P601" i="1" a="1"/>
  <c r="P601" i="1" s="1"/>
  <c r="O601" i="1"/>
  <c r="O601" i="1" a="1"/>
  <c r="M601" i="1"/>
  <c r="L601" i="1"/>
  <c r="N601" i="1" s="1"/>
  <c r="E601" i="1"/>
  <c r="D601" i="1"/>
  <c r="P600" i="1"/>
  <c r="P600" i="1" a="1"/>
  <c r="O600" i="1"/>
  <c r="O600" i="1" a="1"/>
  <c r="M600" i="1"/>
  <c r="L600" i="1"/>
  <c r="N600" i="1" s="1"/>
  <c r="E600" i="1"/>
  <c r="D600" i="1"/>
  <c r="P599" i="1" a="1"/>
  <c r="P599" i="1" s="1"/>
  <c r="O599" i="1" a="1"/>
  <c r="O599" i="1" s="1"/>
  <c r="M599" i="1"/>
  <c r="L599" i="1"/>
  <c r="N599" i="1" s="1"/>
  <c r="E599" i="1"/>
  <c r="D599" i="1"/>
  <c r="P598" i="1"/>
  <c r="P598" i="1" a="1"/>
  <c r="O598" i="1" a="1"/>
  <c r="O598" i="1" s="1"/>
  <c r="M598" i="1"/>
  <c r="L598" i="1"/>
  <c r="N598" i="1" s="1"/>
  <c r="E598" i="1"/>
  <c r="D598" i="1"/>
  <c r="P597" i="1" a="1"/>
  <c r="P597" i="1" s="1"/>
  <c r="O597" i="1"/>
  <c r="O597" i="1" a="1"/>
  <c r="N597" i="1"/>
  <c r="M597" i="1"/>
  <c r="L597" i="1"/>
  <c r="E597" i="1"/>
  <c r="D597" i="1"/>
  <c r="P596" i="1" a="1"/>
  <c r="P596" i="1" s="1"/>
  <c r="O596" i="1" a="1"/>
  <c r="O596" i="1" s="1"/>
  <c r="N596" i="1"/>
  <c r="M596" i="1"/>
  <c r="L596" i="1"/>
  <c r="E596" i="1"/>
  <c r="D596" i="1"/>
  <c r="P595" i="1"/>
  <c r="P595" i="1" a="1"/>
  <c r="O595" i="1" a="1"/>
  <c r="O595" i="1" s="1"/>
  <c r="N595" i="1"/>
  <c r="M595" i="1"/>
  <c r="L595" i="1"/>
  <c r="E595" i="1"/>
  <c r="D595" i="1"/>
  <c r="P594" i="1" a="1"/>
  <c r="P594" i="1" s="1"/>
  <c r="O594" i="1"/>
  <c r="O594" i="1" a="1"/>
  <c r="N594" i="1"/>
  <c r="M594" i="1"/>
  <c r="L594" i="1"/>
  <c r="E594" i="1"/>
  <c r="D594" i="1"/>
  <c r="P593" i="1" a="1"/>
  <c r="P593" i="1" s="1"/>
  <c r="O593" i="1"/>
  <c r="O593" i="1" a="1"/>
  <c r="M593" i="1"/>
  <c r="L593" i="1"/>
  <c r="N593" i="1" s="1"/>
  <c r="E593" i="1"/>
  <c r="D593" i="1"/>
  <c r="P592" i="1"/>
  <c r="P592" i="1" a="1"/>
  <c r="O592" i="1"/>
  <c r="O592" i="1" a="1"/>
  <c r="M592" i="1"/>
  <c r="L592" i="1"/>
  <c r="N592" i="1" s="1"/>
  <c r="E592" i="1"/>
  <c r="D592" i="1"/>
  <c r="P591" i="1"/>
  <c r="P591" i="1" a="1"/>
  <c r="O591" i="1" a="1"/>
  <c r="O591" i="1" s="1"/>
  <c r="M591" i="1"/>
  <c r="L591" i="1"/>
  <c r="N591" i="1" s="1"/>
  <c r="E591" i="1"/>
  <c r="D591" i="1"/>
  <c r="P590" i="1"/>
  <c r="P590" i="1" a="1"/>
  <c r="O590" i="1" a="1"/>
  <c r="O590" i="1" s="1"/>
  <c r="M590" i="1"/>
  <c r="L590" i="1"/>
  <c r="N590" i="1" s="1"/>
  <c r="E590" i="1"/>
  <c r="D590" i="1"/>
  <c r="P589" i="1" a="1"/>
  <c r="P589" i="1" s="1"/>
  <c r="O589" i="1"/>
  <c r="O589" i="1" a="1"/>
  <c r="N589" i="1"/>
  <c r="M589" i="1"/>
  <c r="L589" i="1"/>
  <c r="E589" i="1"/>
  <c r="D589" i="1"/>
  <c r="P588" i="1" a="1"/>
  <c r="P588" i="1" s="1"/>
  <c r="O588" i="1" a="1"/>
  <c r="O588" i="1" s="1"/>
  <c r="N588" i="1"/>
  <c r="M588" i="1"/>
  <c r="L588" i="1"/>
  <c r="E588" i="1"/>
  <c r="D588" i="1"/>
  <c r="P587" i="1"/>
  <c r="P587" i="1" a="1"/>
  <c r="O587" i="1" a="1"/>
  <c r="O587" i="1" s="1"/>
  <c r="N587" i="1"/>
  <c r="M587" i="1"/>
  <c r="L587" i="1"/>
  <c r="E587" i="1"/>
  <c r="D587" i="1"/>
  <c r="P586" i="1" a="1"/>
  <c r="P586" i="1" s="1"/>
  <c r="O586" i="1"/>
  <c r="O586" i="1" a="1"/>
  <c r="N586" i="1"/>
  <c r="M586" i="1"/>
  <c r="L586" i="1"/>
  <c r="E586" i="1"/>
  <c r="D586" i="1"/>
  <c r="P585" i="1" a="1"/>
  <c r="P585" i="1" s="1"/>
  <c r="O585" i="1"/>
  <c r="O585" i="1" a="1"/>
  <c r="M585" i="1"/>
  <c r="L585" i="1"/>
  <c r="N585" i="1" s="1"/>
  <c r="E585" i="1"/>
  <c r="D585" i="1"/>
  <c r="P584" i="1"/>
  <c r="P584" i="1" a="1"/>
  <c r="O584" i="1"/>
  <c r="O584" i="1" a="1"/>
  <c r="M584" i="1"/>
  <c r="L584" i="1"/>
  <c r="N584" i="1" s="1"/>
  <c r="E584" i="1"/>
  <c r="D584" i="1"/>
  <c r="P583" i="1" a="1"/>
  <c r="P583" i="1" s="1"/>
  <c r="O583" i="1" a="1"/>
  <c r="O583" i="1" s="1"/>
  <c r="M583" i="1"/>
  <c r="L583" i="1"/>
  <c r="N583" i="1" s="1"/>
  <c r="E583" i="1"/>
  <c r="D583" i="1"/>
  <c r="P582" i="1"/>
  <c r="P582" i="1" a="1"/>
  <c r="O582" i="1" a="1"/>
  <c r="O582" i="1" s="1"/>
  <c r="M582" i="1"/>
  <c r="L582" i="1"/>
  <c r="N582" i="1" s="1"/>
  <c r="E582" i="1"/>
  <c r="D582" i="1"/>
  <c r="P581" i="1" a="1"/>
  <c r="P581" i="1" s="1"/>
  <c r="O581" i="1"/>
  <c r="O581" i="1" a="1"/>
  <c r="N581" i="1"/>
  <c r="M581" i="1"/>
  <c r="L581" i="1"/>
  <c r="E581" i="1"/>
  <c r="D581" i="1"/>
  <c r="P580" i="1" a="1"/>
  <c r="P580" i="1" s="1"/>
  <c r="O580" i="1" a="1"/>
  <c r="O580" i="1" s="1"/>
  <c r="N580" i="1"/>
  <c r="M580" i="1"/>
  <c r="L580" i="1"/>
  <c r="E580" i="1"/>
  <c r="D580" i="1"/>
  <c r="P579" i="1"/>
  <c r="P579" i="1" a="1"/>
  <c r="O579" i="1" a="1"/>
  <c r="O579" i="1" s="1"/>
  <c r="N579" i="1"/>
  <c r="M579" i="1"/>
  <c r="L579" i="1"/>
  <c r="E579" i="1"/>
  <c r="D579" i="1"/>
  <c r="P578" i="1" a="1"/>
  <c r="P578" i="1" s="1"/>
  <c r="O578" i="1"/>
  <c r="O578" i="1" a="1"/>
  <c r="N578" i="1"/>
  <c r="M578" i="1"/>
  <c r="L578" i="1"/>
  <c r="E578" i="1"/>
  <c r="D578" i="1"/>
  <c r="P577" i="1" a="1"/>
  <c r="P577" i="1" s="1"/>
  <c r="O577" i="1"/>
  <c r="O577" i="1" a="1"/>
  <c r="M577" i="1"/>
  <c r="L577" i="1"/>
  <c r="N577" i="1" s="1"/>
  <c r="E577" i="1"/>
  <c r="D577" i="1"/>
  <c r="P576" i="1"/>
  <c r="P576" i="1" a="1"/>
  <c r="O576" i="1"/>
  <c r="O576" i="1" a="1"/>
  <c r="M576" i="1"/>
  <c r="L576" i="1"/>
  <c r="N576" i="1" s="1"/>
  <c r="E576" i="1"/>
  <c r="D576" i="1"/>
  <c r="P575" i="1" a="1"/>
  <c r="P575" i="1" s="1"/>
  <c r="O575" i="1"/>
  <c r="O575" i="1" a="1"/>
  <c r="M575" i="1"/>
  <c r="L575" i="1"/>
  <c r="N575" i="1" s="1"/>
  <c r="E575" i="1"/>
  <c r="D575" i="1"/>
  <c r="P574" i="1"/>
  <c r="P574" i="1" a="1"/>
  <c r="O574" i="1" a="1"/>
  <c r="O574" i="1" s="1"/>
  <c r="M574" i="1"/>
  <c r="L574" i="1"/>
  <c r="N574" i="1" s="1"/>
  <c r="E574" i="1"/>
  <c r="D574" i="1"/>
  <c r="P573" i="1"/>
  <c r="P573" i="1" a="1"/>
  <c r="O573" i="1"/>
  <c r="O573" i="1" a="1"/>
  <c r="N573" i="1"/>
  <c r="M573" i="1"/>
  <c r="L573" i="1"/>
  <c r="E573" i="1"/>
  <c r="D573" i="1"/>
  <c r="P572" i="1" a="1"/>
  <c r="P572" i="1" s="1"/>
  <c r="O572" i="1" a="1"/>
  <c r="O572" i="1" s="1"/>
  <c r="N572" i="1"/>
  <c r="M572" i="1"/>
  <c r="L572" i="1"/>
  <c r="E572" i="1"/>
  <c r="D572" i="1"/>
  <c r="P571" i="1"/>
  <c r="P571" i="1" a="1"/>
  <c r="O571" i="1" a="1"/>
  <c r="O571" i="1" s="1"/>
  <c r="N571" i="1"/>
  <c r="M571" i="1"/>
  <c r="L571" i="1"/>
  <c r="E571" i="1"/>
  <c r="D571" i="1"/>
  <c r="P570" i="1" a="1"/>
  <c r="P570" i="1" s="1"/>
  <c r="O570" i="1"/>
  <c r="O570" i="1" a="1"/>
  <c r="N570" i="1"/>
  <c r="M570" i="1"/>
  <c r="L570" i="1"/>
  <c r="E570" i="1"/>
  <c r="D570" i="1"/>
  <c r="P569" i="1" a="1"/>
  <c r="P569" i="1" s="1"/>
  <c r="O569" i="1"/>
  <c r="O569" i="1" a="1"/>
  <c r="M569" i="1"/>
  <c r="L569" i="1"/>
  <c r="N569" i="1" s="1"/>
  <c r="E569" i="1"/>
  <c r="D569" i="1"/>
  <c r="P568" i="1"/>
  <c r="P568" i="1" a="1"/>
  <c r="O568" i="1" a="1"/>
  <c r="O568" i="1" s="1"/>
  <c r="M568" i="1"/>
  <c r="L568" i="1"/>
  <c r="N568" i="1" s="1"/>
  <c r="E568" i="1"/>
  <c r="D568" i="1"/>
  <c r="P567" i="1"/>
  <c r="P567" i="1" a="1"/>
  <c r="O567" i="1"/>
  <c r="O567" i="1" a="1"/>
  <c r="M567" i="1"/>
  <c r="L567" i="1"/>
  <c r="N567" i="1" s="1"/>
  <c r="E567" i="1"/>
  <c r="D567" i="1"/>
  <c r="P566" i="1" a="1"/>
  <c r="P566" i="1" s="1"/>
  <c r="O566" i="1" a="1"/>
  <c r="O566" i="1" s="1"/>
  <c r="M566" i="1"/>
  <c r="L566" i="1"/>
  <c r="N566" i="1" s="1"/>
  <c r="E566" i="1"/>
  <c r="D566" i="1"/>
  <c r="P565" i="1"/>
  <c r="P565" i="1" a="1"/>
  <c r="O565" i="1"/>
  <c r="O565" i="1" a="1"/>
  <c r="N565" i="1"/>
  <c r="M565" i="1"/>
  <c r="L565" i="1"/>
  <c r="E565" i="1"/>
  <c r="D565" i="1"/>
  <c r="P564" i="1" a="1"/>
  <c r="P564" i="1" s="1"/>
  <c r="O564" i="1" a="1"/>
  <c r="O564" i="1" s="1"/>
  <c r="N564" i="1"/>
  <c r="M564" i="1"/>
  <c r="L564" i="1"/>
  <c r="E564" i="1"/>
  <c r="D564" i="1"/>
  <c r="P563" i="1"/>
  <c r="P563" i="1" a="1"/>
  <c r="O563" i="1" a="1"/>
  <c r="O563" i="1" s="1"/>
  <c r="N563" i="1"/>
  <c r="M563" i="1"/>
  <c r="L563" i="1"/>
  <c r="E563" i="1"/>
  <c r="D563" i="1"/>
  <c r="P562" i="1" a="1"/>
  <c r="P562" i="1" s="1"/>
  <c r="O562" i="1"/>
  <c r="O562" i="1" a="1"/>
  <c r="N562" i="1"/>
  <c r="M562" i="1"/>
  <c r="L562" i="1"/>
  <c r="E562" i="1"/>
  <c r="D562" i="1"/>
  <c r="P561" i="1" a="1"/>
  <c r="P561" i="1" s="1"/>
  <c r="O561" i="1" a="1"/>
  <c r="O561" i="1" s="1"/>
  <c r="M561" i="1"/>
  <c r="L561" i="1"/>
  <c r="N561" i="1" s="1"/>
  <c r="E561" i="1"/>
  <c r="D561" i="1"/>
  <c r="P560" i="1"/>
  <c r="P560" i="1" a="1"/>
  <c r="O560" i="1" a="1"/>
  <c r="O560" i="1" s="1"/>
  <c r="M560" i="1"/>
  <c r="L560" i="1"/>
  <c r="N560" i="1" s="1"/>
  <c r="E560" i="1"/>
  <c r="D560" i="1"/>
  <c r="P559" i="1" a="1"/>
  <c r="P559" i="1" s="1"/>
  <c r="O559" i="1"/>
  <c r="O559" i="1" a="1"/>
  <c r="M559" i="1"/>
  <c r="L559" i="1"/>
  <c r="N559" i="1" s="1"/>
  <c r="E559" i="1"/>
  <c r="D559" i="1"/>
  <c r="P558" i="1" a="1"/>
  <c r="P558" i="1" s="1"/>
  <c r="O558" i="1" a="1"/>
  <c r="O558" i="1" s="1"/>
  <c r="M558" i="1"/>
  <c r="L558" i="1"/>
  <c r="N558" i="1" s="1"/>
  <c r="E558" i="1"/>
  <c r="D558" i="1"/>
  <c r="P557" i="1"/>
  <c r="P557" i="1" a="1"/>
  <c r="O557" i="1"/>
  <c r="O557" i="1" a="1"/>
  <c r="N557" i="1"/>
  <c r="M557" i="1"/>
  <c r="L557" i="1"/>
  <c r="E557" i="1"/>
  <c r="D557" i="1"/>
  <c r="P556" i="1" a="1"/>
  <c r="P556" i="1" s="1"/>
  <c r="O556" i="1" a="1"/>
  <c r="O556" i="1" s="1"/>
  <c r="N556" i="1"/>
  <c r="M556" i="1"/>
  <c r="L556" i="1"/>
  <c r="E556" i="1"/>
  <c r="D556" i="1"/>
  <c r="P555" i="1"/>
  <c r="P555" i="1" a="1"/>
  <c r="O555" i="1" a="1"/>
  <c r="O555" i="1" s="1"/>
  <c r="M555" i="1"/>
  <c r="L555" i="1"/>
  <c r="N555" i="1" s="1"/>
  <c r="E555" i="1"/>
  <c r="D555" i="1"/>
  <c r="P554" i="1" a="1"/>
  <c r="P554" i="1" s="1"/>
  <c r="O554" i="1"/>
  <c r="O554" i="1" a="1"/>
  <c r="M554" i="1"/>
  <c r="L554" i="1"/>
  <c r="N554" i="1" s="1"/>
  <c r="E554" i="1"/>
  <c r="D554" i="1"/>
  <c r="P553" i="1" a="1"/>
  <c r="P553" i="1" s="1"/>
  <c r="O553" i="1" a="1"/>
  <c r="O553" i="1" s="1"/>
  <c r="M553" i="1"/>
  <c r="L553" i="1"/>
  <c r="N553" i="1" s="1"/>
  <c r="E553" i="1"/>
  <c r="D553" i="1"/>
  <c r="P552" i="1"/>
  <c r="P552" i="1" a="1"/>
  <c r="O552" i="1" a="1"/>
  <c r="O552" i="1" s="1"/>
  <c r="M552" i="1"/>
  <c r="L552" i="1"/>
  <c r="N552" i="1" s="1"/>
  <c r="E552" i="1"/>
  <c r="D552" i="1"/>
  <c r="P551" i="1" a="1"/>
  <c r="P551" i="1" s="1"/>
  <c r="O551" i="1" a="1"/>
  <c r="O551" i="1" s="1"/>
  <c r="N551" i="1"/>
  <c r="M551" i="1"/>
  <c r="L551" i="1"/>
  <c r="E551" i="1"/>
  <c r="D551" i="1"/>
  <c r="P550" i="1" a="1"/>
  <c r="P550" i="1" s="1"/>
  <c r="O550" i="1" a="1"/>
  <c r="O550" i="1" s="1"/>
  <c r="M550" i="1"/>
  <c r="L550" i="1"/>
  <c r="N550" i="1" s="1"/>
  <c r="E550" i="1"/>
  <c r="D550" i="1"/>
  <c r="P549" i="1" a="1"/>
  <c r="P549" i="1" s="1"/>
  <c r="O549" i="1"/>
  <c r="O549" i="1" a="1"/>
  <c r="N549" i="1"/>
  <c r="M549" i="1"/>
  <c r="L549" i="1"/>
  <c r="E549" i="1"/>
  <c r="D549" i="1"/>
  <c r="P548" i="1" a="1"/>
  <c r="P548" i="1" s="1"/>
  <c r="O548" i="1" a="1"/>
  <c r="O548" i="1" s="1"/>
  <c r="N548" i="1"/>
  <c r="M548" i="1"/>
  <c r="L548" i="1"/>
  <c r="E548" i="1"/>
  <c r="D548" i="1"/>
  <c r="P547" i="1"/>
  <c r="P547" i="1" a="1"/>
  <c r="O547" i="1" a="1"/>
  <c r="O547" i="1" s="1"/>
  <c r="M547" i="1"/>
  <c r="L547" i="1"/>
  <c r="N547" i="1" s="1"/>
  <c r="E547" i="1"/>
  <c r="D547" i="1"/>
  <c r="P546" i="1" a="1"/>
  <c r="P546" i="1" s="1"/>
  <c r="O546" i="1"/>
  <c r="O546" i="1" a="1"/>
  <c r="M546" i="1"/>
  <c r="L546" i="1"/>
  <c r="N546" i="1" s="1"/>
  <c r="E546" i="1"/>
  <c r="D546" i="1"/>
  <c r="P545" i="1" a="1"/>
  <c r="P545" i="1" s="1"/>
  <c r="O545" i="1" a="1"/>
  <c r="O545" i="1" s="1"/>
  <c r="M545" i="1"/>
  <c r="L545" i="1"/>
  <c r="N545" i="1" s="1"/>
  <c r="E545" i="1"/>
  <c r="D545" i="1"/>
  <c r="P544" i="1"/>
  <c r="P544" i="1" a="1"/>
  <c r="O544" i="1" a="1"/>
  <c r="O544" i="1" s="1"/>
  <c r="M544" i="1"/>
  <c r="L544" i="1"/>
  <c r="N544" i="1" s="1"/>
  <c r="E544" i="1"/>
  <c r="D544" i="1"/>
  <c r="P543" i="1" a="1"/>
  <c r="P543" i="1" s="1"/>
  <c r="O543" i="1" a="1"/>
  <c r="O543" i="1" s="1"/>
  <c r="N543" i="1"/>
  <c r="M543" i="1"/>
  <c r="L543" i="1"/>
  <c r="E543" i="1"/>
  <c r="D543" i="1"/>
  <c r="P542" i="1" a="1"/>
  <c r="P542" i="1" s="1"/>
  <c r="O542" i="1" a="1"/>
  <c r="O542" i="1" s="1"/>
  <c r="M542" i="1"/>
  <c r="L542" i="1"/>
  <c r="N542" i="1" s="1"/>
  <c r="E542" i="1"/>
  <c r="D542" i="1"/>
  <c r="P541" i="1" a="1"/>
  <c r="P541" i="1" s="1"/>
  <c r="O541" i="1"/>
  <c r="O541" i="1" a="1"/>
  <c r="N541" i="1"/>
  <c r="M541" i="1"/>
  <c r="L541" i="1"/>
  <c r="E541" i="1"/>
  <c r="D541" i="1"/>
  <c r="P540" i="1" a="1"/>
  <c r="P540" i="1" s="1"/>
  <c r="O540" i="1" a="1"/>
  <c r="O540" i="1" s="1"/>
  <c r="N540" i="1"/>
  <c r="M540" i="1"/>
  <c r="L540" i="1"/>
  <c r="E540" i="1"/>
  <c r="D540" i="1"/>
  <c r="P539" i="1"/>
  <c r="P539" i="1" a="1"/>
  <c r="O539" i="1" a="1"/>
  <c r="O539" i="1" s="1"/>
  <c r="M539" i="1"/>
  <c r="L539" i="1"/>
  <c r="N539" i="1" s="1"/>
  <c r="E539" i="1"/>
  <c r="D539" i="1"/>
  <c r="P538" i="1" a="1"/>
  <c r="P538" i="1" s="1"/>
  <c r="O538" i="1"/>
  <c r="O538" i="1" a="1"/>
  <c r="M538" i="1"/>
  <c r="L538" i="1"/>
  <c r="N538" i="1" s="1"/>
  <c r="E538" i="1"/>
  <c r="D538" i="1"/>
  <c r="P537" i="1" a="1"/>
  <c r="P537" i="1" s="1"/>
  <c r="O537" i="1" a="1"/>
  <c r="O537" i="1" s="1"/>
  <c r="M537" i="1"/>
  <c r="L537" i="1"/>
  <c r="N537" i="1" s="1"/>
  <c r="E537" i="1"/>
  <c r="D537" i="1"/>
  <c r="P536" i="1"/>
  <c r="P536" i="1" a="1"/>
  <c r="O536" i="1" a="1"/>
  <c r="O536" i="1" s="1"/>
  <c r="M536" i="1"/>
  <c r="L536" i="1"/>
  <c r="N536" i="1" s="1"/>
  <c r="E536" i="1"/>
  <c r="D536" i="1"/>
  <c r="P535" i="1" a="1"/>
  <c r="P535" i="1" s="1"/>
  <c r="O535" i="1" a="1"/>
  <c r="O535" i="1" s="1"/>
  <c r="N535" i="1"/>
  <c r="M535" i="1"/>
  <c r="L535" i="1"/>
  <c r="E535" i="1"/>
  <c r="D535" i="1"/>
  <c r="P534" i="1" a="1"/>
  <c r="P534" i="1" s="1"/>
  <c r="O534" i="1" a="1"/>
  <c r="O534" i="1" s="1"/>
  <c r="M534" i="1"/>
  <c r="L534" i="1"/>
  <c r="N534" i="1" s="1"/>
  <c r="E534" i="1"/>
  <c r="D534" i="1"/>
  <c r="P533" i="1" a="1"/>
  <c r="P533" i="1" s="1"/>
  <c r="O533" i="1"/>
  <c r="O533" i="1" a="1"/>
  <c r="N533" i="1"/>
  <c r="M533" i="1"/>
  <c r="L533" i="1"/>
  <c r="E533" i="1"/>
  <c r="D533" i="1"/>
  <c r="P532" i="1" a="1"/>
  <c r="P532" i="1" s="1"/>
  <c r="O532" i="1" a="1"/>
  <c r="O532" i="1" s="1"/>
  <c r="N532" i="1"/>
  <c r="M532" i="1"/>
  <c r="L532" i="1"/>
  <c r="E532" i="1"/>
  <c r="D532" i="1"/>
  <c r="P531" i="1"/>
  <c r="P531" i="1" a="1"/>
  <c r="O531" i="1" a="1"/>
  <c r="O531" i="1" s="1"/>
  <c r="M531" i="1"/>
  <c r="L531" i="1"/>
  <c r="N531" i="1" s="1"/>
  <c r="E531" i="1"/>
  <c r="D531" i="1"/>
  <c r="P530" i="1" a="1"/>
  <c r="P530" i="1" s="1"/>
  <c r="O530" i="1"/>
  <c r="O530" i="1" a="1"/>
  <c r="M530" i="1"/>
  <c r="L530" i="1"/>
  <c r="N530" i="1" s="1"/>
  <c r="E530" i="1"/>
  <c r="D530" i="1"/>
  <c r="P529" i="1" a="1"/>
  <c r="P529" i="1" s="1"/>
  <c r="O529" i="1" a="1"/>
  <c r="O529" i="1" s="1"/>
  <c r="M529" i="1"/>
  <c r="L529" i="1"/>
  <c r="N529" i="1" s="1"/>
  <c r="E529" i="1"/>
  <c r="D529" i="1"/>
  <c r="P528" i="1"/>
  <c r="P528" i="1" a="1"/>
  <c r="O528" i="1" a="1"/>
  <c r="O528" i="1" s="1"/>
  <c r="M528" i="1"/>
  <c r="L528" i="1"/>
  <c r="N528" i="1" s="1"/>
  <c r="E528" i="1"/>
  <c r="D528" i="1"/>
  <c r="P527" i="1" a="1"/>
  <c r="P527" i="1" s="1"/>
  <c r="O527" i="1" a="1"/>
  <c r="O527" i="1" s="1"/>
  <c r="N527" i="1"/>
  <c r="M527" i="1"/>
  <c r="L527" i="1"/>
  <c r="E527" i="1"/>
  <c r="D527" i="1"/>
  <c r="P526" i="1" a="1"/>
  <c r="P526" i="1" s="1"/>
  <c r="O526" i="1" a="1"/>
  <c r="O526" i="1" s="1"/>
  <c r="M526" i="1"/>
  <c r="L526" i="1"/>
  <c r="N526" i="1" s="1"/>
  <c r="E526" i="1"/>
  <c r="D526" i="1"/>
  <c r="P525" i="1" a="1"/>
  <c r="P525" i="1" s="1"/>
  <c r="O525" i="1"/>
  <c r="O525" i="1" a="1"/>
  <c r="N525" i="1"/>
  <c r="M525" i="1"/>
  <c r="L525" i="1"/>
  <c r="E525" i="1"/>
  <c r="D525" i="1"/>
  <c r="P524" i="1" a="1"/>
  <c r="P524" i="1" s="1"/>
  <c r="O524" i="1" a="1"/>
  <c r="O524" i="1" s="1"/>
  <c r="N524" i="1"/>
  <c r="M524" i="1"/>
  <c r="L524" i="1"/>
  <c r="E524" i="1"/>
  <c r="D524" i="1"/>
  <c r="P523" i="1"/>
  <c r="P523" i="1" a="1"/>
  <c r="O523" i="1" a="1"/>
  <c r="O523" i="1" s="1"/>
  <c r="M523" i="1"/>
  <c r="L523" i="1"/>
  <c r="N523" i="1" s="1"/>
  <c r="E523" i="1"/>
  <c r="D523" i="1"/>
  <c r="P522" i="1" a="1"/>
  <c r="P522" i="1" s="1"/>
  <c r="O522" i="1"/>
  <c r="O522" i="1" a="1"/>
  <c r="M522" i="1"/>
  <c r="L522" i="1"/>
  <c r="N522" i="1" s="1"/>
  <c r="E522" i="1"/>
  <c r="D522" i="1"/>
  <c r="P521" i="1" a="1"/>
  <c r="P521" i="1" s="1"/>
  <c r="O521" i="1" a="1"/>
  <c r="O521" i="1" s="1"/>
  <c r="M521" i="1"/>
  <c r="L521" i="1"/>
  <c r="N521" i="1" s="1"/>
  <c r="E521" i="1"/>
  <c r="D521" i="1"/>
  <c r="P520" i="1"/>
  <c r="P520" i="1" a="1"/>
  <c r="O520" i="1" a="1"/>
  <c r="O520" i="1" s="1"/>
  <c r="M520" i="1"/>
  <c r="L520" i="1"/>
  <c r="N520" i="1" s="1"/>
  <c r="E520" i="1"/>
  <c r="D520" i="1"/>
  <c r="P519" i="1" a="1"/>
  <c r="P519" i="1" s="1"/>
  <c r="O519" i="1" a="1"/>
  <c r="O519" i="1" s="1"/>
  <c r="N519" i="1"/>
  <c r="M519" i="1"/>
  <c r="L519" i="1"/>
  <c r="E519" i="1"/>
  <c r="D519" i="1"/>
  <c r="P518" i="1" a="1"/>
  <c r="P518" i="1" s="1"/>
  <c r="O518" i="1" a="1"/>
  <c r="O518" i="1" s="1"/>
  <c r="M518" i="1"/>
  <c r="L518" i="1"/>
  <c r="N518" i="1" s="1"/>
  <c r="E518" i="1"/>
  <c r="D518" i="1"/>
  <c r="P517" i="1" a="1"/>
  <c r="P517" i="1" s="1"/>
  <c r="O517" i="1"/>
  <c r="O517" i="1" a="1"/>
  <c r="N517" i="1"/>
  <c r="M517" i="1"/>
  <c r="L517" i="1"/>
  <c r="E517" i="1"/>
  <c r="D517" i="1"/>
  <c r="P516" i="1" a="1"/>
  <c r="P516" i="1" s="1"/>
  <c r="O516" i="1" a="1"/>
  <c r="O516" i="1" s="1"/>
  <c r="N516" i="1"/>
  <c r="M516" i="1"/>
  <c r="L516" i="1"/>
  <c r="E516" i="1"/>
  <c r="D516" i="1"/>
  <c r="P515" i="1"/>
  <c r="P515" i="1" a="1"/>
  <c r="O515" i="1" a="1"/>
  <c r="O515" i="1" s="1"/>
  <c r="M515" i="1"/>
  <c r="L515" i="1"/>
  <c r="N515" i="1" s="1"/>
  <c r="E515" i="1"/>
  <c r="D515" i="1"/>
  <c r="P514" i="1" a="1"/>
  <c r="P514" i="1" s="1"/>
  <c r="O514" i="1"/>
  <c r="O514" i="1" a="1"/>
  <c r="M514" i="1"/>
  <c r="L514" i="1"/>
  <c r="N514" i="1" s="1"/>
  <c r="E514" i="1"/>
  <c r="D514" i="1"/>
  <c r="P513" i="1" a="1"/>
  <c r="P513" i="1" s="1"/>
  <c r="O513" i="1" a="1"/>
  <c r="O513" i="1" s="1"/>
  <c r="M513" i="1"/>
  <c r="L513" i="1"/>
  <c r="N513" i="1" s="1"/>
  <c r="E513" i="1"/>
  <c r="D513" i="1"/>
  <c r="P512" i="1"/>
  <c r="P512" i="1" a="1"/>
  <c r="O512" i="1" a="1"/>
  <c r="O512" i="1" s="1"/>
  <c r="M512" i="1"/>
  <c r="L512" i="1"/>
  <c r="N512" i="1" s="1"/>
  <c r="E512" i="1"/>
  <c r="D512" i="1"/>
  <c r="P511" i="1" a="1"/>
  <c r="P511" i="1" s="1"/>
  <c r="O511" i="1" a="1"/>
  <c r="O511" i="1" s="1"/>
  <c r="N511" i="1"/>
  <c r="M511" i="1"/>
  <c r="L511" i="1"/>
  <c r="E511" i="1"/>
  <c r="D511" i="1"/>
  <c r="P510" i="1" a="1"/>
  <c r="P510" i="1" s="1"/>
  <c r="O510" i="1" a="1"/>
  <c r="O510" i="1" s="1"/>
  <c r="M510" i="1"/>
  <c r="L510" i="1"/>
  <c r="N510" i="1" s="1"/>
  <c r="E510" i="1"/>
  <c r="D510" i="1"/>
  <c r="P509" i="1" a="1"/>
  <c r="P509" i="1" s="1"/>
  <c r="O509" i="1"/>
  <c r="O509" i="1" a="1"/>
  <c r="N509" i="1"/>
  <c r="M509" i="1"/>
  <c r="L509" i="1"/>
  <c r="E509" i="1"/>
  <c r="D509" i="1"/>
  <c r="P508" i="1" a="1"/>
  <c r="P508" i="1" s="1"/>
  <c r="O508" i="1" a="1"/>
  <c r="O508" i="1" s="1"/>
  <c r="N508" i="1"/>
  <c r="M508" i="1"/>
  <c r="L508" i="1"/>
  <c r="E508" i="1"/>
  <c r="D508" i="1"/>
  <c r="P507" i="1"/>
  <c r="P507" i="1" a="1"/>
  <c r="O507" i="1" a="1"/>
  <c r="O507" i="1" s="1"/>
  <c r="M507" i="1"/>
  <c r="L507" i="1"/>
  <c r="N507" i="1" s="1"/>
  <c r="E507" i="1"/>
  <c r="D507" i="1"/>
  <c r="P506" i="1" a="1"/>
  <c r="P506" i="1" s="1"/>
  <c r="O506" i="1"/>
  <c r="O506" i="1" a="1"/>
  <c r="M506" i="1"/>
  <c r="L506" i="1"/>
  <c r="N506" i="1" s="1"/>
  <c r="E506" i="1"/>
  <c r="D506" i="1"/>
  <c r="P505" i="1" a="1"/>
  <c r="P505" i="1" s="1"/>
  <c r="O505" i="1" a="1"/>
  <c r="O505" i="1" s="1"/>
  <c r="M505" i="1"/>
  <c r="L505" i="1"/>
  <c r="N505" i="1" s="1"/>
  <c r="E505" i="1"/>
  <c r="D505" i="1"/>
  <c r="P504" i="1"/>
  <c r="P504" i="1" a="1"/>
  <c r="O504" i="1" a="1"/>
  <c r="O504" i="1" s="1"/>
  <c r="M504" i="1"/>
  <c r="L504" i="1"/>
  <c r="N504" i="1" s="1"/>
  <c r="E504" i="1"/>
  <c r="D504" i="1"/>
  <c r="P503" i="1" a="1"/>
  <c r="P503" i="1" s="1"/>
  <c r="O503" i="1" a="1"/>
  <c r="O503" i="1" s="1"/>
  <c r="N503" i="1"/>
  <c r="M503" i="1"/>
  <c r="L503" i="1"/>
  <c r="E503" i="1"/>
  <c r="D503" i="1"/>
  <c r="P502" i="1" a="1"/>
  <c r="P502" i="1" s="1"/>
  <c r="O502" i="1" a="1"/>
  <c r="O502" i="1" s="1"/>
  <c r="M502" i="1"/>
  <c r="L502" i="1"/>
  <c r="N502" i="1" s="1"/>
  <c r="E502" i="1"/>
  <c r="D502" i="1"/>
  <c r="P501" i="1" a="1"/>
  <c r="P501" i="1" s="1"/>
  <c r="O501" i="1"/>
  <c r="O501" i="1" a="1"/>
  <c r="N501" i="1"/>
  <c r="M501" i="1"/>
  <c r="L501" i="1"/>
  <c r="E501" i="1"/>
  <c r="D501" i="1"/>
  <c r="P500" i="1" a="1"/>
  <c r="P500" i="1" s="1"/>
  <c r="O500" i="1" a="1"/>
  <c r="O500" i="1" s="1"/>
  <c r="N500" i="1"/>
  <c r="M500" i="1"/>
  <c r="L500" i="1"/>
  <c r="E500" i="1"/>
  <c r="D500" i="1"/>
  <c r="P499" i="1"/>
  <c r="P499" i="1" a="1"/>
  <c r="O499" i="1" a="1"/>
  <c r="O499" i="1" s="1"/>
  <c r="M499" i="1"/>
  <c r="L499" i="1"/>
  <c r="N499" i="1" s="1"/>
  <c r="E499" i="1"/>
  <c r="D499" i="1"/>
  <c r="P498" i="1" a="1"/>
  <c r="P498" i="1" s="1"/>
  <c r="O498" i="1"/>
  <c r="O498" i="1" a="1"/>
  <c r="M498" i="1"/>
  <c r="L498" i="1"/>
  <c r="N498" i="1" s="1"/>
  <c r="E498" i="1"/>
  <c r="D498" i="1"/>
  <c r="P497" i="1" a="1"/>
  <c r="P497" i="1" s="1"/>
  <c r="O497" i="1" a="1"/>
  <c r="O497" i="1" s="1"/>
  <c r="M497" i="1"/>
  <c r="L497" i="1"/>
  <c r="N497" i="1" s="1"/>
  <c r="E497" i="1"/>
  <c r="D497" i="1"/>
  <c r="P496" i="1"/>
  <c r="P496" i="1" a="1"/>
  <c r="O496" i="1" a="1"/>
  <c r="O496" i="1" s="1"/>
  <c r="M496" i="1"/>
  <c r="L496" i="1"/>
  <c r="N496" i="1" s="1"/>
  <c r="E496" i="1"/>
  <c r="D496" i="1"/>
  <c r="P495" i="1" a="1"/>
  <c r="P495" i="1" s="1"/>
  <c r="O495" i="1" a="1"/>
  <c r="O495" i="1" s="1"/>
  <c r="N495" i="1"/>
  <c r="M495" i="1"/>
  <c r="L495" i="1"/>
  <c r="E495" i="1"/>
  <c r="D495" i="1"/>
  <c r="P494" i="1" a="1"/>
  <c r="P494" i="1" s="1"/>
  <c r="O494" i="1" a="1"/>
  <c r="O494" i="1" s="1"/>
  <c r="M494" i="1"/>
  <c r="L494" i="1"/>
  <c r="N494" i="1" s="1"/>
  <c r="E494" i="1"/>
  <c r="D494" i="1"/>
  <c r="P493" i="1" a="1"/>
  <c r="P493" i="1" s="1"/>
  <c r="O493" i="1"/>
  <c r="O493" i="1" a="1"/>
  <c r="M493" i="1"/>
  <c r="L493" i="1"/>
  <c r="N493" i="1" s="1"/>
  <c r="E493" i="1"/>
  <c r="D493" i="1"/>
  <c r="P492" i="1" a="1"/>
  <c r="P492" i="1" s="1"/>
  <c r="O492" i="1" a="1"/>
  <c r="O492" i="1" s="1"/>
  <c r="N492" i="1"/>
  <c r="M492" i="1"/>
  <c r="L492" i="1"/>
  <c r="E492" i="1"/>
  <c r="D492" i="1"/>
  <c r="P491" i="1"/>
  <c r="P491" i="1" a="1"/>
  <c r="O491" i="1" a="1"/>
  <c r="O491" i="1" s="1"/>
  <c r="M491" i="1"/>
  <c r="L491" i="1"/>
  <c r="N491" i="1" s="1"/>
  <c r="E491" i="1"/>
  <c r="D491" i="1"/>
  <c r="P490" i="1" a="1"/>
  <c r="P490" i="1" s="1"/>
  <c r="O490" i="1"/>
  <c r="O490" i="1" a="1"/>
  <c r="M490" i="1"/>
  <c r="L490" i="1"/>
  <c r="N490" i="1" s="1"/>
  <c r="E490" i="1"/>
  <c r="D490" i="1"/>
  <c r="P489" i="1" a="1"/>
  <c r="P489" i="1" s="1"/>
  <c r="O489" i="1" a="1"/>
  <c r="O489" i="1" s="1"/>
  <c r="M489" i="1"/>
  <c r="L489" i="1"/>
  <c r="N489" i="1" s="1"/>
  <c r="E489" i="1"/>
  <c r="D489" i="1"/>
  <c r="P488" i="1"/>
  <c r="P488" i="1" a="1"/>
  <c r="O488" i="1" a="1"/>
  <c r="O488" i="1" s="1"/>
  <c r="M488" i="1"/>
  <c r="L488" i="1"/>
  <c r="N488" i="1" s="1"/>
  <c r="E488" i="1"/>
  <c r="D488" i="1"/>
  <c r="P487" i="1" a="1"/>
  <c r="P487" i="1" s="1"/>
  <c r="O487" i="1" a="1"/>
  <c r="O487" i="1" s="1"/>
  <c r="N487" i="1"/>
  <c r="M487" i="1"/>
  <c r="L487" i="1"/>
  <c r="E487" i="1"/>
  <c r="D487" i="1"/>
  <c r="P486" i="1" a="1"/>
  <c r="P486" i="1" s="1"/>
  <c r="O486" i="1" a="1"/>
  <c r="O486" i="1" s="1"/>
  <c r="M486" i="1"/>
  <c r="L486" i="1"/>
  <c r="N486" i="1" s="1"/>
  <c r="E486" i="1"/>
  <c r="D486" i="1"/>
  <c r="P485" i="1" a="1"/>
  <c r="P485" i="1" s="1"/>
  <c r="O485" i="1"/>
  <c r="O485" i="1" a="1"/>
  <c r="M485" i="1"/>
  <c r="L485" i="1"/>
  <c r="N485" i="1" s="1"/>
  <c r="E485" i="1"/>
  <c r="D485" i="1"/>
  <c r="P484" i="1" a="1"/>
  <c r="P484" i="1" s="1"/>
  <c r="O484" i="1" a="1"/>
  <c r="O484" i="1" s="1"/>
  <c r="N484" i="1"/>
  <c r="M484" i="1"/>
  <c r="L484" i="1"/>
  <c r="E484" i="1"/>
  <c r="D484" i="1"/>
  <c r="P483" i="1"/>
  <c r="P483" i="1" a="1"/>
  <c r="O483" i="1" a="1"/>
  <c r="O483" i="1" s="1"/>
  <c r="M483" i="1"/>
  <c r="L483" i="1"/>
  <c r="N483" i="1" s="1"/>
  <c r="E483" i="1"/>
  <c r="D483" i="1"/>
  <c r="P482" i="1" a="1"/>
  <c r="P482" i="1" s="1"/>
  <c r="O482" i="1"/>
  <c r="O482" i="1" a="1"/>
  <c r="M482" i="1"/>
  <c r="L482" i="1"/>
  <c r="N482" i="1" s="1"/>
  <c r="E482" i="1"/>
  <c r="D482" i="1"/>
  <c r="P481" i="1" a="1"/>
  <c r="P481" i="1" s="1"/>
  <c r="O481" i="1" a="1"/>
  <c r="O481" i="1" s="1"/>
  <c r="M481" i="1"/>
  <c r="L481" i="1"/>
  <c r="N481" i="1" s="1"/>
  <c r="E481" i="1"/>
  <c r="D481" i="1"/>
  <c r="P480" i="1"/>
  <c r="P480" i="1" a="1"/>
  <c r="O480" i="1" a="1"/>
  <c r="O480" i="1" s="1"/>
  <c r="M480" i="1"/>
  <c r="L480" i="1"/>
  <c r="N480" i="1" s="1"/>
  <c r="E480" i="1"/>
  <c r="D480" i="1"/>
  <c r="P479" i="1" a="1"/>
  <c r="P479" i="1" s="1"/>
  <c r="O479" i="1" a="1"/>
  <c r="O479" i="1" s="1"/>
  <c r="N479" i="1"/>
  <c r="M479" i="1"/>
  <c r="L479" i="1"/>
  <c r="E479" i="1"/>
  <c r="D479" i="1"/>
  <c r="P478" i="1" a="1"/>
  <c r="P478" i="1" s="1"/>
  <c r="O478" i="1" a="1"/>
  <c r="O478" i="1" s="1"/>
  <c r="M478" i="1"/>
  <c r="L478" i="1"/>
  <c r="N478" i="1" s="1"/>
  <c r="E478" i="1"/>
  <c r="D478" i="1"/>
  <c r="P477" i="1" a="1"/>
  <c r="P477" i="1" s="1"/>
  <c r="O477" i="1"/>
  <c r="O477" i="1" a="1"/>
  <c r="M477" i="1"/>
  <c r="L477" i="1"/>
  <c r="N477" i="1" s="1"/>
  <c r="E477" i="1"/>
  <c r="D477" i="1"/>
  <c r="P476" i="1" a="1"/>
  <c r="P476" i="1" s="1"/>
  <c r="O476" i="1" a="1"/>
  <c r="O476" i="1" s="1"/>
  <c r="N476" i="1"/>
  <c r="M476" i="1"/>
  <c r="L476" i="1"/>
  <c r="E476" i="1"/>
  <c r="D476" i="1"/>
  <c r="P475" i="1"/>
  <c r="P475" i="1" a="1"/>
  <c r="O475" i="1" a="1"/>
  <c r="O475" i="1" s="1"/>
  <c r="M475" i="1"/>
  <c r="L475" i="1"/>
  <c r="N475" i="1" s="1"/>
  <c r="E475" i="1"/>
  <c r="D475" i="1"/>
  <c r="P474" i="1" a="1"/>
  <c r="P474" i="1" s="1"/>
  <c r="O474" i="1"/>
  <c r="O474" i="1" a="1"/>
  <c r="M474" i="1"/>
  <c r="L474" i="1"/>
  <c r="N474" i="1" s="1"/>
  <c r="E474" i="1"/>
  <c r="D474" i="1"/>
  <c r="P473" i="1" a="1"/>
  <c r="P473" i="1" s="1"/>
  <c r="O473" i="1" a="1"/>
  <c r="O473" i="1" s="1"/>
  <c r="M473" i="1"/>
  <c r="L473" i="1"/>
  <c r="N473" i="1" s="1"/>
  <c r="E473" i="1"/>
  <c r="D473" i="1"/>
  <c r="P472" i="1"/>
  <c r="P472" i="1" a="1"/>
  <c r="O472" i="1" a="1"/>
  <c r="O472" i="1" s="1"/>
  <c r="M472" i="1"/>
  <c r="L472" i="1"/>
  <c r="N472" i="1" s="1"/>
  <c r="E472" i="1"/>
  <c r="D472" i="1"/>
  <c r="P471" i="1" a="1"/>
  <c r="P471" i="1" s="1"/>
  <c r="O471" i="1" a="1"/>
  <c r="O471" i="1" s="1"/>
  <c r="N471" i="1"/>
  <c r="M471" i="1"/>
  <c r="L471" i="1"/>
  <c r="E471" i="1"/>
  <c r="D471" i="1"/>
  <c r="P470" i="1" a="1"/>
  <c r="P470" i="1" s="1"/>
  <c r="O470" i="1" a="1"/>
  <c r="O470" i="1" s="1"/>
  <c r="M470" i="1"/>
  <c r="L470" i="1"/>
  <c r="N470" i="1" s="1"/>
  <c r="E470" i="1"/>
  <c r="D470" i="1"/>
  <c r="P469" i="1" a="1"/>
  <c r="P469" i="1" s="1"/>
  <c r="O469" i="1"/>
  <c r="O469" i="1" a="1"/>
  <c r="M469" i="1"/>
  <c r="L469" i="1"/>
  <c r="N469" i="1" s="1"/>
  <c r="E469" i="1"/>
  <c r="D469" i="1"/>
  <c r="P468" i="1" a="1"/>
  <c r="P468" i="1" s="1"/>
  <c r="O468" i="1" a="1"/>
  <c r="O468" i="1" s="1"/>
  <c r="N468" i="1"/>
  <c r="M468" i="1"/>
  <c r="L468" i="1"/>
  <c r="E468" i="1"/>
  <c r="D468" i="1"/>
  <c r="P467" i="1"/>
  <c r="P467" i="1" a="1"/>
  <c r="O467" i="1" a="1"/>
  <c r="O467" i="1" s="1"/>
  <c r="M467" i="1"/>
  <c r="L467" i="1"/>
  <c r="N467" i="1" s="1"/>
  <c r="E467" i="1"/>
  <c r="D467" i="1"/>
  <c r="P466" i="1" a="1"/>
  <c r="P466" i="1" s="1"/>
  <c r="O466" i="1"/>
  <c r="O466" i="1" a="1"/>
  <c r="M466" i="1"/>
  <c r="L466" i="1"/>
  <c r="N466" i="1" s="1"/>
  <c r="E466" i="1"/>
  <c r="D466" i="1"/>
  <c r="P465" i="1" a="1"/>
  <c r="P465" i="1" s="1"/>
  <c r="O465" i="1" a="1"/>
  <c r="O465" i="1" s="1"/>
  <c r="M465" i="1"/>
  <c r="L465" i="1"/>
  <c r="N465" i="1" s="1"/>
  <c r="E465" i="1"/>
  <c r="D465" i="1"/>
  <c r="P464" i="1"/>
  <c r="P464" i="1" a="1"/>
  <c r="O464" i="1" a="1"/>
  <c r="O464" i="1" s="1"/>
  <c r="M464" i="1"/>
  <c r="L464" i="1"/>
  <c r="N464" i="1" s="1"/>
  <c r="E464" i="1"/>
  <c r="D464" i="1"/>
  <c r="P463" i="1" a="1"/>
  <c r="P463" i="1" s="1"/>
  <c r="O463" i="1" a="1"/>
  <c r="O463" i="1" s="1"/>
  <c r="N463" i="1"/>
  <c r="M463" i="1"/>
  <c r="L463" i="1"/>
  <c r="E463" i="1"/>
  <c r="D463" i="1"/>
  <c r="P462" i="1" a="1"/>
  <c r="P462" i="1" s="1"/>
  <c r="O462" i="1" a="1"/>
  <c r="O462" i="1" s="1"/>
  <c r="M462" i="1"/>
  <c r="L462" i="1"/>
  <c r="N462" i="1" s="1"/>
  <c r="E462" i="1"/>
  <c r="D462" i="1"/>
  <c r="P461" i="1" a="1"/>
  <c r="P461" i="1" s="1"/>
  <c r="O461" i="1"/>
  <c r="O461" i="1" a="1"/>
  <c r="N461" i="1"/>
  <c r="M461" i="1"/>
  <c r="L461" i="1"/>
  <c r="E461" i="1"/>
  <c r="D461" i="1"/>
  <c r="P460" i="1" a="1"/>
  <c r="P460" i="1" s="1"/>
  <c r="O460" i="1" a="1"/>
  <c r="O460" i="1" s="1"/>
  <c r="N460" i="1"/>
  <c r="M460" i="1"/>
  <c r="L460" i="1"/>
  <c r="E460" i="1"/>
  <c r="D460" i="1"/>
  <c r="P459" i="1"/>
  <c r="P459" i="1" a="1"/>
  <c r="O459" i="1" a="1"/>
  <c r="O459" i="1" s="1"/>
  <c r="M459" i="1"/>
  <c r="L459" i="1"/>
  <c r="N459" i="1" s="1"/>
  <c r="E459" i="1"/>
  <c r="D459" i="1"/>
  <c r="P458" i="1" a="1"/>
  <c r="P458" i="1" s="1"/>
  <c r="O458" i="1"/>
  <c r="O458" i="1" a="1"/>
  <c r="M458" i="1"/>
  <c r="L458" i="1"/>
  <c r="N458" i="1" s="1"/>
  <c r="E458" i="1"/>
  <c r="D458" i="1"/>
  <c r="P457" i="1" a="1"/>
  <c r="P457" i="1" s="1"/>
  <c r="O457" i="1" a="1"/>
  <c r="O457" i="1" s="1"/>
  <c r="M457" i="1"/>
  <c r="L457" i="1"/>
  <c r="N457" i="1" s="1"/>
  <c r="E457" i="1"/>
  <c r="D457" i="1"/>
  <c r="P456" i="1"/>
  <c r="P456" i="1" a="1"/>
  <c r="O456" i="1" a="1"/>
  <c r="O456" i="1" s="1"/>
  <c r="M456" i="1"/>
  <c r="L456" i="1"/>
  <c r="N456" i="1" s="1"/>
  <c r="E456" i="1"/>
  <c r="D456" i="1"/>
  <c r="P455" i="1" a="1"/>
  <c r="P455" i="1" s="1"/>
  <c r="O455" i="1" a="1"/>
  <c r="O455" i="1" s="1"/>
  <c r="N455" i="1"/>
  <c r="M455" i="1"/>
  <c r="L455" i="1"/>
  <c r="E455" i="1"/>
  <c r="D455" i="1"/>
  <c r="P454" i="1" a="1"/>
  <c r="P454" i="1" s="1"/>
  <c r="O454" i="1" a="1"/>
  <c r="O454" i="1" s="1"/>
  <c r="M454" i="1"/>
  <c r="L454" i="1"/>
  <c r="N454" i="1" s="1"/>
  <c r="E454" i="1"/>
  <c r="D454" i="1"/>
  <c r="P453" i="1" a="1"/>
  <c r="P453" i="1" s="1"/>
  <c r="O453" i="1"/>
  <c r="O453" i="1" a="1"/>
  <c r="N453" i="1"/>
  <c r="M453" i="1"/>
  <c r="L453" i="1"/>
  <c r="E453" i="1"/>
  <c r="D453" i="1"/>
  <c r="P452" i="1" a="1"/>
  <c r="P452" i="1" s="1"/>
  <c r="O452" i="1" a="1"/>
  <c r="O452" i="1" s="1"/>
  <c r="N452" i="1"/>
  <c r="M452" i="1"/>
  <c r="L452" i="1"/>
  <c r="E452" i="1"/>
  <c r="D452" i="1"/>
  <c r="P451" i="1"/>
  <c r="P451" i="1" a="1"/>
  <c r="O451" i="1" a="1"/>
  <c r="O451" i="1" s="1"/>
  <c r="M451" i="1"/>
  <c r="L451" i="1"/>
  <c r="N451" i="1" s="1"/>
  <c r="E451" i="1"/>
  <c r="D451" i="1"/>
  <c r="P450" i="1" a="1"/>
  <c r="P450" i="1" s="1"/>
  <c r="O450" i="1"/>
  <c r="O450" i="1" a="1"/>
  <c r="M450" i="1"/>
  <c r="L450" i="1"/>
  <c r="N450" i="1" s="1"/>
  <c r="E450" i="1"/>
  <c r="D450" i="1"/>
  <c r="P449" i="1" a="1"/>
  <c r="P449" i="1" s="1"/>
  <c r="O449" i="1" a="1"/>
  <c r="O449" i="1" s="1"/>
  <c r="M449" i="1"/>
  <c r="L449" i="1"/>
  <c r="N449" i="1" s="1"/>
  <c r="E449" i="1"/>
  <c r="D449" i="1"/>
  <c r="P448" i="1"/>
  <c r="P448" i="1" a="1"/>
  <c r="O448" i="1" a="1"/>
  <c r="O448" i="1" s="1"/>
  <c r="M448" i="1"/>
  <c r="L448" i="1"/>
  <c r="N448" i="1" s="1"/>
  <c r="E448" i="1"/>
  <c r="D448" i="1"/>
  <c r="P447" i="1" a="1"/>
  <c r="P447" i="1" s="1"/>
  <c r="O447" i="1" a="1"/>
  <c r="O447" i="1" s="1"/>
  <c r="N447" i="1"/>
  <c r="M447" i="1"/>
  <c r="L447" i="1"/>
  <c r="E447" i="1"/>
  <c r="D447" i="1"/>
  <c r="P446" i="1" a="1"/>
  <c r="P446" i="1" s="1"/>
  <c r="O446" i="1" a="1"/>
  <c r="O446" i="1" s="1"/>
  <c r="M446" i="1"/>
  <c r="L446" i="1"/>
  <c r="N446" i="1" s="1"/>
  <c r="E446" i="1"/>
  <c r="D446" i="1"/>
  <c r="P445" i="1" a="1"/>
  <c r="P445" i="1" s="1"/>
  <c r="O445" i="1"/>
  <c r="O445" i="1" a="1"/>
  <c r="N445" i="1"/>
  <c r="M445" i="1"/>
  <c r="L445" i="1"/>
  <c r="E445" i="1"/>
  <c r="D445" i="1"/>
  <c r="P444" i="1" a="1"/>
  <c r="P444" i="1" s="1"/>
  <c r="O444" i="1" a="1"/>
  <c r="O444" i="1" s="1"/>
  <c r="N444" i="1"/>
  <c r="M444" i="1"/>
  <c r="L444" i="1"/>
  <c r="E444" i="1"/>
  <c r="D444" i="1"/>
  <c r="P443" i="1"/>
  <c r="P443" i="1" a="1"/>
  <c r="O443" i="1" a="1"/>
  <c r="O443" i="1" s="1"/>
  <c r="M443" i="1"/>
  <c r="L443" i="1"/>
  <c r="N443" i="1" s="1"/>
  <c r="E443" i="1"/>
  <c r="D443" i="1"/>
  <c r="P442" i="1" a="1"/>
  <c r="P442" i="1" s="1"/>
  <c r="O442" i="1"/>
  <c r="O442" i="1" a="1"/>
  <c r="M442" i="1"/>
  <c r="L442" i="1"/>
  <c r="N442" i="1" s="1"/>
  <c r="E442" i="1"/>
  <c r="D442" i="1"/>
  <c r="P441" i="1" a="1"/>
  <c r="P441" i="1" s="1"/>
  <c r="O441" i="1" a="1"/>
  <c r="O441" i="1" s="1"/>
  <c r="M441" i="1"/>
  <c r="L441" i="1"/>
  <c r="N441" i="1" s="1"/>
  <c r="E441" i="1"/>
  <c r="D441" i="1"/>
  <c r="P440" i="1"/>
  <c r="P440" i="1" a="1"/>
  <c r="O440" i="1" a="1"/>
  <c r="O440" i="1" s="1"/>
  <c r="M440" i="1"/>
  <c r="L440" i="1"/>
  <c r="N440" i="1" s="1"/>
  <c r="E440" i="1"/>
  <c r="D440" i="1"/>
  <c r="P439" i="1" a="1"/>
  <c r="P439" i="1" s="1"/>
  <c r="O439" i="1" a="1"/>
  <c r="O439" i="1" s="1"/>
  <c r="N439" i="1"/>
  <c r="M439" i="1"/>
  <c r="L439" i="1"/>
  <c r="E439" i="1"/>
  <c r="D439" i="1"/>
  <c r="P438" i="1" a="1"/>
  <c r="P438" i="1" s="1"/>
  <c r="O438" i="1" a="1"/>
  <c r="O438" i="1" s="1"/>
  <c r="M438" i="1"/>
  <c r="L438" i="1"/>
  <c r="N438" i="1" s="1"/>
  <c r="E438" i="1"/>
  <c r="D438" i="1"/>
  <c r="P437" i="1" a="1"/>
  <c r="P437" i="1" s="1"/>
  <c r="O437" i="1"/>
  <c r="O437" i="1" a="1"/>
  <c r="N437" i="1"/>
  <c r="M437" i="1"/>
  <c r="L437" i="1"/>
  <c r="E437" i="1"/>
  <c r="D437" i="1"/>
  <c r="P436" i="1" a="1"/>
  <c r="P436" i="1" s="1"/>
  <c r="O436" i="1" a="1"/>
  <c r="O436" i="1" s="1"/>
  <c r="N436" i="1"/>
  <c r="M436" i="1"/>
  <c r="L436" i="1"/>
  <c r="E436" i="1"/>
  <c r="D436" i="1"/>
  <c r="P435" i="1"/>
  <c r="P435" i="1" a="1"/>
  <c r="O435" i="1" a="1"/>
  <c r="O435" i="1" s="1"/>
  <c r="M435" i="1"/>
  <c r="L435" i="1"/>
  <c r="N435" i="1" s="1"/>
  <c r="E435" i="1"/>
  <c r="D435" i="1"/>
  <c r="P434" i="1" a="1"/>
  <c r="P434" i="1" s="1"/>
  <c r="O434" i="1"/>
  <c r="O434" i="1" a="1"/>
  <c r="M434" i="1"/>
  <c r="L434" i="1"/>
  <c r="N434" i="1" s="1"/>
  <c r="E434" i="1"/>
  <c r="D434" i="1"/>
  <c r="P433" i="1" a="1"/>
  <c r="P433" i="1" s="1"/>
  <c r="O433" i="1" a="1"/>
  <c r="O433" i="1" s="1"/>
  <c r="M433" i="1"/>
  <c r="L433" i="1"/>
  <c r="N433" i="1" s="1"/>
  <c r="E433" i="1"/>
  <c r="D433" i="1"/>
  <c r="P432" i="1"/>
  <c r="P432" i="1" a="1"/>
  <c r="O432" i="1" a="1"/>
  <c r="O432" i="1" s="1"/>
  <c r="M432" i="1"/>
  <c r="L432" i="1"/>
  <c r="N432" i="1" s="1"/>
  <c r="E432" i="1"/>
  <c r="D432" i="1"/>
  <c r="P431" i="1"/>
  <c r="P431" i="1" a="1"/>
  <c r="O431" i="1" a="1"/>
  <c r="O431" i="1" s="1"/>
  <c r="N431" i="1"/>
  <c r="M431" i="1"/>
  <c r="L431" i="1"/>
  <c r="E431" i="1"/>
  <c r="D431" i="1"/>
  <c r="P430" i="1"/>
  <c r="P430" i="1" a="1"/>
  <c r="O430" i="1" a="1"/>
  <c r="O430" i="1" s="1"/>
  <c r="M430" i="1"/>
  <c r="L430" i="1"/>
  <c r="N430" i="1" s="1"/>
  <c r="E430" i="1"/>
  <c r="D430" i="1"/>
  <c r="P429" i="1" a="1"/>
  <c r="P429" i="1" s="1"/>
  <c r="O429" i="1"/>
  <c r="O429" i="1" a="1"/>
  <c r="M429" i="1"/>
  <c r="L429" i="1"/>
  <c r="N429" i="1" s="1"/>
  <c r="E429" i="1"/>
  <c r="D429" i="1"/>
  <c r="P428" i="1" a="1"/>
  <c r="P428" i="1" s="1"/>
  <c r="O428" i="1" a="1"/>
  <c r="O428" i="1" s="1"/>
  <c r="M428" i="1"/>
  <c r="L428" i="1"/>
  <c r="N428" i="1" s="1"/>
  <c r="E428" i="1"/>
  <c r="D428" i="1"/>
  <c r="P427" i="1"/>
  <c r="P427" i="1" a="1"/>
  <c r="O427" i="1"/>
  <c r="O427" i="1" a="1"/>
  <c r="N427" i="1"/>
  <c r="M427" i="1"/>
  <c r="L427" i="1"/>
  <c r="E427" i="1"/>
  <c r="D427" i="1"/>
  <c r="P426" i="1" a="1"/>
  <c r="P426" i="1" s="1"/>
  <c r="O426" i="1" a="1"/>
  <c r="O426" i="1" s="1"/>
  <c r="N426" i="1"/>
  <c r="M426" i="1"/>
  <c r="L426" i="1"/>
  <c r="E426" i="1"/>
  <c r="D426" i="1"/>
  <c r="P425" i="1"/>
  <c r="P425" i="1" a="1"/>
  <c r="O425" i="1" a="1"/>
  <c r="O425" i="1" s="1"/>
  <c r="M425" i="1"/>
  <c r="L425" i="1"/>
  <c r="N425" i="1" s="1"/>
  <c r="E425" i="1"/>
  <c r="D425" i="1"/>
  <c r="P424" i="1" a="1"/>
  <c r="P424" i="1" s="1"/>
  <c r="O424" i="1"/>
  <c r="O424" i="1" a="1"/>
  <c r="M424" i="1"/>
  <c r="L424" i="1"/>
  <c r="N424" i="1" s="1"/>
  <c r="E424" i="1"/>
  <c r="D424" i="1"/>
  <c r="P423" i="1" a="1"/>
  <c r="P423" i="1" s="1"/>
  <c r="O423" i="1" a="1"/>
  <c r="O423" i="1" s="1"/>
  <c r="N423" i="1"/>
  <c r="M423" i="1"/>
  <c r="L423" i="1"/>
  <c r="E423" i="1"/>
  <c r="D423" i="1"/>
  <c r="P422" i="1"/>
  <c r="P422" i="1" a="1"/>
  <c r="O422" i="1" a="1"/>
  <c r="O422" i="1" s="1"/>
  <c r="M422" i="1"/>
  <c r="L422" i="1"/>
  <c r="N422" i="1" s="1"/>
  <c r="E422" i="1"/>
  <c r="D422" i="1"/>
  <c r="P421" i="1" a="1"/>
  <c r="P421" i="1" s="1"/>
  <c r="O421" i="1"/>
  <c r="O421" i="1" a="1"/>
  <c r="M421" i="1"/>
  <c r="L421" i="1"/>
  <c r="N421" i="1" s="1"/>
  <c r="E421" i="1"/>
  <c r="D421" i="1"/>
  <c r="P420" i="1" a="1"/>
  <c r="P420" i="1" s="1"/>
  <c r="O420" i="1" a="1"/>
  <c r="O420" i="1" s="1"/>
  <c r="M420" i="1"/>
  <c r="L420" i="1"/>
  <c r="N420" i="1" s="1"/>
  <c r="E420" i="1"/>
  <c r="D420" i="1"/>
  <c r="P419" i="1"/>
  <c r="P419" i="1" a="1"/>
  <c r="O419" i="1"/>
  <c r="O419" i="1" a="1"/>
  <c r="N419" i="1"/>
  <c r="M419" i="1"/>
  <c r="L419" i="1"/>
  <c r="E419" i="1"/>
  <c r="D419" i="1"/>
  <c r="P418" i="1" a="1"/>
  <c r="P418" i="1" s="1"/>
  <c r="O418" i="1" a="1"/>
  <c r="O418" i="1" s="1"/>
  <c r="N418" i="1"/>
  <c r="M418" i="1"/>
  <c r="L418" i="1"/>
  <c r="E418" i="1"/>
  <c r="D418" i="1"/>
  <c r="P417" i="1"/>
  <c r="P417" i="1" a="1"/>
  <c r="O417" i="1" a="1"/>
  <c r="O417" i="1" s="1"/>
  <c r="M417" i="1"/>
  <c r="L417" i="1"/>
  <c r="N417" i="1" s="1"/>
  <c r="E417" i="1"/>
  <c r="D417" i="1"/>
  <c r="P416" i="1" a="1"/>
  <c r="P416" i="1" s="1"/>
  <c r="O416" i="1"/>
  <c r="O416" i="1" a="1"/>
  <c r="M416" i="1"/>
  <c r="L416" i="1"/>
  <c r="N416" i="1" s="1"/>
  <c r="E416" i="1"/>
  <c r="D416" i="1"/>
  <c r="P415" i="1" a="1"/>
  <c r="P415" i="1" s="1"/>
  <c r="O415" i="1" a="1"/>
  <c r="O415" i="1" s="1"/>
  <c r="N415" i="1"/>
  <c r="M415" i="1"/>
  <c r="L415" i="1"/>
  <c r="E415" i="1"/>
  <c r="D415" i="1"/>
  <c r="P414" i="1"/>
  <c r="P414" i="1" a="1"/>
  <c r="O414" i="1" a="1"/>
  <c r="O414" i="1" s="1"/>
  <c r="M414" i="1"/>
  <c r="L414" i="1"/>
  <c r="N414" i="1" s="1"/>
  <c r="E414" i="1"/>
  <c r="D414" i="1"/>
  <c r="P413" i="1" a="1"/>
  <c r="P413" i="1" s="1"/>
  <c r="O413" i="1"/>
  <c r="O413" i="1" a="1"/>
  <c r="M413" i="1"/>
  <c r="L413" i="1"/>
  <c r="N413" i="1" s="1"/>
  <c r="E413" i="1"/>
  <c r="D413" i="1"/>
  <c r="P412" i="1" a="1"/>
  <c r="P412" i="1" s="1"/>
  <c r="O412" i="1" a="1"/>
  <c r="O412" i="1" s="1"/>
  <c r="M412" i="1"/>
  <c r="L412" i="1"/>
  <c r="N412" i="1" s="1"/>
  <c r="E412" i="1"/>
  <c r="D412" i="1"/>
  <c r="P411" i="1"/>
  <c r="P411" i="1" a="1"/>
  <c r="O411" i="1"/>
  <c r="O411" i="1" a="1"/>
  <c r="N411" i="1"/>
  <c r="M411" i="1"/>
  <c r="L411" i="1"/>
  <c r="E411" i="1"/>
  <c r="D411" i="1"/>
  <c r="P410" i="1" a="1"/>
  <c r="P410" i="1" s="1"/>
  <c r="O410" i="1" a="1"/>
  <c r="O410" i="1" s="1"/>
  <c r="N410" i="1"/>
  <c r="M410" i="1"/>
  <c r="L410" i="1"/>
  <c r="E410" i="1"/>
  <c r="D410" i="1"/>
  <c r="P409" i="1"/>
  <c r="P409" i="1" a="1"/>
  <c r="O409" i="1" a="1"/>
  <c r="O409" i="1" s="1"/>
  <c r="M409" i="1"/>
  <c r="L409" i="1"/>
  <c r="N409" i="1" s="1"/>
  <c r="E409" i="1"/>
  <c r="D409" i="1"/>
  <c r="P408" i="1" a="1"/>
  <c r="P408" i="1" s="1"/>
  <c r="O408" i="1"/>
  <c r="O408" i="1" a="1"/>
  <c r="M408" i="1"/>
  <c r="L408" i="1"/>
  <c r="N408" i="1" s="1"/>
  <c r="E408" i="1"/>
  <c r="D408" i="1"/>
  <c r="P407" i="1" a="1"/>
  <c r="P407" i="1" s="1"/>
  <c r="O407" i="1" a="1"/>
  <c r="O407" i="1" s="1"/>
  <c r="N407" i="1"/>
  <c r="M407" i="1"/>
  <c r="L407" i="1"/>
  <c r="E407" i="1"/>
  <c r="D407" i="1"/>
  <c r="P406" i="1"/>
  <c r="P406" i="1" a="1"/>
  <c r="O406" i="1" a="1"/>
  <c r="O406" i="1" s="1"/>
  <c r="M406" i="1"/>
  <c r="L406" i="1"/>
  <c r="N406" i="1" s="1"/>
  <c r="E406" i="1"/>
  <c r="D406" i="1"/>
  <c r="P405" i="1" a="1"/>
  <c r="P405" i="1" s="1"/>
  <c r="O405" i="1"/>
  <c r="O405" i="1" a="1"/>
  <c r="M405" i="1"/>
  <c r="L405" i="1"/>
  <c r="N405" i="1" s="1"/>
  <c r="E405" i="1"/>
  <c r="D405" i="1"/>
  <c r="P404" i="1" a="1"/>
  <c r="P404" i="1" s="1"/>
  <c r="O404" i="1" a="1"/>
  <c r="O404" i="1" s="1"/>
  <c r="M404" i="1"/>
  <c r="L404" i="1"/>
  <c r="N404" i="1" s="1"/>
  <c r="E404" i="1"/>
  <c r="D404" i="1"/>
  <c r="P403" i="1"/>
  <c r="P403" i="1" a="1"/>
  <c r="O403" i="1"/>
  <c r="O403" i="1" a="1"/>
  <c r="N403" i="1"/>
  <c r="M403" i="1"/>
  <c r="L403" i="1"/>
  <c r="E403" i="1"/>
  <c r="D403" i="1"/>
  <c r="P402" i="1" a="1"/>
  <c r="P402" i="1" s="1"/>
  <c r="O402" i="1" a="1"/>
  <c r="O402" i="1" s="1"/>
  <c r="N402" i="1"/>
  <c r="M402" i="1"/>
  <c r="L402" i="1"/>
  <c r="E402" i="1"/>
  <c r="D402" i="1"/>
  <c r="P401" i="1"/>
  <c r="P401" i="1" a="1"/>
  <c r="O401" i="1" a="1"/>
  <c r="O401" i="1" s="1"/>
  <c r="M401" i="1"/>
  <c r="L401" i="1"/>
  <c r="N401" i="1" s="1"/>
  <c r="E401" i="1"/>
  <c r="D401" i="1"/>
  <c r="P400" i="1" a="1"/>
  <c r="P400" i="1" s="1"/>
  <c r="O400" i="1"/>
  <c r="O400" i="1" a="1"/>
  <c r="M400" i="1"/>
  <c r="L400" i="1"/>
  <c r="N400" i="1" s="1"/>
  <c r="E400" i="1"/>
  <c r="D400" i="1"/>
  <c r="P399" i="1" a="1"/>
  <c r="P399" i="1" s="1"/>
  <c r="O399" i="1" a="1"/>
  <c r="O399" i="1" s="1"/>
  <c r="N399" i="1"/>
  <c r="M399" i="1"/>
  <c r="L399" i="1"/>
  <c r="E399" i="1"/>
  <c r="D399" i="1"/>
  <c r="P398" i="1"/>
  <c r="P398" i="1" a="1"/>
  <c r="O398" i="1" a="1"/>
  <c r="O398" i="1" s="1"/>
  <c r="M398" i="1"/>
  <c r="L398" i="1"/>
  <c r="N398" i="1" s="1"/>
  <c r="E398" i="1"/>
  <c r="D398" i="1"/>
  <c r="P397" i="1" a="1"/>
  <c r="P397" i="1" s="1"/>
  <c r="O397" i="1"/>
  <c r="O397" i="1" a="1"/>
  <c r="M397" i="1"/>
  <c r="L397" i="1"/>
  <c r="N397" i="1" s="1"/>
  <c r="E397" i="1"/>
  <c r="D397" i="1"/>
  <c r="P396" i="1" a="1"/>
  <c r="P396" i="1" s="1"/>
  <c r="O396" i="1" a="1"/>
  <c r="O396" i="1" s="1"/>
  <c r="M396" i="1"/>
  <c r="L396" i="1"/>
  <c r="N396" i="1" s="1"/>
  <c r="E396" i="1"/>
  <c r="D396" i="1"/>
  <c r="P395" i="1"/>
  <c r="P395" i="1" a="1"/>
  <c r="O395" i="1"/>
  <c r="O395" i="1" a="1"/>
  <c r="N395" i="1"/>
  <c r="M395" i="1"/>
  <c r="L395" i="1"/>
  <c r="E395" i="1"/>
  <c r="D395" i="1"/>
  <c r="P394" i="1" a="1"/>
  <c r="P394" i="1" s="1"/>
  <c r="O394" i="1" a="1"/>
  <c r="O394" i="1" s="1"/>
  <c r="N394" i="1"/>
  <c r="M394" i="1"/>
  <c r="L394" i="1"/>
  <c r="E394" i="1"/>
  <c r="D394" i="1"/>
  <c r="P393" i="1"/>
  <c r="P393" i="1" a="1"/>
  <c r="O393" i="1" a="1"/>
  <c r="O393" i="1" s="1"/>
  <c r="M393" i="1"/>
  <c r="L393" i="1"/>
  <c r="N393" i="1" s="1"/>
  <c r="E393" i="1"/>
  <c r="D393" i="1"/>
  <c r="P392" i="1" a="1"/>
  <c r="P392" i="1" s="1"/>
  <c r="O392" i="1"/>
  <c r="O392" i="1" a="1"/>
  <c r="M392" i="1"/>
  <c r="L392" i="1"/>
  <c r="N392" i="1" s="1"/>
  <c r="E392" i="1"/>
  <c r="D392" i="1"/>
  <c r="P391" i="1" a="1"/>
  <c r="P391" i="1" s="1"/>
  <c r="O391" i="1" a="1"/>
  <c r="O391" i="1" s="1"/>
  <c r="N391" i="1"/>
  <c r="M391" i="1"/>
  <c r="L391" i="1"/>
  <c r="E391" i="1"/>
  <c r="D391" i="1"/>
  <c r="P390" i="1"/>
  <c r="P390" i="1" a="1"/>
  <c r="O390" i="1" a="1"/>
  <c r="O390" i="1" s="1"/>
  <c r="M390" i="1"/>
  <c r="L390" i="1"/>
  <c r="N390" i="1" s="1"/>
  <c r="E390" i="1"/>
  <c r="D390" i="1"/>
  <c r="P389" i="1" a="1"/>
  <c r="P389" i="1" s="1"/>
  <c r="O389" i="1"/>
  <c r="O389" i="1" a="1"/>
  <c r="M389" i="1"/>
  <c r="L389" i="1"/>
  <c r="N389" i="1" s="1"/>
  <c r="E389" i="1"/>
  <c r="D389" i="1"/>
  <c r="P388" i="1" a="1"/>
  <c r="P388" i="1" s="1"/>
  <c r="O388" i="1" a="1"/>
  <c r="O388" i="1" s="1"/>
  <c r="M388" i="1"/>
  <c r="L388" i="1"/>
  <c r="N388" i="1" s="1"/>
  <c r="E388" i="1"/>
  <c r="D388" i="1"/>
  <c r="P387" i="1"/>
  <c r="P387" i="1" a="1"/>
  <c r="O387" i="1"/>
  <c r="O387" i="1" a="1"/>
  <c r="N387" i="1"/>
  <c r="M387" i="1"/>
  <c r="L387" i="1"/>
  <c r="E387" i="1"/>
  <c r="D387" i="1"/>
  <c r="P386" i="1" a="1"/>
  <c r="P386" i="1" s="1"/>
  <c r="O386" i="1" a="1"/>
  <c r="O386" i="1" s="1"/>
  <c r="N386" i="1"/>
  <c r="M386" i="1"/>
  <c r="L386" i="1"/>
  <c r="E386" i="1"/>
  <c r="D386" i="1"/>
  <c r="P385" i="1"/>
  <c r="P385" i="1" a="1"/>
  <c r="O385" i="1" a="1"/>
  <c r="O385" i="1" s="1"/>
  <c r="M385" i="1"/>
  <c r="L385" i="1"/>
  <c r="N385" i="1" s="1"/>
  <c r="E385" i="1"/>
  <c r="D385" i="1"/>
  <c r="P384" i="1" a="1"/>
  <c r="P384" i="1" s="1"/>
  <c r="O384" i="1"/>
  <c r="O384" i="1" a="1"/>
  <c r="M384" i="1"/>
  <c r="L384" i="1"/>
  <c r="N384" i="1" s="1"/>
  <c r="E384" i="1"/>
  <c r="D384" i="1"/>
  <c r="P383" i="1" a="1"/>
  <c r="P383" i="1" s="1"/>
  <c r="O383" i="1" a="1"/>
  <c r="O383" i="1" s="1"/>
  <c r="N383" i="1"/>
  <c r="M383" i="1"/>
  <c r="L383" i="1"/>
  <c r="E383" i="1"/>
  <c r="D383" i="1"/>
  <c r="P382" i="1"/>
  <c r="P382" i="1" a="1"/>
  <c r="O382" i="1" a="1"/>
  <c r="O382" i="1" s="1"/>
  <c r="M382" i="1"/>
  <c r="L382" i="1"/>
  <c r="N382" i="1" s="1"/>
  <c r="E382" i="1"/>
  <c r="D382" i="1"/>
  <c r="P381" i="1" a="1"/>
  <c r="P381" i="1" s="1"/>
  <c r="O381" i="1"/>
  <c r="O381" i="1" a="1"/>
  <c r="M381" i="1"/>
  <c r="L381" i="1"/>
  <c r="N381" i="1" s="1"/>
  <c r="E381" i="1"/>
  <c r="D381" i="1"/>
  <c r="P380" i="1" a="1"/>
  <c r="P380" i="1" s="1"/>
  <c r="O380" i="1" a="1"/>
  <c r="O380" i="1" s="1"/>
  <c r="M380" i="1"/>
  <c r="L380" i="1"/>
  <c r="N380" i="1" s="1"/>
  <c r="E380" i="1"/>
  <c r="D380" i="1"/>
  <c r="P379" i="1"/>
  <c r="P379" i="1" a="1"/>
  <c r="O379" i="1"/>
  <c r="O379" i="1" a="1"/>
  <c r="N379" i="1"/>
  <c r="M379" i="1"/>
  <c r="L379" i="1"/>
  <c r="E379" i="1"/>
  <c r="D379" i="1"/>
  <c r="P378" i="1" a="1"/>
  <c r="P378" i="1" s="1"/>
  <c r="O378" i="1" a="1"/>
  <c r="O378" i="1" s="1"/>
  <c r="N378" i="1"/>
  <c r="M378" i="1"/>
  <c r="L378" i="1"/>
  <c r="E378" i="1"/>
  <c r="D378" i="1"/>
  <c r="P377" i="1"/>
  <c r="P377" i="1" a="1"/>
  <c r="O377" i="1" a="1"/>
  <c r="O377" i="1" s="1"/>
  <c r="M377" i="1"/>
  <c r="L377" i="1"/>
  <c r="N377" i="1" s="1"/>
  <c r="E377" i="1"/>
  <c r="D377" i="1"/>
  <c r="P376" i="1" a="1"/>
  <c r="P376" i="1" s="1"/>
  <c r="O376" i="1"/>
  <c r="O376" i="1" a="1"/>
  <c r="M376" i="1"/>
  <c r="L376" i="1"/>
  <c r="N376" i="1" s="1"/>
  <c r="E376" i="1"/>
  <c r="D376" i="1"/>
  <c r="P375" i="1" a="1"/>
  <c r="P375" i="1" s="1"/>
  <c r="O375" i="1" a="1"/>
  <c r="O375" i="1" s="1"/>
  <c r="N375" i="1"/>
  <c r="M375" i="1"/>
  <c r="L375" i="1"/>
  <c r="E375" i="1"/>
  <c r="D375" i="1"/>
  <c r="P374" i="1"/>
  <c r="P374" i="1" a="1"/>
  <c r="O374" i="1" a="1"/>
  <c r="O374" i="1" s="1"/>
  <c r="M374" i="1"/>
  <c r="L374" i="1"/>
  <c r="N374" i="1" s="1"/>
  <c r="E374" i="1"/>
  <c r="D374" i="1"/>
  <c r="P373" i="1" a="1"/>
  <c r="P373" i="1" s="1"/>
  <c r="O373" i="1"/>
  <c r="O373" i="1" a="1"/>
  <c r="M373" i="1"/>
  <c r="L373" i="1"/>
  <c r="N373" i="1" s="1"/>
  <c r="E373" i="1"/>
  <c r="D373" i="1"/>
  <c r="P372" i="1" a="1"/>
  <c r="P372" i="1" s="1"/>
  <c r="O372" i="1" a="1"/>
  <c r="O372" i="1" s="1"/>
  <c r="M372" i="1"/>
  <c r="L372" i="1"/>
  <c r="N372" i="1" s="1"/>
  <c r="E372" i="1"/>
  <c r="D372" i="1"/>
  <c r="P371" i="1"/>
  <c r="P371" i="1" a="1"/>
  <c r="O371" i="1"/>
  <c r="O371" i="1" a="1"/>
  <c r="N371" i="1"/>
  <c r="M371" i="1"/>
  <c r="L371" i="1"/>
  <c r="E371" i="1"/>
  <c r="D371" i="1"/>
  <c r="P370" i="1" a="1"/>
  <c r="P370" i="1" s="1"/>
  <c r="O370" i="1" a="1"/>
  <c r="O370" i="1" s="1"/>
  <c r="N370" i="1"/>
  <c r="M370" i="1"/>
  <c r="L370" i="1"/>
  <c r="E370" i="1"/>
  <c r="D370" i="1"/>
  <c r="P369" i="1"/>
  <c r="P369" i="1" a="1"/>
  <c r="O369" i="1" a="1"/>
  <c r="O369" i="1" s="1"/>
  <c r="M369" i="1"/>
  <c r="L369" i="1"/>
  <c r="N369" i="1" s="1"/>
  <c r="E369" i="1"/>
  <c r="D369" i="1"/>
  <c r="P368" i="1" a="1"/>
  <c r="P368" i="1" s="1"/>
  <c r="O368" i="1"/>
  <c r="O368" i="1" a="1"/>
  <c r="M368" i="1"/>
  <c r="L368" i="1"/>
  <c r="N368" i="1" s="1"/>
  <c r="E368" i="1"/>
  <c r="D368" i="1"/>
  <c r="P367" i="1" a="1"/>
  <c r="P367" i="1" s="1"/>
  <c r="O367" i="1" a="1"/>
  <c r="O367" i="1" s="1"/>
  <c r="N367" i="1"/>
  <c r="M367" i="1"/>
  <c r="L367" i="1"/>
  <c r="E367" i="1"/>
  <c r="D367" i="1"/>
  <c r="P366" i="1"/>
  <c r="P366" i="1" a="1"/>
  <c r="O366" i="1" a="1"/>
  <c r="O366" i="1" s="1"/>
  <c r="M366" i="1"/>
  <c r="L366" i="1"/>
  <c r="N366" i="1" s="1"/>
  <c r="E366" i="1"/>
  <c r="D366" i="1"/>
  <c r="P365" i="1" a="1"/>
  <c r="P365" i="1" s="1"/>
  <c r="O365" i="1"/>
  <c r="O365" i="1" a="1"/>
  <c r="M365" i="1"/>
  <c r="L365" i="1"/>
  <c r="N365" i="1" s="1"/>
  <c r="E365" i="1"/>
  <c r="D365" i="1"/>
  <c r="P364" i="1" a="1"/>
  <c r="P364" i="1" s="1"/>
  <c r="O364" i="1" a="1"/>
  <c r="O364" i="1" s="1"/>
  <c r="M364" i="1"/>
  <c r="L364" i="1"/>
  <c r="N364" i="1" s="1"/>
  <c r="E364" i="1"/>
  <c r="D364" i="1"/>
  <c r="P363" i="1"/>
  <c r="P363" i="1" a="1"/>
  <c r="O363" i="1"/>
  <c r="O363" i="1" a="1"/>
  <c r="N363" i="1"/>
  <c r="M363" i="1"/>
  <c r="L363" i="1"/>
  <c r="E363" i="1"/>
  <c r="D363" i="1"/>
  <c r="P362" i="1" a="1"/>
  <c r="P362" i="1" s="1"/>
  <c r="O362" i="1" a="1"/>
  <c r="O362" i="1" s="1"/>
  <c r="N362" i="1"/>
  <c r="M362" i="1"/>
  <c r="L362" i="1"/>
  <c r="E362" i="1"/>
  <c r="D362" i="1"/>
  <c r="P361" i="1"/>
  <c r="P361" i="1" a="1"/>
  <c r="O361" i="1" a="1"/>
  <c r="O361" i="1" s="1"/>
  <c r="M361" i="1"/>
  <c r="L361" i="1"/>
  <c r="N361" i="1" s="1"/>
  <c r="E361" i="1"/>
  <c r="D361" i="1"/>
  <c r="P360" i="1" a="1"/>
  <c r="P360" i="1" s="1"/>
  <c r="O360" i="1"/>
  <c r="O360" i="1" a="1"/>
  <c r="M360" i="1"/>
  <c r="L360" i="1"/>
  <c r="N360" i="1" s="1"/>
  <c r="E360" i="1"/>
  <c r="D360" i="1"/>
  <c r="P359" i="1" a="1"/>
  <c r="P359" i="1" s="1"/>
  <c r="O359" i="1" a="1"/>
  <c r="O359" i="1" s="1"/>
  <c r="N359" i="1"/>
  <c r="M359" i="1"/>
  <c r="L359" i="1"/>
  <c r="E359" i="1"/>
  <c r="D359" i="1"/>
  <c r="P358" i="1"/>
  <c r="P358" i="1" a="1"/>
  <c r="O358" i="1" a="1"/>
  <c r="O358" i="1" s="1"/>
  <c r="N358" i="1"/>
  <c r="M358" i="1"/>
  <c r="L358" i="1"/>
  <c r="E358" i="1"/>
  <c r="D358" i="1"/>
  <c r="P357" i="1" a="1"/>
  <c r="P357" i="1" s="1"/>
  <c r="O357" i="1"/>
  <c r="O357" i="1" a="1"/>
  <c r="M357" i="1"/>
  <c r="L357" i="1"/>
  <c r="N357" i="1" s="1"/>
  <c r="E357" i="1"/>
  <c r="D357" i="1"/>
  <c r="P356" i="1" a="1"/>
  <c r="P356" i="1" s="1"/>
  <c r="O356" i="1" a="1"/>
  <c r="O356" i="1" s="1"/>
  <c r="M356" i="1"/>
  <c r="L356" i="1"/>
  <c r="N356" i="1" s="1"/>
  <c r="E356" i="1"/>
  <c r="D356" i="1"/>
  <c r="P355" i="1"/>
  <c r="P355" i="1" a="1"/>
  <c r="O355" i="1"/>
  <c r="O355" i="1" a="1"/>
  <c r="N355" i="1"/>
  <c r="M355" i="1"/>
  <c r="L355" i="1"/>
  <c r="E355" i="1"/>
  <c r="D355" i="1"/>
  <c r="P354" i="1" a="1"/>
  <c r="P354" i="1" s="1"/>
  <c r="O354" i="1" a="1"/>
  <c r="O354" i="1" s="1"/>
  <c r="N354" i="1"/>
  <c r="M354" i="1"/>
  <c r="L354" i="1"/>
  <c r="E354" i="1"/>
  <c r="D354" i="1"/>
  <c r="P353" i="1"/>
  <c r="P353" i="1" a="1"/>
  <c r="O353" i="1" a="1"/>
  <c r="O353" i="1" s="1"/>
  <c r="M353" i="1"/>
  <c r="L353" i="1"/>
  <c r="N353" i="1" s="1"/>
  <c r="E353" i="1"/>
  <c r="D353" i="1"/>
  <c r="P352" i="1" a="1"/>
  <c r="P352" i="1" s="1"/>
  <c r="O352" i="1"/>
  <c r="O352" i="1" a="1"/>
  <c r="M352" i="1"/>
  <c r="L352" i="1"/>
  <c r="N352" i="1" s="1"/>
  <c r="E352" i="1"/>
  <c r="D352" i="1"/>
  <c r="P351" i="1" a="1"/>
  <c r="P351" i="1" s="1"/>
  <c r="O351" i="1" a="1"/>
  <c r="O351" i="1" s="1"/>
  <c r="N351" i="1"/>
  <c r="M351" i="1"/>
  <c r="L351" i="1"/>
  <c r="E351" i="1"/>
  <c r="D351" i="1"/>
  <c r="P350" i="1"/>
  <c r="P350" i="1" a="1"/>
  <c r="O350" i="1" a="1"/>
  <c r="O350" i="1" s="1"/>
  <c r="M350" i="1"/>
  <c r="L350" i="1"/>
  <c r="N350" i="1" s="1"/>
  <c r="E350" i="1"/>
  <c r="D350" i="1"/>
  <c r="P349" i="1" a="1"/>
  <c r="P349" i="1" s="1"/>
  <c r="O349" i="1"/>
  <c r="O349" i="1" a="1"/>
  <c r="M349" i="1"/>
  <c r="L349" i="1"/>
  <c r="N349" i="1" s="1"/>
  <c r="E349" i="1"/>
  <c r="D349" i="1"/>
  <c r="P348" i="1" a="1"/>
  <c r="P348" i="1" s="1"/>
  <c r="O348" i="1" a="1"/>
  <c r="O348" i="1" s="1"/>
  <c r="M348" i="1"/>
  <c r="L348" i="1"/>
  <c r="N348" i="1" s="1"/>
  <c r="E348" i="1"/>
  <c r="D348" i="1"/>
  <c r="P347" i="1"/>
  <c r="P347" i="1" a="1"/>
  <c r="O347" i="1"/>
  <c r="O347" i="1" a="1"/>
  <c r="N347" i="1"/>
  <c r="M347" i="1"/>
  <c r="L347" i="1"/>
  <c r="E347" i="1"/>
  <c r="D347" i="1"/>
  <c r="P346" i="1" a="1"/>
  <c r="P346" i="1" s="1"/>
  <c r="O346" i="1" a="1"/>
  <c r="O346" i="1" s="1"/>
  <c r="N346" i="1"/>
  <c r="M346" i="1"/>
  <c r="L346" i="1"/>
  <c r="E346" i="1"/>
  <c r="D346" i="1"/>
  <c r="P345" i="1"/>
  <c r="P345" i="1" a="1"/>
  <c r="O345" i="1" a="1"/>
  <c r="O345" i="1" s="1"/>
  <c r="M345" i="1"/>
  <c r="L345" i="1"/>
  <c r="N345" i="1" s="1"/>
  <c r="E345" i="1"/>
  <c r="D345" i="1"/>
  <c r="P344" i="1" a="1"/>
  <c r="P344" i="1" s="1"/>
  <c r="O344" i="1"/>
  <c r="O344" i="1" a="1"/>
  <c r="M344" i="1"/>
  <c r="L344" i="1"/>
  <c r="N344" i="1" s="1"/>
  <c r="E344" i="1"/>
  <c r="D344" i="1"/>
  <c r="P343" i="1" a="1"/>
  <c r="P343" i="1" s="1"/>
  <c r="O343" i="1" a="1"/>
  <c r="O343" i="1" s="1"/>
  <c r="N343" i="1"/>
  <c r="M343" i="1"/>
  <c r="L343" i="1"/>
  <c r="E343" i="1"/>
  <c r="D343" i="1"/>
  <c r="P342" i="1"/>
  <c r="P342" i="1" a="1"/>
  <c r="O342" i="1" a="1"/>
  <c r="O342" i="1" s="1"/>
  <c r="M342" i="1"/>
  <c r="L342" i="1"/>
  <c r="N342" i="1" s="1"/>
  <c r="E342" i="1"/>
  <c r="D342" i="1"/>
  <c r="P341" i="1" a="1"/>
  <c r="P341" i="1" s="1"/>
  <c r="O341" i="1"/>
  <c r="O341" i="1" a="1"/>
  <c r="M341" i="1"/>
  <c r="L341" i="1"/>
  <c r="N341" i="1" s="1"/>
  <c r="E341" i="1"/>
  <c r="D341" i="1"/>
  <c r="P340" i="1" a="1"/>
  <c r="P340" i="1" s="1"/>
  <c r="O340" i="1" a="1"/>
  <c r="O340" i="1" s="1"/>
  <c r="M340" i="1"/>
  <c r="L340" i="1"/>
  <c r="N340" i="1" s="1"/>
  <c r="E340" i="1"/>
  <c r="D340" i="1"/>
  <c r="P339" i="1"/>
  <c r="P339" i="1" a="1"/>
  <c r="O339" i="1"/>
  <c r="O339" i="1" a="1"/>
  <c r="N339" i="1"/>
  <c r="M339" i="1"/>
  <c r="L339" i="1"/>
  <c r="E339" i="1"/>
  <c r="D339" i="1"/>
  <c r="P338" i="1" a="1"/>
  <c r="P338" i="1" s="1"/>
  <c r="O338" i="1" a="1"/>
  <c r="O338" i="1" s="1"/>
  <c r="N338" i="1"/>
  <c r="M338" i="1"/>
  <c r="L338" i="1"/>
  <c r="E338" i="1"/>
  <c r="D338" i="1"/>
  <c r="P337" i="1"/>
  <c r="P337" i="1" a="1"/>
  <c r="O337" i="1" a="1"/>
  <c r="O337" i="1" s="1"/>
  <c r="M337" i="1"/>
  <c r="L337" i="1"/>
  <c r="N337" i="1" s="1"/>
  <c r="E337" i="1"/>
  <c r="D337" i="1"/>
  <c r="P336" i="1" a="1"/>
  <c r="P336" i="1" s="1"/>
  <c r="O336" i="1"/>
  <c r="O336" i="1" a="1"/>
  <c r="M336" i="1"/>
  <c r="L336" i="1"/>
  <c r="N336" i="1" s="1"/>
  <c r="E336" i="1"/>
  <c r="D336" i="1"/>
  <c r="P335" i="1" a="1"/>
  <c r="P335" i="1" s="1"/>
  <c r="O335" i="1" a="1"/>
  <c r="O335" i="1" s="1"/>
  <c r="N335" i="1"/>
  <c r="M335" i="1"/>
  <c r="L335" i="1"/>
  <c r="E335" i="1"/>
  <c r="D335" i="1"/>
  <c r="P334" i="1"/>
  <c r="P334" i="1" a="1"/>
  <c r="O334" i="1" a="1"/>
  <c r="O334" i="1" s="1"/>
  <c r="N334" i="1"/>
  <c r="M334" i="1"/>
  <c r="L334" i="1"/>
  <c r="E334" i="1"/>
  <c r="D334" i="1"/>
  <c r="P333" i="1" a="1"/>
  <c r="P333" i="1" s="1"/>
  <c r="O333" i="1"/>
  <c r="O333" i="1" a="1"/>
  <c r="M333" i="1"/>
  <c r="L333" i="1"/>
  <c r="N333" i="1" s="1"/>
  <c r="E333" i="1"/>
  <c r="D333" i="1"/>
  <c r="P332" i="1" a="1"/>
  <c r="P332" i="1" s="1"/>
  <c r="O332" i="1" a="1"/>
  <c r="O332" i="1" s="1"/>
  <c r="M332" i="1"/>
  <c r="L332" i="1"/>
  <c r="N332" i="1" s="1"/>
  <c r="E332" i="1"/>
  <c r="D332" i="1"/>
  <c r="P331" i="1"/>
  <c r="P331" i="1" a="1"/>
  <c r="O331" i="1"/>
  <c r="O331" i="1" a="1"/>
  <c r="N331" i="1"/>
  <c r="M331" i="1"/>
  <c r="L331" i="1"/>
  <c r="E331" i="1"/>
  <c r="D331" i="1"/>
  <c r="P330" i="1" a="1"/>
  <c r="P330" i="1" s="1"/>
  <c r="O330" i="1" a="1"/>
  <c r="O330" i="1" s="1"/>
  <c r="N330" i="1"/>
  <c r="M330" i="1"/>
  <c r="L330" i="1"/>
  <c r="E330" i="1"/>
  <c r="D330" i="1"/>
  <c r="P329" i="1"/>
  <c r="P329" i="1" a="1"/>
  <c r="O329" i="1" a="1"/>
  <c r="O329" i="1" s="1"/>
  <c r="M329" i="1"/>
  <c r="L329" i="1"/>
  <c r="N329" i="1" s="1"/>
  <c r="E329" i="1"/>
  <c r="D329" i="1"/>
  <c r="P328" i="1" a="1"/>
  <c r="P328" i="1" s="1"/>
  <c r="O328" i="1"/>
  <c r="O328" i="1" a="1"/>
  <c r="M328" i="1"/>
  <c r="L328" i="1"/>
  <c r="N328" i="1" s="1"/>
  <c r="E328" i="1"/>
  <c r="D328" i="1"/>
  <c r="P327" i="1" a="1"/>
  <c r="P327" i="1" s="1"/>
  <c r="O327" i="1" a="1"/>
  <c r="O327" i="1" s="1"/>
  <c r="N327" i="1"/>
  <c r="M327" i="1"/>
  <c r="L327" i="1"/>
  <c r="E327" i="1"/>
  <c r="D327" i="1"/>
  <c r="P326" i="1"/>
  <c r="P326" i="1" a="1"/>
  <c r="O326" i="1" a="1"/>
  <c r="O326" i="1" s="1"/>
  <c r="N326" i="1"/>
  <c r="M326" i="1"/>
  <c r="L326" i="1"/>
  <c r="E326" i="1"/>
  <c r="D326" i="1"/>
  <c r="P325" i="1" a="1"/>
  <c r="P325" i="1" s="1"/>
  <c r="O325" i="1"/>
  <c r="O325" i="1" a="1"/>
  <c r="M325" i="1"/>
  <c r="L325" i="1"/>
  <c r="N325" i="1" s="1"/>
  <c r="E325" i="1"/>
  <c r="D325" i="1"/>
  <c r="P324" i="1" a="1"/>
  <c r="P324" i="1" s="1"/>
  <c r="O324" i="1" a="1"/>
  <c r="O324" i="1" s="1"/>
  <c r="M324" i="1"/>
  <c r="L324" i="1"/>
  <c r="N324" i="1" s="1"/>
  <c r="E324" i="1"/>
  <c r="D324" i="1"/>
  <c r="P323" i="1"/>
  <c r="P323" i="1" a="1"/>
  <c r="O323" i="1"/>
  <c r="O323" i="1" a="1"/>
  <c r="N323" i="1"/>
  <c r="M323" i="1"/>
  <c r="L323" i="1"/>
  <c r="E323" i="1"/>
  <c r="D323" i="1"/>
  <c r="P322" i="1" a="1"/>
  <c r="P322" i="1" s="1"/>
  <c r="O322" i="1" a="1"/>
  <c r="O322" i="1" s="1"/>
  <c r="N322" i="1"/>
  <c r="M322" i="1"/>
  <c r="L322" i="1"/>
  <c r="E322" i="1"/>
  <c r="D322" i="1"/>
  <c r="P321" i="1"/>
  <c r="P321" i="1" a="1"/>
  <c r="O321" i="1" a="1"/>
  <c r="O321" i="1" s="1"/>
  <c r="M321" i="1"/>
  <c r="L321" i="1"/>
  <c r="N321" i="1" s="1"/>
  <c r="E321" i="1"/>
  <c r="D321" i="1"/>
  <c r="P320" i="1" a="1"/>
  <c r="P320" i="1" s="1"/>
  <c r="O320" i="1"/>
  <c r="O320" i="1" a="1"/>
  <c r="M320" i="1"/>
  <c r="L320" i="1"/>
  <c r="N320" i="1" s="1"/>
  <c r="E320" i="1"/>
  <c r="D320" i="1"/>
  <c r="P319" i="1" a="1"/>
  <c r="P319" i="1" s="1"/>
  <c r="O319" i="1" a="1"/>
  <c r="O319" i="1" s="1"/>
  <c r="N319" i="1"/>
  <c r="M319" i="1"/>
  <c r="L319" i="1"/>
  <c r="E319" i="1"/>
  <c r="D319" i="1"/>
  <c r="P318" i="1"/>
  <c r="P318" i="1" a="1"/>
  <c r="O318" i="1" a="1"/>
  <c r="O318" i="1" s="1"/>
  <c r="N318" i="1"/>
  <c r="M318" i="1"/>
  <c r="L318" i="1"/>
  <c r="E318" i="1"/>
  <c r="D318" i="1"/>
  <c r="P317" i="1" a="1"/>
  <c r="P317" i="1" s="1"/>
  <c r="O317" i="1"/>
  <c r="O317" i="1" a="1"/>
  <c r="M317" i="1"/>
  <c r="L317" i="1"/>
  <c r="N317" i="1" s="1"/>
  <c r="E317" i="1"/>
  <c r="D317" i="1"/>
  <c r="P316" i="1" a="1"/>
  <c r="P316" i="1" s="1"/>
  <c r="O316" i="1" a="1"/>
  <c r="O316" i="1" s="1"/>
  <c r="M316" i="1"/>
  <c r="L316" i="1"/>
  <c r="N316" i="1" s="1"/>
  <c r="E316" i="1"/>
  <c r="D316" i="1"/>
  <c r="P315" i="1"/>
  <c r="P315" i="1" a="1"/>
  <c r="O315" i="1"/>
  <c r="O315" i="1" a="1"/>
  <c r="N315" i="1"/>
  <c r="M315" i="1"/>
  <c r="L315" i="1"/>
  <c r="E315" i="1"/>
  <c r="D315" i="1"/>
  <c r="P314" i="1" a="1"/>
  <c r="P314" i="1" s="1"/>
  <c r="O314" i="1" a="1"/>
  <c r="O314" i="1" s="1"/>
  <c r="N314" i="1"/>
  <c r="M314" i="1"/>
  <c r="L314" i="1"/>
  <c r="E314" i="1"/>
  <c r="D314" i="1"/>
  <c r="P313" i="1"/>
  <c r="P313" i="1" a="1"/>
  <c r="O313" i="1" a="1"/>
  <c r="O313" i="1" s="1"/>
  <c r="M313" i="1"/>
  <c r="L313" i="1"/>
  <c r="N313" i="1" s="1"/>
  <c r="E313" i="1"/>
  <c r="D313" i="1"/>
  <c r="P312" i="1" a="1"/>
  <c r="P312" i="1" s="1"/>
  <c r="O312" i="1"/>
  <c r="O312" i="1" a="1"/>
  <c r="M312" i="1"/>
  <c r="L312" i="1"/>
  <c r="N312" i="1" s="1"/>
  <c r="E312" i="1"/>
  <c r="D312" i="1"/>
  <c r="P311" i="1" a="1"/>
  <c r="P311" i="1" s="1"/>
  <c r="O311" i="1" a="1"/>
  <c r="O311" i="1" s="1"/>
  <c r="N311" i="1"/>
  <c r="M311" i="1"/>
  <c r="L311" i="1"/>
  <c r="E311" i="1"/>
  <c r="D311" i="1"/>
  <c r="P310" i="1"/>
  <c r="P310" i="1" a="1"/>
  <c r="O310" i="1" a="1"/>
  <c r="O310" i="1" s="1"/>
  <c r="N310" i="1"/>
  <c r="M310" i="1"/>
  <c r="L310" i="1"/>
  <c r="E310" i="1"/>
  <c r="D310" i="1"/>
  <c r="P309" i="1" a="1"/>
  <c r="P309" i="1" s="1"/>
  <c r="O309" i="1"/>
  <c r="O309" i="1" a="1"/>
  <c r="M309" i="1"/>
  <c r="L309" i="1"/>
  <c r="N309" i="1" s="1"/>
  <c r="E309" i="1"/>
  <c r="D309" i="1"/>
  <c r="P308" i="1" a="1"/>
  <c r="P308" i="1" s="1"/>
  <c r="O308" i="1" a="1"/>
  <c r="O308" i="1" s="1"/>
  <c r="M308" i="1"/>
  <c r="L308" i="1"/>
  <c r="N308" i="1" s="1"/>
  <c r="E308" i="1"/>
  <c r="D308" i="1"/>
  <c r="P307" i="1"/>
  <c r="P307" i="1" a="1"/>
  <c r="O307" i="1"/>
  <c r="O307" i="1" a="1"/>
  <c r="N307" i="1"/>
  <c r="M307" i="1"/>
  <c r="L307" i="1"/>
  <c r="E307" i="1"/>
  <c r="D307" i="1"/>
  <c r="P306" i="1" a="1"/>
  <c r="P306" i="1" s="1"/>
  <c r="O306" i="1" a="1"/>
  <c r="O306" i="1" s="1"/>
  <c r="N306" i="1"/>
  <c r="M306" i="1"/>
  <c r="L306" i="1"/>
  <c r="E306" i="1"/>
  <c r="D306" i="1"/>
  <c r="P305" i="1" a="1"/>
  <c r="P305" i="1" s="1"/>
  <c r="O305" i="1" a="1"/>
  <c r="O305" i="1" s="1"/>
  <c r="M305" i="1"/>
  <c r="L305" i="1"/>
  <c r="N305" i="1" s="1"/>
  <c r="E305" i="1"/>
  <c r="D305" i="1"/>
  <c r="P304" i="1" a="1"/>
  <c r="P304" i="1" s="1"/>
  <c r="O304" i="1"/>
  <c r="O304" i="1" a="1"/>
  <c r="M304" i="1"/>
  <c r="L304" i="1"/>
  <c r="N304" i="1" s="1"/>
  <c r="E304" i="1"/>
  <c r="D304" i="1"/>
  <c r="P303" i="1" a="1"/>
  <c r="P303" i="1" s="1"/>
  <c r="O303" i="1" a="1"/>
  <c r="O303" i="1" s="1"/>
  <c r="N303" i="1"/>
  <c r="M303" i="1"/>
  <c r="L303" i="1"/>
  <c r="E303" i="1"/>
  <c r="D303" i="1"/>
  <c r="P302" i="1"/>
  <c r="P302" i="1" a="1"/>
  <c r="O302" i="1" a="1"/>
  <c r="O302" i="1" s="1"/>
  <c r="M302" i="1"/>
  <c r="L302" i="1"/>
  <c r="N302" i="1" s="1"/>
  <c r="E302" i="1"/>
  <c r="D302" i="1"/>
  <c r="P301" i="1" a="1"/>
  <c r="P301" i="1" s="1"/>
  <c r="O301" i="1"/>
  <c r="O301" i="1" a="1"/>
  <c r="M301" i="1"/>
  <c r="L301" i="1"/>
  <c r="N301" i="1" s="1"/>
  <c r="E301" i="1"/>
  <c r="D301" i="1"/>
  <c r="P300" i="1" a="1"/>
  <c r="P300" i="1" s="1"/>
  <c r="O300" i="1" a="1"/>
  <c r="O300" i="1" s="1"/>
  <c r="M300" i="1"/>
  <c r="L300" i="1"/>
  <c r="N300" i="1" s="1"/>
  <c r="E300" i="1"/>
  <c r="D300" i="1"/>
  <c r="P299" i="1"/>
  <c r="P299" i="1" a="1"/>
  <c r="O299" i="1" a="1"/>
  <c r="O299" i="1" s="1"/>
  <c r="M299" i="1"/>
  <c r="L299" i="1"/>
  <c r="N299" i="1" s="1"/>
  <c r="E299" i="1"/>
  <c r="D299" i="1"/>
  <c r="P298" i="1" a="1"/>
  <c r="P298" i="1" s="1"/>
  <c r="O298" i="1" a="1"/>
  <c r="O298" i="1" s="1"/>
  <c r="N298" i="1"/>
  <c r="M298" i="1"/>
  <c r="L298" i="1"/>
  <c r="E298" i="1"/>
  <c r="D298" i="1"/>
  <c r="P297" i="1" a="1"/>
  <c r="P297" i="1" s="1"/>
  <c r="O297" i="1" a="1"/>
  <c r="O297" i="1" s="1"/>
  <c r="M297" i="1"/>
  <c r="L297" i="1"/>
  <c r="N297" i="1" s="1"/>
  <c r="E297" i="1"/>
  <c r="D297" i="1"/>
  <c r="P296" i="1" a="1"/>
  <c r="P296" i="1" s="1"/>
  <c r="O296" i="1"/>
  <c r="O296" i="1" a="1"/>
  <c r="M296" i="1"/>
  <c r="L296" i="1"/>
  <c r="N296" i="1" s="1"/>
  <c r="E296" i="1"/>
  <c r="D296" i="1"/>
  <c r="P295" i="1" a="1"/>
  <c r="P295" i="1" s="1"/>
  <c r="O295" i="1" a="1"/>
  <c r="O295" i="1" s="1"/>
  <c r="N295" i="1"/>
  <c r="M295" i="1"/>
  <c r="L295" i="1"/>
  <c r="E295" i="1"/>
  <c r="D295" i="1"/>
  <c r="P294" i="1"/>
  <c r="P294" i="1" a="1"/>
  <c r="O294" i="1" a="1"/>
  <c r="O294" i="1" s="1"/>
  <c r="M294" i="1"/>
  <c r="L294" i="1"/>
  <c r="N294" i="1" s="1"/>
  <c r="E294" i="1"/>
  <c r="D294" i="1"/>
  <c r="P293" i="1"/>
  <c r="P293" i="1" a="1"/>
  <c r="O293" i="1"/>
  <c r="O293" i="1" a="1"/>
  <c r="M293" i="1"/>
  <c r="L293" i="1"/>
  <c r="N293" i="1" s="1"/>
  <c r="E293" i="1"/>
  <c r="D293" i="1"/>
  <c r="P292" i="1" a="1"/>
  <c r="P292" i="1" s="1"/>
  <c r="O292" i="1" a="1"/>
  <c r="O292" i="1" s="1"/>
  <c r="M292" i="1"/>
  <c r="L292" i="1"/>
  <c r="N292" i="1" s="1"/>
  <c r="E292" i="1"/>
  <c r="D292" i="1"/>
  <c r="P291" i="1"/>
  <c r="P291" i="1" a="1"/>
  <c r="O291" i="1"/>
  <c r="O291" i="1" a="1"/>
  <c r="M291" i="1"/>
  <c r="L291" i="1"/>
  <c r="N291" i="1" s="1"/>
  <c r="E291" i="1"/>
  <c r="D291" i="1"/>
  <c r="P290" i="1" a="1"/>
  <c r="P290" i="1" s="1"/>
  <c r="O290" i="1" a="1"/>
  <c r="O290" i="1" s="1"/>
  <c r="N290" i="1"/>
  <c r="M290" i="1"/>
  <c r="L290" i="1"/>
  <c r="E290" i="1"/>
  <c r="D290" i="1"/>
  <c r="P289" i="1"/>
  <c r="P289" i="1" a="1"/>
  <c r="O289" i="1" a="1"/>
  <c r="O289" i="1" s="1"/>
  <c r="M289" i="1"/>
  <c r="L289" i="1"/>
  <c r="N289" i="1" s="1"/>
  <c r="E289" i="1"/>
  <c r="D289" i="1"/>
  <c r="P288" i="1" a="1"/>
  <c r="P288" i="1" s="1"/>
  <c r="O288" i="1"/>
  <c r="O288" i="1" a="1"/>
  <c r="M288" i="1"/>
  <c r="L288" i="1"/>
  <c r="N288" i="1" s="1"/>
  <c r="E288" i="1"/>
  <c r="D288" i="1"/>
  <c r="P287" i="1" a="1"/>
  <c r="P287" i="1" s="1"/>
  <c r="O287" i="1" a="1"/>
  <c r="O287" i="1" s="1"/>
  <c r="N287" i="1"/>
  <c r="M287" i="1"/>
  <c r="L287" i="1"/>
  <c r="E287" i="1"/>
  <c r="D287" i="1"/>
  <c r="P286" i="1"/>
  <c r="P286" i="1" a="1"/>
  <c r="O286" i="1" a="1"/>
  <c r="O286" i="1" s="1"/>
  <c r="M286" i="1"/>
  <c r="L286" i="1"/>
  <c r="N286" i="1" s="1"/>
  <c r="E286" i="1"/>
  <c r="D286" i="1"/>
  <c r="P285" i="1" a="1"/>
  <c r="P285" i="1" s="1"/>
  <c r="O285" i="1"/>
  <c r="O285" i="1" a="1"/>
  <c r="M285" i="1"/>
  <c r="L285" i="1"/>
  <c r="N285" i="1" s="1"/>
  <c r="E285" i="1"/>
  <c r="D285" i="1"/>
  <c r="P284" i="1" a="1"/>
  <c r="P284" i="1" s="1"/>
  <c r="O284" i="1" a="1"/>
  <c r="O284" i="1" s="1"/>
  <c r="M284" i="1"/>
  <c r="L284" i="1"/>
  <c r="N284" i="1" s="1"/>
  <c r="E284" i="1"/>
  <c r="D284" i="1"/>
  <c r="P283" i="1"/>
  <c r="P283" i="1" a="1"/>
  <c r="O283" i="1"/>
  <c r="O283" i="1" a="1"/>
  <c r="M283" i="1"/>
  <c r="L283" i="1"/>
  <c r="N283" i="1" s="1"/>
  <c r="E283" i="1"/>
  <c r="D283" i="1"/>
  <c r="P282" i="1" a="1"/>
  <c r="P282" i="1" s="1"/>
  <c r="O282" i="1" a="1"/>
  <c r="O282" i="1" s="1"/>
  <c r="N282" i="1"/>
  <c r="M282" i="1"/>
  <c r="L282" i="1"/>
  <c r="E282" i="1"/>
  <c r="D282" i="1"/>
  <c r="P281" i="1" a="1"/>
  <c r="P281" i="1" s="1"/>
  <c r="O281" i="1" a="1"/>
  <c r="O281" i="1" s="1"/>
  <c r="M281" i="1"/>
  <c r="L281" i="1"/>
  <c r="N281" i="1" s="1"/>
  <c r="E281" i="1"/>
  <c r="D281" i="1"/>
  <c r="P280" i="1" a="1"/>
  <c r="P280" i="1" s="1"/>
  <c r="O280" i="1"/>
  <c r="O280" i="1" a="1"/>
  <c r="M280" i="1"/>
  <c r="L280" i="1"/>
  <c r="N280" i="1" s="1"/>
  <c r="E280" i="1"/>
  <c r="D280" i="1"/>
  <c r="P279" i="1" a="1"/>
  <c r="P279" i="1" s="1"/>
  <c r="O279" i="1" a="1"/>
  <c r="O279" i="1" s="1"/>
  <c r="N279" i="1"/>
  <c r="M279" i="1"/>
  <c r="L279" i="1"/>
  <c r="E279" i="1"/>
  <c r="D279" i="1"/>
  <c r="P278" i="1"/>
  <c r="P278" i="1" a="1"/>
  <c r="O278" i="1" a="1"/>
  <c r="O278" i="1" s="1"/>
  <c r="M278" i="1"/>
  <c r="L278" i="1"/>
  <c r="N278" i="1" s="1"/>
  <c r="E278" i="1"/>
  <c r="D278" i="1"/>
  <c r="P277" i="1"/>
  <c r="P277" i="1" a="1"/>
  <c r="O277" i="1"/>
  <c r="O277" i="1" a="1"/>
  <c r="M277" i="1"/>
  <c r="L277" i="1"/>
  <c r="N277" i="1" s="1"/>
  <c r="E277" i="1"/>
  <c r="D277" i="1"/>
  <c r="P276" i="1" a="1"/>
  <c r="P276" i="1" s="1"/>
  <c r="O276" i="1" a="1"/>
  <c r="O276" i="1" s="1"/>
  <c r="M276" i="1"/>
  <c r="L276" i="1"/>
  <c r="N276" i="1" s="1"/>
  <c r="E276" i="1"/>
  <c r="D276" i="1"/>
  <c r="P275" i="1"/>
  <c r="P275" i="1" a="1"/>
  <c r="O275" i="1"/>
  <c r="O275" i="1" a="1"/>
  <c r="M275" i="1"/>
  <c r="L275" i="1"/>
  <c r="N275" i="1" s="1"/>
  <c r="E275" i="1"/>
  <c r="D275" i="1"/>
  <c r="P274" i="1" a="1"/>
  <c r="P274" i="1" s="1"/>
  <c r="O274" i="1" a="1"/>
  <c r="O274" i="1" s="1"/>
  <c r="N274" i="1"/>
  <c r="M274" i="1"/>
  <c r="L274" i="1"/>
  <c r="E274" i="1"/>
  <c r="D274" i="1"/>
  <c r="P273" i="1" a="1"/>
  <c r="P273" i="1" s="1"/>
  <c r="O273" i="1" a="1"/>
  <c r="O273" i="1" s="1"/>
  <c r="M273" i="1"/>
  <c r="L273" i="1"/>
  <c r="N273" i="1" s="1"/>
  <c r="E273" i="1"/>
  <c r="D273" i="1"/>
  <c r="P272" i="1" a="1"/>
  <c r="P272" i="1" s="1"/>
  <c r="O272" i="1"/>
  <c r="O272" i="1" a="1"/>
  <c r="M272" i="1"/>
  <c r="L272" i="1"/>
  <c r="N272" i="1" s="1"/>
  <c r="E272" i="1"/>
  <c r="D272" i="1"/>
  <c r="P271" i="1" a="1"/>
  <c r="P271" i="1" s="1"/>
  <c r="O271" i="1" a="1"/>
  <c r="O271" i="1" s="1"/>
  <c r="N271" i="1"/>
  <c r="M271" i="1"/>
  <c r="L271" i="1"/>
  <c r="E271" i="1"/>
  <c r="D271" i="1"/>
  <c r="P270" i="1"/>
  <c r="P270" i="1" a="1"/>
  <c r="O270" i="1" a="1"/>
  <c r="O270" i="1" s="1"/>
  <c r="M270" i="1"/>
  <c r="L270" i="1"/>
  <c r="N270" i="1" s="1"/>
  <c r="E270" i="1"/>
  <c r="D270" i="1"/>
  <c r="P269" i="1" a="1"/>
  <c r="P269" i="1" s="1"/>
  <c r="O269" i="1"/>
  <c r="O269" i="1" a="1"/>
  <c r="M269" i="1"/>
  <c r="L269" i="1"/>
  <c r="N269" i="1" s="1"/>
  <c r="E269" i="1"/>
  <c r="D269" i="1"/>
  <c r="P268" i="1" a="1"/>
  <c r="P268" i="1" s="1"/>
  <c r="O268" i="1" a="1"/>
  <c r="O268" i="1" s="1"/>
  <c r="M268" i="1"/>
  <c r="L268" i="1"/>
  <c r="N268" i="1" s="1"/>
  <c r="E268" i="1"/>
  <c r="D268" i="1"/>
  <c r="P267" i="1"/>
  <c r="P267" i="1" a="1"/>
  <c r="O267" i="1"/>
  <c r="O267" i="1" a="1"/>
  <c r="M267" i="1"/>
  <c r="L267" i="1"/>
  <c r="N267" i="1" s="1"/>
  <c r="E267" i="1"/>
  <c r="D267" i="1"/>
  <c r="P266" i="1" a="1"/>
  <c r="P266" i="1" s="1"/>
  <c r="O266" i="1" a="1"/>
  <c r="O266" i="1" s="1"/>
  <c r="N266" i="1"/>
  <c r="M266" i="1"/>
  <c r="L266" i="1"/>
  <c r="E266" i="1"/>
  <c r="D266" i="1"/>
  <c r="P265" i="1"/>
  <c r="P265" i="1" a="1"/>
  <c r="O265" i="1" a="1"/>
  <c r="O265" i="1" s="1"/>
  <c r="M265" i="1"/>
  <c r="L265" i="1"/>
  <c r="N265" i="1" s="1"/>
  <c r="E265" i="1"/>
  <c r="D265" i="1"/>
  <c r="P264" i="1" a="1"/>
  <c r="P264" i="1" s="1"/>
  <c r="O264" i="1"/>
  <c r="O264" i="1" a="1"/>
  <c r="M264" i="1"/>
  <c r="L264" i="1"/>
  <c r="N264" i="1" s="1"/>
  <c r="E264" i="1"/>
  <c r="D264" i="1"/>
  <c r="P263" i="1" a="1"/>
  <c r="P263" i="1" s="1"/>
  <c r="O263" i="1" a="1"/>
  <c r="O263" i="1" s="1"/>
  <c r="N263" i="1"/>
  <c r="M263" i="1"/>
  <c r="L263" i="1"/>
  <c r="E263" i="1"/>
  <c r="D263" i="1"/>
  <c r="P262" i="1"/>
  <c r="P262" i="1" a="1"/>
  <c r="O262" i="1" a="1"/>
  <c r="O262" i="1" s="1"/>
  <c r="M262" i="1"/>
  <c r="L262" i="1"/>
  <c r="N262" i="1" s="1"/>
  <c r="E262" i="1"/>
  <c r="D262" i="1"/>
  <c r="P261" i="1" a="1"/>
  <c r="P261" i="1" s="1"/>
  <c r="O261" i="1"/>
  <c r="O261" i="1" a="1"/>
  <c r="M261" i="1"/>
  <c r="L261" i="1"/>
  <c r="N261" i="1" s="1"/>
  <c r="E261" i="1"/>
  <c r="D261" i="1"/>
  <c r="P260" i="1" a="1"/>
  <c r="P260" i="1" s="1"/>
  <c r="O260" i="1" a="1"/>
  <c r="O260" i="1" s="1"/>
  <c r="M260" i="1"/>
  <c r="L260" i="1"/>
  <c r="N260" i="1" s="1"/>
  <c r="E260" i="1"/>
  <c r="D260" i="1"/>
  <c r="P259" i="1"/>
  <c r="P259" i="1" a="1"/>
  <c r="O259" i="1" a="1"/>
  <c r="O259" i="1" s="1"/>
  <c r="M259" i="1"/>
  <c r="L259" i="1"/>
  <c r="N259" i="1" s="1"/>
  <c r="E259" i="1"/>
  <c r="D259" i="1"/>
  <c r="P258" i="1" a="1"/>
  <c r="P258" i="1" s="1"/>
  <c r="O258" i="1" a="1"/>
  <c r="O258" i="1" s="1"/>
  <c r="N258" i="1"/>
  <c r="M258" i="1"/>
  <c r="L258" i="1"/>
  <c r="E258" i="1"/>
  <c r="D258" i="1"/>
  <c r="P257" i="1" a="1"/>
  <c r="P257" i="1" s="1"/>
  <c r="O257" i="1" a="1"/>
  <c r="O257" i="1" s="1"/>
  <c r="M257" i="1"/>
  <c r="L257" i="1"/>
  <c r="N257" i="1" s="1"/>
  <c r="E257" i="1"/>
  <c r="D257" i="1"/>
  <c r="P256" i="1" a="1"/>
  <c r="P256" i="1" s="1"/>
  <c r="O256" i="1"/>
  <c r="O256" i="1" a="1"/>
  <c r="N256" i="1"/>
  <c r="M256" i="1"/>
  <c r="L256" i="1"/>
  <c r="E256" i="1"/>
  <c r="D256" i="1"/>
  <c r="P255" i="1" a="1"/>
  <c r="P255" i="1" s="1"/>
  <c r="O255" i="1" a="1"/>
  <c r="O255" i="1" s="1"/>
  <c r="N255" i="1"/>
  <c r="M255" i="1"/>
  <c r="L255" i="1"/>
  <c r="E255" i="1"/>
  <c r="D255" i="1"/>
  <c r="P254" i="1"/>
  <c r="P254" i="1" a="1"/>
  <c r="O254" i="1" a="1"/>
  <c r="O254" i="1" s="1"/>
  <c r="M254" i="1"/>
  <c r="L254" i="1"/>
  <c r="N254" i="1" s="1"/>
  <c r="E254" i="1"/>
  <c r="D254" i="1"/>
  <c r="P253" i="1" a="1"/>
  <c r="P253" i="1" s="1"/>
  <c r="O253" i="1"/>
  <c r="O253" i="1" a="1"/>
  <c r="M253" i="1"/>
  <c r="L253" i="1"/>
  <c r="N253" i="1" s="1"/>
  <c r="E253" i="1"/>
  <c r="D253" i="1"/>
  <c r="P252" i="1" a="1"/>
  <c r="P252" i="1" s="1"/>
  <c r="O252" i="1"/>
  <c r="O252" i="1" a="1"/>
  <c r="M252" i="1"/>
  <c r="L252" i="1"/>
  <c r="N252" i="1" s="1"/>
  <c r="E252" i="1"/>
  <c r="D252" i="1"/>
  <c r="P251" i="1"/>
  <c r="P251" i="1" a="1"/>
  <c r="O251" i="1" a="1"/>
  <c r="O251" i="1" s="1"/>
  <c r="M251" i="1"/>
  <c r="L251" i="1"/>
  <c r="N251" i="1" s="1"/>
  <c r="E251" i="1"/>
  <c r="D251" i="1"/>
  <c r="P250" i="1"/>
  <c r="P250" i="1" a="1"/>
  <c r="O250" i="1" a="1"/>
  <c r="O250" i="1" s="1"/>
  <c r="N250" i="1"/>
  <c r="M250" i="1"/>
  <c r="L250" i="1"/>
  <c r="E250" i="1"/>
  <c r="D250" i="1"/>
  <c r="P249" i="1" a="1"/>
  <c r="P249" i="1" s="1"/>
  <c r="O249" i="1" a="1"/>
  <c r="O249" i="1" s="1"/>
  <c r="M249" i="1"/>
  <c r="L249" i="1"/>
  <c r="N249" i="1" s="1"/>
  <c r="E249" i="1"/>
  <c r="D249" i="1"/>
  <c r="P248" i="1"/>
  <c r="P248" i="1" a="1"/>
  <c r="O248" i="1"/>
  <c r="O248" i="1" a="1"/>
  <c r="M248" i="1"/>
  <c r="L248" i="1"/>
  <c r="N248" i="1" s="1"/>
  <c r="E248" i="1"/>
  <c r="D248" i="1"/>
  <c r="P247" i="1" a="1"/>
  <c r="P247" i="1" s="1"/>
  <c r="O247" i="1" a="1"/>
  <c r="O247" i="1" s="1"/>
  <c r="N247" i="1"/>
  <c r="M247" i="1"/>
  <c r="L247" i="1"/>
  <c r="E247" i="1"/>
  <c r="D247" i="1"/>
  <c r="P246" i="1"/>
  <c r="P246" i="1" a="1"/>
  <c r="O246" i="1" a="1"/>
  <c r="O246" i="1" s="1"/>
  <c r="M246" i="1"/>
  <c r="L246" i="1"/>
  <c r="N246" i="1" s="1"/>
  <c r="E246" i="1"/>
  <c r="D246" i="1"/>
  <c r="P245" i="1" a="1"/>
  <c r="P245" i="1" s="1"/>
  <c r="O245" i="1"/>
  <c r="O245" i="1" a="1"/>
  <c r="N245" i="1"/>
  <c r="M245" i="1"/>
  <c r="L245" i="1"/>
  <c r="E245" i="1"/>
  <c r="D245" i="1"/>
  <c r="P244" i="1" a="1"/>
  <c r="P244" i="1" s="1"/>
  <c r="O244" i="1" a="1"/>
  <c r="O244" i="1" s="1"/>
  <c r="M244" i="1"/>
  <c r="L244" i="1"/>
  <c r="N244" i="1" s="1"/>
  <c r="E244" i="1"/>
  <c r="D244" i="1"/>
  <c r="P243" i="1"/>
  <c r="P243" i="1" a="1"/>
  <c r="O243" i="1" a="1"/>
  <c r="O243" i="1" s="1"/>
  <c r="M243" i="1"/>
  <c r="L243" i="1"/>
  <c r="N243" i="1" s="1"/>
  <c r="E243" i="1"/>
  <c r="D243" i="1"/>
  <c r="P242" i="1" a="1"/>
  <c r="P242" i="1" s="1"/>
  <c r="O242" i="1" a="1"/>
  <c r="O242" i="1" s="1"/>
  <c r="N242" i="1"/>
  <c r="M242" i="1"/>
  <c r="L242" i="1"/>
  <c r="E242" i="1"/>
  <c r="D242" i="1"/>
  <c r="P241" i="1" a="1"/>
  <c r="P241" i="1" s="1"/>
  <c r="O241" i="1" a="1"/>
  <c r="O241" i="1" s="1"/>
  <c r="M241" i="1"/>
  <c r="L241" i="1"/>
  <c r="N241" i="1" s="1"/>
  <c r="E241" i="1"/>
  <c r="D241" i="1"/>
  <c r="P240" i="1" a="1"/>
  <c r="P240" i="1" s="1"/>
  <c r="O240" i="1"/>
  <c r="O240" i="1" a="1"/>
  <c r="M240" i="1"/>
  <c r="L240" i="1"/>
  <c r="N240" i="1" s="1"/>
  <c r="E240" i="1"/>
  <c r="D240" i="1"/>
  <c r="P239" i="1" a="1"/>
  <c r="P239" i="1" s="1"/>
  <c r="O239" i="1" a="1"/>
  <c r="O239" i="1" s="1"/>
  <c r="N239" i="1"/>
  <c r="M239" i="1"/>
  <c r="L239" i="1"/>
  <c r="E239" i="1"/>
  <c r="D239" i="1"/>
  <c r="P238" i="1"/>
  <c r="P238" i="1" a="1"/>
  <c r="O238" i="1" a="1"/>
  <c r="O238" i="1" s="1"/>
  <c r="M238" i="1"/>
  <c r="L238" i="1"/>
  <c r="N238" i="1" s="1"/>
  <c r="E238" i="1"/>
  <c r="D238" i="1"/>
  <c r="P237" i="1" a="1"/>
  <c r="P237" i="1" s="1"/>
  <c r="O237" i="1"/>
  <c r="O237" i="1" a="1"/>
  <c r="M237" i="1"/>
  <c r="L237" i="1"/>
  <c r="N237" i="1" s="1"/>
  <c r="E237" i="1"/>
  <c r="D237" i="1"/>
  <c r="P236" i="1" a="1"/>
  <c r="P236" i="1" s="1"/>
  <c r="O236" i="1" a="1"/>
  <c r="O236" i="1" s="1"/>
  <c r="M236" i="1"/>
  <c r="L236" i="1"/>
  <c r="N236" i="1" s="1"/>
  <c r="E236" i="1"/>
  <c r="D236" i="1"/>
  <c r="P235" i="1"/>
  <c r="P235" i="1" a="1"/>
  <c r="O235" i="1"/>
  <c r="O235" i="1" a="1"/>
  <c r="M235" i="1"/>
  <c r="L235" i="1"/>
  <c r="N235" i="1" s="1"/>
  <c r="E235" i="1"/>
  <c r="D235" i="1"/>
  <c r="P234" i="1" a="1"/>
  <c r="P234" i="1" s="1"/>
  <c r="O234" i="1" a="1"/>
  <c r="O234" i="1" s="1"/>
  <c r="N234" i="1"/>
  <c r="M234" i="1"/>
  <c r="L234" i="1"/>
  <c r="E234" i="1"/>
  <c r="D234" i="1"/>
  <c r="P233" i="1"/>
  <c r="P233" i="1" a="1"/>
  <c r="O233" i="1" a="1"/>
  <c r="O233" i="1" s="1"/>
  <c r="M233" i="1"/>
  <c r="L233" i="1"/>
  <c r="N233" i="1" s="1"/>
  <c r="E233" i="1"/>
  <c r="D233" i="1"/>
  <c r="P232" i="1" a="1"/>
  <c r="P232" i="1" s="1"/>
  <c r="O232" i="1"/>
  <c r="O232" i="1" a="1"/>
  <c r="M232" i="1"/>
  <c r="L232" i="1"/>
  <c r="N232" i="1" s="1"/>
  <c r="E232" i="1"/>
  <c r="D232" i="1"/>
  <c r="P231" i="1" a="1"/>
  <c r="P231" i="1" s="1"/>
  <c r="O231" i="1" a="1"/>
  <c r="O231" i="1" s="1"/>
  <c r="N231" i="1"/>
  <c r="M231" i="1"/>
  <c r="L231" i="1"/>
  <c r="E231" i="1"/>
  <c r="D231" i="1"/>
  <c r="P230" i="1"/>
  <c r="P230" i="1" a="1"/>
  <c r="O230" i="1" a="1"/>
  <c r="O230" i="1" s="1"/>
  <c r="M230" i="1"/>
  <c r="L230" i="1"/>
  <c r="N230" i="1" s="1"/>
  <c r="E230" i="1"/>
  <c r="D230" i="1"/>
  <c r="P229" i="1" a="1"/>
  <c r="P229" i="1" s="1"/>
  <c r="O229" i="1"/>
  <c r="O229" i="1" a="1"/>
  <c r="M229" i="1"/>
  <c r="L229" i="1"/>
  <c r="N229" i="1" s="1"/>
  <c r="E229" i="1"/>
  <c r="D229" i="1"/>
  <c r="P228" i="1" a="1"/>
  <c r="P228" i="1" s="1"/>
  <c r="O228" i="1" a="1"/>
  <c r="O228" i="1" s="1"/>
  <c r="M228" i="1"/>
  <c r="L228" i="1"/>
  <c r="N228" i="1" s="1"/>
  <c r="E228" i="1"/>
  <c r="D228" i="1"/>
  <c r="P227" i="1"/>
  <c r="P227" i="1" a="1"/>
  <c r="O227" i="1"/>
  <c r="O227" i="1" a="1"/>
  <c r="M227" i="1"/>
  <c r="L227" i="1"/>
  <c r="N227" i="1" s="1"/>
  <c r="E227" i="1"/>
  <c r="D227" i="1"/>
  <c r="P226" i="1" a="1"/>
  <c r="P226" i="1" s="1"/>
  <c r="O226" i="1" a="1"/>
  <c r="O226" i="1" s="1"/>
  <c r="N226" i="1"/>
  <c r="M226" i="1"/>
  <c r="L226" i="1"/>
  <c r="E226" i="1"/>
  <c r="D226" i="1"/>
  <c r="P225" i="1" a="1"/>
  <c r="P225" i="1" s="1"/>
  <c r="O225" i="1" a="1"/>
  <c r="O225" i="1" s="1"/>
  <c r="M225" i="1"/>
  <c r="L225" i="1"/>
  <c r="N225" i="1" s="1"/>
  <c r="E225" i="1"/>
  <c r="D225" i="1"/>
  <c r="P224" i="1" a="1"/>
  <c r="P224" i="1" s="1"/>
  <c r="O224" i="1"/>
  <c r="O224" i="1" a="1"/>
  <c r="M224" i="1"/>
  <c r="L224" i="1"/>
  <c r="N224" i="1" s="1"/>
  <c r="E224" i="1"/>
  <c r="D224" i="1"/>
  <c r="P223" i="1" a="1"/>
  <c r="P223" i="1" s="1"/>
  <c r="O223" i="1" a="1"/>
  <c r="O223" i="1" s="1"/>
  <c r="N223" i="1"/>
  <c r="M223" i="1"/>
  <c r="L223" i="1"/>
  <c r="E223" i="1"/>
  <c r="D223" i="1"/>
  <c r="P222" i="1"/>
  <c r="P222" i="1" a="1"/>
  <c r="O222" i="1" a="1"/>
  <c r="O222" i="1" s="1"/>
  <c r="M222" i="1"/>
  <c r="L222" i="1"/>
  <c r="N222" i="1" s="1"/>
  <c r="E222" i="1"/>
  <c r="D222" i="1"/>
  <c r="P221" i="1" a="1"/>
  <c r="P221" i="1" s="1"/>
  <c r="O221" i="1"/>
  <c r="O221" i="1" a="1"/>
  <c r="M221" i="1"/>
  <c r="L221" i="1"/>
  <c r="N221" i="1" s="1"/>
  <c r="E221" i="1"/>
  <c r="D221" i="1"/>
  <c r="P220" i="1" a="1"/>
  <c r="P220" i="1" s="1"/>
  <c r="O220" i="1" a="1"/>
  <c r="O220" i="1" s="1"/>
  <c r="M220" i="1"/>
  <c r="L220" i="1"/>
  <c r="N220" i="1" s="1"/>
  <c r="E220" i="1"/>
  <c r="D220" i="1"/>
  <c r="P219" i="1"/>
  <c r="P219" i="1" a="1"/>
  <c r="O219" i="1" a="1"/>
  <c r="O219" i="1" s="1"/>
  <c r="M219" i="1"/>
  <c r="L219" i="1"/>
  <c r="N219" i="1" s="1"/>
  <c r="E219" i="1"/>
  <c r="D219" i="1"/>
  <c r="P218" i="1" a="1"/>
  <c r="P218" i="1" s="1"/>
  <c r="O218" i="1" a="1"/>
  <c r="O218" i="1" s="1"/>
  <c r="N218" i="1"/>
  <c r="M218" i="1"/>
  <c r="L218" i="1"/>
  <c r="E218" i="1"/>
  <c r="D218" i="1"/>
  <c r="P217" i="1" a="1"/>
  <c r="P217" i="1" s="1"/>
  <c r="O217" i="1" a="1"/>
  <c r="O217" i="1" s="1"/>
  <c r="M217" i="1"/>
  <c r="L217" i="1"/>
  <c r="N217" i="1" s="1"/>
  <c r="E217" i="1"/>
  <c r="D217" i="1"/>
  <c r="P216" i="1" a="1"/>
  <c r="P216" i="1" s="1"/>
  <c r="O216" i="1"/>
  <c r="O216" i="1" a="1"/>
  <c r="M216" i="1"/>
  <c r="L216" i="1"/>
  <c r="N216" i="1" s="1"/>
  <c r="E216" i="1"/>
  <c r="D216" i="1"/>
  <c r="P215" i="1" a="1"/>
  <c r="P215" i="1" s="1"/>
  <c r="O215" i="1" a="1"/>
  <c r="O215" i="1" s="1"/>
  <c r="N215" i="1"/>
  <c r="M215" i="1"/>
  <c r="L215" i="1"/>
  <c r="E215" i="1"/>
  <c r="D215" i="1"/>
  <c r="P214" i="1"/>
  <c r="P214" i="1" a="1"/>
  <c r="O214" i="1" a="1"/>
  <c r="O214" i="1" s="1"/>
  <c r="N214" i="1"/>
  <c r="M214" i="1"/>
  <c r="L214" i="1"/>
  <c r="E214" i="1"/>
  <c r="D214" i="1"/>
  <c r="P213" i="1" a="1"/>
  <c r="P213" i="1" s="1"/>
  <c r="O213" i="1"/>
  <c r="O213" i="1" a="1"/>
  <c r="M213" i="1"/>
  <c r="L213" i="1"/>
  <c r="N213" i="1" s="1"/>
  <c r="E213" i="1"/>
  <c r="D213" i="1"/>
  <c r="P212" i="1" a="1"/>
  <c r="P212" i="1" s="1"/>
  <c r="O212" i="1" a="1"/>
  <c r="O212" i="1" s="1"/>
  <c r="M212" i="1"/>
  <c r="L212" i="1"/>
  <c r="N212" i="1" s="1"/>
  <c r="E212" i="1"/>
  <c r="D212" i="1"/>
  <c r="P211" i="1"/>
  <c r="P211" i="1" a="1"/>
  <c r="O211" i="1" a="1"/>
  <c r="O211" i="1" s="1"/>
  <c r="N211" i="1"/>
  <c r="M211" i="1"/>
  <c r="L211" i="1"/>
  <c r="E211" i="1"/>
  <c r="D211" i="1"/>
  <c r="P210" i="1" a="1"/>
  <c r="P210" i="1" s="1"/>
  <c r="O210" i="1" a="1"/>
  <c r="O210" i="1" s="1"/>
  <c r="N210" i="1"/>
  <c r="M210" i="1"/>
  <c r="L210" i="1"/>
  <c r="E210" i="1"/>
  <c r="D210" i="1"/>
  <c r="P209" i="1"/>
  <c r="P209" i="1" a="1"/>
  <c r="O209" i="1" a="1"/>
  <c r="O209" i="1" s="1"/>
  <c r="M209" i="1"/>
  <c r="L209" i="1"/>
  <c r="N209" i="1" s="1"/>
  <c r="E209" i="1"/>
  <c r="D209" i="1"/>
  <c r="P208" i="1" a="1"/>
  <c r="P208" i="1" s="1"/>
  <c r="O208" i="1"/>
  <c r="O208" i="1" a="1"/>
  <c r="M208" i="1"/>
  <c r="L208" i="1"/>
  <c r="N208" i="1" s="1"/>
  <c r="E208" i="1"/>
  <c r="D208" i="1"/>
  <c r="P207" i="1" a="1"/>
  <c r="P207" i="1" s="1"/>
  <c r="O207" i="1" a="1"/>
  <c r="O207" i="1" s="1"/>
  <c r="N207" i="1"/>
  <c r="M207" i="1"/>
  <c r="L207" i="1"/>
  <c r="E207" i="1"/>
  <c r="D207" i="1"/>
  <c r="P206" i="1"/>
  <c r="P206" i="1" a="1"/>
  <c r="O206" i="1" a="1"/>
  <c r="O206" i="1" s="1"/>
  <c r="N206" i="1"/>
  <c r="M206" i="1"/>
  <c r="L206" i="1"/>
  <c r="E206" i="1"/>
  <c r="D206" i="1"/>
  <c r="P205" i="1" a="1"/>
  <c r="P205" i="1" s="1"/>
  <c r="O205" i="1"/>
  <c r="O205" i="1" a="1"/>
  <c r="M205" i="1"/>
  <c r="L205" i="1"/>
  <c r="N205" i="1" s="1"/>
  <c r="E205" i="1"/>
  <c r="D205" i="1"/>
  <c r="P204" i="1" a="1"/>
  <c r="P204" i="1" s="1"/>
  <c r="O204" i="1" a="1"/>
  <c r="O204" i="1" s="1"/>
  <c r="M204" i="1"/>
  <c r="L204" i="1"/>
  <c r="N204" i="1" s="1"/>
  <c r="E204" i="1"/>
  <c r="D204" i="1"/>
  <c r="P203" i="1" a="1"/>
  <c r="P203" i="1" s="1"/>
  <c r="O203" i="1"/>
  <c r="O203" i="1" a="1"/>
  <c r="N203" i="1"/>
  <c r="M203" i="1"/>
  <c r="L203" i="1"/>
  <c r="E203" i="1"/>
  <c r="D203" i="1"/>
  <c r="P202" i="1" a="1"/>
  <c r="P202" i="1" s="1"/>
  <c r="O202" i="1" a="1"/>
  <c r="O202" i="1" s="1"/>
  <c r="N202" i="1"/>
  <c r="M202" i="1"/>
  <c r="L202" i="1"/>
  <c r="E202" i="1"/>
  <c r="D202" i="1"/>
  <c r="P201" i="1"/>
  <c r="P201" i="1" a="1"/>
  <c r="O201" i="1"/>
  <c r="O201" i="1" a="1"/>
  <c r="M201" i="1"/>
  <c r="L201" i="1"/>
  <c r="N201" i="1" s="1"/>
  <c r="E201" i="1"/>
  <c r="D201" i="1"/>
  <c r="P200" i="1" a="1"/>
  <c r="P200" i="1" s="1"/>
  <c r="O200" i="1" a="1"/>
  <c r="O200" i="1" s="1"/>
  <c r="M200" i="1"/>
  <c r="L200" i="1"/>
  <c r="N200" i="1" s="1"/>
  <c r="E200" i="1"/>
  <c r="D200" i="1"/>
  <c r="P199" i="1"/>
  <c r="P199" i="1" a="1"/>
  <c r="O199" i="1"/>
  <c r="O199" i="1" a="1"/>
  <c r="M199" i="1"/>
  <c r="L199" i="1"/>
  <c r="N199" i="1" s="1"/>
  <c r="E199" i="1"/>
  <c r="D199" i="1"/>
  <c r="P198" i="1" a="1"/>
  <c r="P198" i="1" s="1"/>
  <c r="O198" i="1" a="1"/>
  <c r="O198" i="1" s="1"/>
  <c r="N198" i="1"/>
  <c r="M198" i="1"/>
  <c r="L198" i="1"/>
  <c r="E198" i="1"/>
  <c r="D198" i="1"/>
  <c r="P197" i="1"/>
  <c r="P197" i="1" a="1"/>
  <c r="O197" i="1" a="1"/>
  <c r="O197" i="1" s="1"/>
  <c r="N197" i="1"/>
  <c r="M197" i="1"/>
  <c r="L197" i="1"/>
  <c r="E197" i="1"/>
  <c r="D197" i="1"/>
  <c r="P196" i="1" a="1"/>
  <c r="P196" i="1" s="1"/>
  <c r="O196" i="1" a="1"/>
  <c r="O196" i="1" s="1"/>
  <c r="M196" i="1"/>
  <c r="L196" i="1"/>
  <c r="N196" i="1" s="1"/>
  <c r="E196" i="1"/>
  <c r="D196" i="1"/>
  <c r="P195" i="1" a="1"/>
  <c r="P195" i="1" s="1"/>
  <c r="O195" i="1"/>
  <c r="O195" i="1" a="1"/>
  <c r="N195" i="1"/>
  <c r="M195" i="1"/>
  <c r="L195" i="1"/>
  <c r="E195" i="1"/>
  <c r="D195" i="1"/>
  <c r="P194" i="1" a="1"/>
  <c r="P194" i="1" s="1"/>
  <c r="O194" i="1" a="1"/>
  <c r="O194" i="1" s="1"/>
  <c r="N194" i="1"/>
  <c r="M194" i="1"/>
  <c r="L194" i="1"/>
  <c r="E194" i="1"/>
  <c r="D194" i="1"/>
  <c r="P193" i="1"/>
  <c r="P193" i="1" a="1"/>
  <c r="O193" i="1"/>
  <c r="O193" i="1" a="1"/>
  <c r="M193" i="1"/>
  <c r="L193" i="1"/>
  <c r="N193" i="1" s="1"/>
  <c r="E193" i="1"/>
  <c r="D193" i="1"/>
  <c r="P192" i="1" a="1"/>
  <c r="P192" i="1" s="1"/>
  <c r="O192" i="1" a="1"/>
  <c r="O192" i="1" s="1"/>
  <c r="M192" i="1"/>
  <c r="L192" i="1"/>
  <c r="N192" i="1" s="1"/>
  <c r="E192" i="1"/>
  <c r="D192" i="1"/>
  <c r="P191" i="1"/>
  <c r="P191" i="1" a="1"/>
  <c r="O191" i="1"/>
  <c r="O191" i="1" a="1"/>
  <c r="M191" i="1"/>
  <c r="L191" i="1"/>
  <c r="N191" i="1" s="1"/>
  <c r="E191" i="1"/>
  <c r="D191" i="1"/>
  <c r="P190" i="1" a="1"/>
  <c r="P190" i="1" s="1"/>
  <c r="O190" i="1" a="1"/>
  <c r="O190" i="1" s="1"/>
  <c r="N190" i="1"/>
  <c r="M190" i="1"/>
  <c r="L190" i="1"/>
  <c r="E190" i="1"/>
  <c r="D190" i="1"/>
  <c r="P189" i="1"/>
  <c r="P189" i="1" a="1"/>
  <c r="O189" i="1" a="1"/>
  <c r="O189" i="1" s="1"/>
  <c r="N189" i="1"/>
  <c r="M189" i="1"/>
  <c r="L189" i="1"/>
  <c r="E189" i="1"/>
  <c r="D189" i="1"/>
  <c r="P188" i="1" a="1"/>
  <c r="P188" i="1" s="1"/>
  <c r="O188" i="1" a="1"/>
  <c r="O188" i="1" s="1"/>
  <c r="M188" i="1"/>
  <c r="L188" i="1"/>
  <c r="N188" i="1" s="1"/>
  <c r="E188" i="1"/>
  <c r="D188" i="1"/>
  <c r="P187" i="1" a="1"/>
  <c r="P187" i="1" s="1"/>
  <c r="O187" i="1"/>
  <c r="O187" i="1" a="1"/>
  <c r="N187" i="1"/>
  <c r="M187" i="1"/>
  <c r="L187" i="1"/>
  <c r="E187" i="1"/>
  <c r="D187" i="1"/>
  <c r="P186" i="1" a="1"/>
  <c r="P186" i="1" s="1"/>
  <c r="O186" i="1" a="1"/>
  <c r="O186" i="1" s="1"/>
  <c r="N186" i="1"/>
  <c r="M186" i="1"/>
  <c r="L186" i="1"/>
  <c r="E186" i="1"/>
  <c r="D186" i="1"/>
  <c r="P185" i="1"/>
  <c r="P185" i="1" a="1"/>
  <c r="O185" i="1"/>
  <c r="O185" i="1" a="1"/>
  <c r="M185" i="1"/>
  <c r="L185" i="1"/>
  <c r="N185" i="1" s="1"/>
  <c r="E185" i="1"/>
  <c r="D185" i="1"/>
  <c r="P184" i="1" a="1"/>
  <c r="P184" i="1" s="1"/>
  <c r="O184" i="1" a="1"/>
  <c r="O184" i="1" s="1"/>
  <c r="M184" i="1"/>
  <c r="L184" i="1"/>
  <c r="N184" i="1" s="1"/>
  <c r="E184" i="1"/>
  <c r="D184" i="1"/>
  <c r="P183" i="1"/>
  <c r="P183" i="1" a="1"/>
  <c r="O183" i="1"/>
  <c r="O183" i="1" a="1"/>
  <c r="M183" i="1"/>
  <c r="L183" i="1"/>
  <c r="N183" i="1" s="1"/>
  <c r="E183" i="1"/>
  <c r="D183" i="1"/>
  <c r="P182" i="1" a="1"/>
  <c r="P182" i="1" s="1"/>
  <c r="O182" i="1" a="1"/>
  <c r="O182" i="1" s="1"/>
  <c r="N182" i="1"/>
  <c r="M182" i="1"/>
  <c r="L182" i="1"/>
  <c r="E182" i="1"/>
  <c r="D182" i="1"/>
  <c r="P181" i="1"/>
  <c r="P181" i="1" a="1"/>
  <c r="O181" i="1" a="1"/>
  <c r="O181" i="1" s="1"/>
  <c r="N181" i="1"/>
  <c r="M181" i="1"/>
  <c r="L181" i="1"/>
  <c r="E181" i="1"/>
  <c r="D181" i="1"/>
  <c r="P180" i="1" a="1"/>
  <c r="P180" i="1" s="1"/>
  <c r="O180" i="1" a="1"/>
  <c r="O180" i="1" s="1"/>
  <c r="M180" i="1"/>
  <c r="L180" i="1"/>
  <c r="N180" i="1" s="1"/>
  <c r="E180" i="1"/>
  <c r="D180" i="1"/>
  <c r="P179" i="1" a="1"/>
  <c r="P179" i="1" s="1"/>
  <c r="O179" i="1"/>
  <c r="O179" i="1" a="1"/>
  <c r="N179" i="1"/>
  <c r="M179" i="1"/>
  <c r="L179" i="1"/>
  <c r="E179" i="1"/>
  <c r="D179" i="1"/>
  <c r="P178" i="1" a="1"/>
  <c r="P178" i="1" s="1"/>
  <c r="O178" i="1" a="1"/>
  <c r="O178" i="1" s="1"/>
  <c r="N178" i="1"/>
  <c r="M178" i="1"/>
  <c r="L178" i="1"/>
  <c r="E178" i="1"/>
  <c r="D178" i="1"/>
  <c r="P177" i="1"/>
  <c r="P177" i="1" a="1"/>
  <c r="O177" i="1"/>
  <c r="O177" i="1" a="1"/>
  <c r="M177" i="1"/>
  <c r="L177" i="1"/>
  <c r="N177" i="1" s="1"/>
  <c r="E177" i="1"/>
  <c r="D177" i="1"/>
  <c r="P176" i="1" a="1"/>
  <c r="P176" i="1" s="1"/>
  <c r="O176" i="1" a="1"/>
  <c r="O176" i="1" s="1"/>
  <c r="M176" i="1"/>
  <c r="L176" i="1"/>
  <c r="N176" i="1" s="1"/>
  <c r="E176" i="1"/>
  <c r="D176" i="1"/>
  <c r="P175" i="1"/>
  <c r="P175" i="1" a="1"/>
  <c r="O175" i="1"/>
  <c r="O175" i="1" a="1"/>
  <c r="M175" i="1"/>
  <c r="L175" i="1"/>
  <c r="N175" i="1" s="1"/>
  <c r="E175" i="1"/>
  <c r="D175" i="1"/>
  <c r="P174" i="1" a="1"/>
  <c r="P174" i="1" s="1"/>
  <c r="O174" i="1" a="1"/>
  <c r="O174" i="1" s="1"/>
  <c r="N174" i="1"/>
  <c r="M174" i="1"/>
  <c r="L174" i="1"/>
  <c r="E174" i="1"/>
  <c r="D174" i="1"/>
  <c r="P173" i="1"/>
  <c r="P173" i="1" a="1"/>
  <c r="O173" i="1" a="1"/>
  <c r="O173" i="1" s="1"/>
  <c r="N173" i="1"/>
  <c r="M173" i="1"/>
  <c r="L173" i="1"/>
  <c r="E173" i="1"/>
  <c r="D173" i="1"/>
  <c r="P172" i="1" a="1"/>
  <c r="P172" i="1" s="1"/>
  <c r="O172" i="1" a="1"/>
  <c r="O172" i="1" s="1"/>
  <c r="M172" i="1"/>
  <c r="L172" i="1"/>
  <c r="N172" i="1" s="1"/>
  <c r="E172" i="1"/>
  <c r="D172" i="1"/>
  <c r="P171" i="1" a="1"/>
  <c r="P171" i="1" s="1"/>
  <c r="O171" i="1"/>
  <c r="O171" i="1" a="1"/>
  <c r="N171" i="1"/>
  <c r="M171" i="1"/>
  <c r="L171" i="1"/>
  <c r="E171" i="1"/>
  <c r="D171" i="1"/>
  <c r="P170" i="1" a="1"/>
  <c r="P170" i="1" s="1"/>
  <c r="O170" i="1" a="1"/>
  <c r="O170" i="1" s="1"/>
  <c r="N170" i="1"/>
  <c r="M170" i="1"/>
  <c r="L170" i="1"/>
  <c r="E170" i="1"/>
  <c r="D170" i="1"/>
  <c r="P169" i="1"/>
  <c r="P169" i="1" a="1"/>
  <c r="O169" i="1"/>
  <c r="O169" i="1" a="1"/>
  <c r="M169" i="1"/>
  <c r="L169" i="1"/>
  <c r="N169" i="1" s="1"/>
  <c r="E169" i="1"/>
  <c r="D169" i="1"/>
  <c r="P168" i="1" a="1"/>
  <c r="P168" i="1" s="1"/>
  <c r="O168" i="1" a="1"/>
  <c r="O168" i="1" s="1"/>
  <c r="M168" i="1"/>
  <c r="L168" i="1"/>
  <c r="N168" i="1" s="1"/>
  <c r="E168" i="1"/>
  <c r="D168" i="1"/>
  <c r="P167" i="1"/>
  <c r="P167" i="1" a="1"/>
  <c r="O167" i="1"/>
  <c r="O167" i="1" a="1"/>
  <c r="M167" i="1"/>
  <c r="L167" i="1"/>
  <c r="N167" i="1" s="1"/>
  <c r="E167" i="1"/>
  <c r="D167" i="1"/>
  <c r="P166" i="1" a="1"/>
  <c r="P166" i="1" s="1"/>
  <c r="O166" i="1" a="1"/>
  <c r="O166" i="1" s="1"/>
  <c r="N166" i="1"/>
  <c r="M166" i="1"/>
  <c r="L166" i="1"/>
  <c r="E166" i="1"/>
  <c r="D166" i="1"/>
  <c r="P165" i="1"/>
  <c r="P165" i="1" a="1"/>
  <c r="O165" i="1" a="1"/>
  <c r="O165" i="1" s="1"/>
  <c r="N165" i="1"/>
  <c r="M165" i="1"/>
  <c r="L165" i="1"/>
  <c r="E165" i="1"/>
  <c r="D165" i="1"/>
  <c r="P164" i="1" a="1"/>
  <c r="P164" i="1" s="1"/>
  <c r="O164" i="1" a="1"/>
  <c r="O164" i="1" s="1"/>
  <c r="M164" i="1"/>
  <c r="L164" i="1"/>
  <c r="N164" i="1" s="1"/>
  <c r="E164" i="1"/>
  <c r="D164" i="1"/>
  <c r="P163" i="1" a="1"/>
  <c r="P163" i="1" s="1"/>
  <c r="O163" i="1"/>
  <c r="O163" i="1" a="1"/>
  <c r="N163" i="1"/>
  <c r="M163" i="1"/>
  <c r="L163" i="1"/>
  <c r="E163" i="1"/>
  <c r="D163" i="1"/>
  <c r="P162" i="1" a="1"/>
  <c r="P162" i="1" s="1"/>
  <c r="O162" i="1" a="1"/>
  <c r="O162" i="1" s="1"/>
  <c r="N162" i="1"/>
  <c r="M162" i="1"/>
  <c r="L162" i="1"/>
  <c r="E162" i="1"/>
  <c r="D162" i="1"/>
  <c r="P161" i="1"/>
  <c r="P161" i="1" a="1"/>
  <c r="O161" i="1"/>
  <c r="O161" i="1" a="1"/>
  <c r="M161" i="1"/>
  <c r="L161" i="1"/>
  <c r="N161" i="1" s="1"/>
  <c r="E161" i="1"/>
  <c r="D161" i="1"/>
  <c r="P160" i="1" a="1"/>
  <c r="P160" i="1" s="1"/>
  <c r="O160" i="1" a="1"/>
  <c r="O160" i="1" s="1"/>
  <c r="M160" i="1"/>
  <c r="L160" i="1"/>
  <c r="N160" i="1" s="1"/>
  <c r="E160" i="1"/>
  <c r="D160" i="1"/>
  <c r="P159" i="1"/>
  <c r="P159" i="1" a="1"/>
  <c r="O159" i="1"/>
  <c r="O159" i="1" a="1"/>
  <c r="M159" i="1"/>
  <c r="L159" i="1"/>
  <c r="N159" i="1" s="1"/>
  <c r="E159" i="1"/>
  <c r="D159" i="1"/>
  <c r="P158" i="1" a="1"/>
  <c r="P158" i="1" s="1"/>
  <c r="O158" i="1" a="1"/>
  <c r="O158" i="1" s="1"/>
  <c r="N158" i="1"/>
  <c r="M158" i="1"/>
  <c r="L158" i="1"/>
  <c r="E158" i="1"/>
  <c r="D158" i="1"/>
  <c r="P157" i="1"/>
  <c r="P157" i="1" a="1"/>
  <c r="O157" i="1" a="1"/>
  <c r="O157" i="1" s="1"/>
  <c r="N157" i="1"/>
  <c r="M157" i="1"/>
  <c r="L157" i="1"/>
  <c r="E157" i="1"/>
  <c r="D157" i="1"/>
  <c r="P156" i="1" a="1"/>
  <c r="P156" i="1" s="1"/>
  <c r="O156" i="1" a="1"/>
  <c r="O156" i="1" s="1"/>
  <c r="M156" i="1"/>
  <c r="L156" i="1"/>
  <c r="N156" i="1" s="1"/>
  <c r="E156" i="1"/>
  <c r="D156" i="1"/>
  <c r="P155" i="1" a="1"/>
  <c r="P155" i="1" s="1"/>
  <c r="O155" i="1"/>
  <c r="O155" i="1" a="1"/>
  <c r="N155" i="1"/>
  <c r="M155" i="1"/>
  <c r="L155" i="1"/>
  <c r="E155" i="1"/>
  <c r="D155" i="1"/>
  <c r="P154" i="1" a="1"/>
  <c r="P154" i="1" s="1"/>
  <c r="O154" i="1" a="1"/>
  <c r="O154" i="1" s="1"/>
  <c r="N154" i="1"/>
  <c r="M154" i="1"/>
  <c r="L154" i="1"/>
  <c r="E154" i="1"/>
  <c r="D154" i="1"/>
  <c r="P153" i="1"/>
  <c r="P153" i="1" a="1"/>
  <c r="O153" i="1"/>
  <c r="O153" i="1" a="1"/>
  <c r="M153" i="1"/>
  <c r="L153" i="1"/>
  <c r="N153" i="1" s="1"/>
  <c r="E153" i="1"/>
  <c r="D153" i="1"/>
  <c r="P152" i="1" a="1"/>
  <c r="P152" i="1" s="1"/>
  <c r="O152" i="1" a="1"/>
  <c r="O152" i="1" s="1"/>
  <c r="M152" i="1"/>
  <c r="L152" i="1"/>
  <c r="N152" i="1" s="1"/>
  <c r="E152" i="1"/>
  <c r="D152" i="1"/>
  <c r="P151" i="1"/>
  <c r="P151" i="1" a="1"/>
  <c r="O151" i="1"/>
  <c r="O151" i="1" a="1"/>
  <c r="M151" i="1"/>
  <c r="L151" i="1"/>
  <c r="N151" i="1" s="1"/>
  <c r="E151" i="1"/>
  <c r="D151" i="1"/>
  <c r="P150" i="1" a="1"/>
  <c r="P150" i="1" s="1"/>
  <c r="O150" i="1" a="1"/>
  <c r="O150" i="1" s="1"/>
  <c r="N150" i="1"/>
  <c r="M150" i="1"/>
  <c r="L150" i="1"/>
  <c r="E150" i="1"/>
  <c r="D150" i="1"/>
  <c r="P149" i="1"/>
  <c r="P149" i="1" a="1"/>
  <c r="O149" i="1" a="1"/>
  <c r="O149" i="1" s="1"/>
  <c r="N149" i="1"/>
  <c r="M149" i="1"/>
  <c r="L149" i="1"/>
  <c r="E149" i="1"/>
  <c r="D149" i="1"/>
  <c r="P148" i="1" a="1"/>
  <c r="P148" i="1" s="1"/>
  <c r="O148" i="1" a="1"/>
  <c r="O148" i="1" s="1"/>
  <c r="M148" i="1"/>
  <c r="L148" i="1"/>
  <c r="N148" i="1" s="1"/>
  <c r="E148" i="1"/>
  <c r="D148" i="1"/>
  <c r="P147" i="1" a="1"/>
  <c r="P147" i="1" s="1"/>
  <c r="O147" i="1"/>
  <c r="O147" i="1" a="1"/>
  <c r="N147" i="1"/>
  <c r="M147" i="1"/>
  <c r="L147" i="1"/>
  <c r="E147" i="1"/>
  <c r="D147" i="1"/>
  <c r="P146" i="1" a="1"/>
  <c r="P146" i="1" s="1"/>
  <c r="O146" i="1" a="1"/>
  <c r="O146" i="1" s="1"/>
  <c r="N146" i="1"/>
  <c r="M146" i="1"/>
  <c r="L146" i="1"/>
  <c r="E146" i="1"/>
  <c r="D146" i="1"/>
  <c r="P145" i="1"/>
  <c r="P145" i="1" a="1"/>
  <c r="O145" i="1"/>
  <c r="O145" i="1" a="1"/>
  <c r="M145" i="1"/>
  <c r="L145" i="1"/>
  <c r="N145" i="1" s="1"/>
  <c r="E145" i="1"/>
  <c r="D145" i="1"/>
  <c r="P144" i="1" a="1"/>
  <c r="P144" i="1" s="1"/>
  <c r="O144" i="1" a="1"/>
  <c r="O144" i="1" s="1"/>
  <c r="M144" i="1"/>
  <c r="L144" i="1"/>
  <c r="N144" i="1" s="1"/>
  <c r="E144" i="1"/>
  <c r="D144" i="1"/>
  <c r="P143" i="1"/>
  <c r="P143" i="1" a="1"/>
  <c r="O143" i="1"/>
  <c r="O143" i="1" a="1"/>
  <c r="M143" i="1"/>
  <c r="L143" i="1"/>
  <c r="N143" i="1" s="1"/>
  <c r="E143" i="1"/>
  <c r="D143" i="1"/>
  <c r="P142" i="1" a="1"/>
  <c r="P142" i="1" s="1"/>
  <c r="O142" i="1" a="1"/>
  <c r="O142" i="1" s="1"/>
  <c r="N142" i="1"/>
  <c r="M142" i="1"/>
  <c r="L142" i="1"/>
  <c r="E142" i="1"/>
  <c r="D142" i="1"/>
  <c r="P141" i="1"/>
  <c r="P141" i="1" a="1"/>
  <c r="O141" i="1" a="1"/>
  <c r="O141" i="1" s="1"/>
  <c r="N141" i="1"/>
  <c r="M141" i="1"/>
  <c r="L141" i="1"/>
  <c r="E141" i="1"/>
  <c r="D141" i="1"/>
  <c r="P140" i="1" a="1"/>
  <c r="P140" i="1" s="1"/>
  <c r="O140" i="1" a="1"/>
  <c r="O140" i="1" s="1"/>
  <c r="M140" i="1"/>
  <c r="L140" i="1"/>
  <c r="N140" i="1" s="1"/>
  <c r="E140" i="1"/>
  <c r="D140" i="1"/>
  <c r="P139" i="1" a="1"/>
  <c r="P139" i="1" s="1"/>
  <c r="O139" i="1"/>
  <c r="O139" i="1" a="1"/>
  <c r="N139" i="1"/>
  <c r="M139" i="1"/>
  <c r="L139" i="1"/>
  <c r="E139" i="1"/>
  <c r="D139" i="1"/>
  <c r="P138" i="1" a="1"/>
  <c r="P138" i="1" s="1"/>
  <c r="O138" i="1" a="1"/>
  <c r="O138" i="1" s="1"/>
  <c r="N138" i="1"/>
  <c r="M138" i="1"/>
  <c r="L138" i="1"/>
  <c r="E138" i="1"/>
  <c r="D138" i="1"/>
  <c r="P137" i="1"/>
  <c r="P137" i="1" a="1"/>
  <c r="O137" i="1"/>
  <c r="O137" i="1" a="1"/>
  <c r="M137" i="1"/>
  <c r="L137" i="1"/>
  <c r="N137" i="1" s="1"/>
  <c r="E137" i="1"/>
  <c r="D137" i="1"/>
  <c r="P136" i="1" a="1"/>
  <c r="P136" i="1" s="1"/>
  <c r="O136" i="1" a="1"/>
  <c r="O136" i="1" s="1"/>
  <c r="M136" i="1"/>
  <c r="L136" i="1"/>
  <c r="N136" i="1" s="1"/>
  <c r="E136" i="1"/>
  <c r="D136" i="1"/>
  <c r="P135" i="1"/>
  <c r="P135" i="1" a="1"/>
  <c r="O135" i="1"/>
  <c r="O135" i="1" a="1"/>
  <c r="M135" i="1"/>
  <c r="L135" i="1"/>
  <c r="N135" i="1" s="1"/>
  <c r="E135" i="1"/>
  <c r="D135" i="1"/>
  <c r="P134" i="1" a="1"/>
  <c r="P134" i="1" s="1"/>
  <c r="O134" i="1" a="1"/>
  <c r="O134" i="1" s="1"/>
  <c r="N134" i="1"/>
  <c r="M134" i="1"/>
  <c r="L134" i="1"/>
  <c r="E134" i="1"/>
  <c r="D134" i="1"/>
  <c r="P133" i="1"/>
  <c r="P133" i="1" a="1"/>
  <c r="O133" i="1" a="1"/>
  <c r="O133" i="1" s="1"/>
  <c r="N133" i="1"/>
  <c r="M133" i="1"/>
  <c r="L133" i="1"/>
  <c r="E133" i="1"/>
  <c r="D133" i="1"/>
  <c r="P132" i="1" a="1"/>
  <c r="P132" i="1" s="1"/>
  <c r="O132" i="1" a="1"/>
  <c r="O132" i="1" s="1"/>
  <c r="M132" i="1"/>
  <c r="L132" i="1"/>
  <c r="N132" i="1" s="1"/>
  <c r="E132" i="1"/>
  <c r="D132" i="1"/>
  <c r="P131" i="1" a="1"/>
  <c r="P131" i="1" s="1"/>
  <c r="O131" i="1"/>
  <c r="O131" i="1" a="1"/>
  <c r="N131" i="1"/>
  <c r="M131" i="1"/>
  <c r="L131" i="1"/>
  <c r="E131" i="1"/>
  <c r="D131" i="1"/>
  <c r="P130" i="1" a="1"/>
  <c r="P130" i="1" s="1"/>
  <c r="O130" i="1" a="1"/>
  <c r="O130" i="1" s="1"/>
  <c r="N130" i="1"/>
  <c r="M130" i="1"/>
  <c r="L130" i="1"/>
  <c r="E130" i="1"/>
  <c r="D130" i="1"/>
  <c r="P129" i="1"/>
  <c r="P129" i="1" a="1"/>
  <c r="O129" i="1"/>
  <c r="O129" i="1" a="1"/>
  <c r="M129" i="1"/>
  <c r="L129" i="1"/>
  <c r="N129" i="1" s="1"/>
  <c r="E129" i="1"/>
  <c r="D129" i="1"/>
  <c r="P128" i="1" a="1"/>
  <c r="P128" i="1" s="1"/>
  <c r="O128" i="1" a="1"/>
  <c r="O128" i="1" s="1"/>
  <c r="M128" i="1"/>
  <c r="L128" i="1"/>
  <c r="N128" i="1" s="1"/>
  <c r="E128" i="1"/>
  <c r="D128" i="1"/>
  <c r="P127" i="1"/>
  <c r="P127" i="1" a="1"/>
  <c r="O127" i="1"/>
  <c r="O127" i="1" a="1"/>
  <c r="M127" i="1"/>
  <c r="L127" i="1"/>
  <c r="N127" i="1" s="1"/>
  <c r="E127" i="1"/>
  <c r="D127" i="1"/>
  <c r="P126" i="1" a="1"/>
  <c r="P126" i="1" s="1"/>
  <c r="O126" i="1" a="1"/>
  <c r="O126" i="1" s="1"/>
  <c r="N126" i="1"/>
  <c r="M126" i="1"/>
  <c r="L126" i="1"/>
  <c r="E126" i="1"/>
  <c r="D126" i="1"/>
  <c r="P125" i="1"/>
  <c r="P125" i="1" a="1"/>
  <c r="O125" i="1" a="1"/>
  <c r="O125" i="1" s="1"/>
  <c r="N125" i="1"/>
  <c r="M125" i="1"/>
  <c r="L125" i="1"/>
  <c r="E125" i="1"/>
  <c r="D125" i="1"/>
  <c r="P124" i="1" a="1"/>
  <c r="P124" i="1" s="1"/>
  <c r="O124" i="1" a="1"/>
  <c r="O124" i="1" s="1"/>
  <c r="M124" i="1"/>
  <c r="L124" i="1"/>
  <c r="N124" i="1" s="1"/>
  <c r="E124" i="1"/>
  <c r="D124" i="1"/>
  <c r="P123" i="1" a="1"/>
  <c r="P123" i="1" s="1"/>
  <c r="O123" i="1"/>
  <c r="O123" i="1" a="1"/>
  <c r="N123" i="1"/>
  <c r="M123" i="1"/>
  <c r="L123" i="1"/>
  <c r="E123" i="1"/>
  <c r="D123" i="1"/>
  <c r="P122" i="1" a="1"/>
  <c r="P122" i="1" s="1"/>
  <c r="O122" i="1" a="1"/>
  <c r="O122" i="1" s="1"/>
  <c r="N122" i="1"/>
  <c r="M122" i="1"/>
  <c r="L122" i="1"/>
  <c r="E122" i="1"/>
  <c r="D122" i="1"/>
  <c r="P121" i="1"/>
  <c r="P121" i="1" a="1"/>
  <c r="O121" i="1"/>
  <c r="O121" i="1" a="1"/>
  <c r="M121" i="1"/>
  <c r="L121" i="1"/>
  <c r="N121" i="1" s="1"/>
  <c r="E121" i="1"/>
  <c r="D121" i="1"/>
  <c r="P120" i="1" a="1"/>
  <c r="P120" i="1" s="1"/>
  <c r="O120" i="1" a="1"/>
  <c r="O120" i="1" s="1"/>
  <c r="M120" i="1"/>
  <c r="L120" i="1"/>
  <c r="N120" i="1" s="1"/>
  <c r="E120" i="1"/>
  <c r="D120" i="1"/>
  <c r="P119" i="1"/>
  <c r="P119" i="1" a="1"/>
  <c r="O119" i="1"/>
  <c r="O119" i="1" a="1"/>
  <c r="M119" i="1"/>
  <c r="L119" i="1"/>
  <c r="N119" i="1" s="1"/>
  <c r="E119" i="1"/>
  <c r="D119" i="1"/>
  <c r="P118" i="1" a="1"/>
  <c r="P118" i="1" s="1"/>
  <c r="O118" i="1" a="1"/>
  <c r="O118" i="1" s="1"/>
  <c r="N118" i="1"/>
  <c r="M118" i="1"/>
  <c r="L118" i="1"/>
  <c r="E118" i="1"/>
  <c r="D118" i="1"/>
  <c r="P117" i="1"/>
  <c r="P117" i="1" a="1"/>
  <c r="O117" i="1" a="1"/>
  <c r="O117" i="1" s="1"/>
  <c r="N117" i="1"/>
  <c r="M117" i="1"/>
  <c r="L117" i="1"/>
  <c r="E117" i="1"/>
  <c r="D117" i="1"/>
  <c r="P116" i="1" a="1"/>
  <c r="P116" i="1" s="1"/>
  <c r="O116" i="1" a="1"/>
  <c r="O116" i="1" s="1"/>
  <c r="M116" i="1"/>
  <c r="L116" i="1"/>
  <c r="N116" i="1" s="1"/>
  <c r="E116" i="1"/>
  <c r="D116" i="1"/>
  <c r="P115" i="1" a="1"/>
  <c r="P115" i="1" s="1"/>
  <c r="O115" i="1"/>
  <c r="O115" i="1" a="1"/>
  <c r="N115" i="1"/>
  <c r="M115" i="1"/>
  <c r="L115" i="1"/>
  <c r="E115" i="1"/>
  <c r="D115" i="1"/>
  <c r="P114" i="1" a="1"/>
  <c r="P114" i="1" s="1"/>
  <c r="O114" i="1" a="1"/>
  <c r="O114" i="1" s="1"/>
  <c r="N114" i="1"/>
  <c r="M114" i="1"/>
  <c r="L114" i="1"/>
  <c r="E114" i="1"/>
  <c r="D114" i="1"/>
  <c r="P113" i="1"/>
  <c r="P113" i="1" a="1"/>
  <c r="O113" i="1"/>
  <c r="O113" i="1" a="1"/>
  <c r="M113" i="1"/>
  <c r="L113" i="1"/>
  <c r="N113" i="1" s="1"/>
  <c r="E113" i="1"/>
  <c r="D113" i="1"/>
  <c r="P112" i="1" a="1"/>
  <c r="P112" i="1" s="1"/>
  <c r="O112" i="1" a="1"/>
  <c r="O112" i="1" s="1"/>
  <c r="M112" i="1"/>
  <c r="L112" i="1"/>
  <c r="N112" i="1" s="1"/>
  <c r="E112" i="1"/>
  <c r="D112" i="1"/>
  <c r="P111" i="1"/>
  <c r="P111" i="1" a="1"/>
  <c r="O111" i="1"/>
  <c r="O111" i="1" a="1"/>
  <c r="M111" i="1"/>
  <c r="L111" i="1"/>
  <c r="N111" i="1" s="1"/>
  <c r="E111" i="1"/>
  <c r="D111" i="1"/>
  <c r="P110" i="1" a="1"/>
  <c r="P110" i="1" s="1"/>
  <c r="O110" i="1" a="1"/>
  <c r="O110" i="1" s="1"/>
  <c r="N110" i="1"/>
  <c r="M110" i="1"/>
  <c r="L110" i="1"/>
  <c r="E110" i="1"/>
  <c r="D110" i="1"/>
  <c r="P109" i="1"/>
  <c r="P109" i="1" a="1"/>
  <c r="O109" i="1" a="1"/>
  <c r="O109" i="1" s="1"/>
  <c r="N109" i="1"/>
  <c r="M109" i="1"/>
  <c r="L109" i="1"/>
  <c r="E109" i="1"/>
  <c r="D109" i="1"/>
  <c r="P108" i="1" a="1"/>
  <c r="P108" i="1" s="1"/>
  <c r="O108" i="1" a="1"/>
  <c r="O108" i="1" s="1"/>
  <c r="M108" i="1"/>
  <c r="L108" i="1"/>
  <c r="N108" i="1" s="1"/>
  <c r="E108" i="1"/>
  <c r="D108" i="1"/>
  <c r="P107" i="1" a="1"/>
  <c r="P107" i="1" s="1"/>
  <c r="O107" i="1"/>
  <c r="O107" i="1" a="1"/>
  <c r="N107" i="1"/>
  <c r="M107" i="1"/>
  <c r="L107" i="1"/>
  <c r="E107" i="1"/>
  <c r="D107" i="1"/>
  <c r="P106" i="1" a="1"/>
  <c r="P106" i="1" s="1"/>
  <c r="O106" i="1" a="1"/>
  <c r="O106" i="1" s="1"/>
  <c r="N106" i="1"/>
  <c r="M106" i="1"/>
  <c r="L106" i="1"/>
  <c r="E106" i="1"/>
  <c r="D106" i="1"/>
  <c r="P105" i="1"/>
  <c r="P105" i="1" a="1"/>
  <c r="O105" i="1"/>
  <c r="O105" i="1" a="1"/>
  <c r="M105" i="1"/>
  <c r="L105" i="1"/>
  <c r="N105" i="1" s="1"/>
  <c r="E105" i="1"/>
  <c r="D105" i="1"/>
  <c r="P104" i="1" a="1"/>
  <c r="P104" i="1" s="1"/>
  <c r="O104" i="1" a="1"/>
  <c r="O104" i="1" s="1"/>
  <c r="M104" i="1"/>
  <c r="L104" i="1"/>
  <c r="N104" i="1" s="1"/>
  <c r="E104" i="1"/>
  <c r="D104" i="1"/>
  <c r="P103" i="1"/>
  <c r="P103" i="1" a="1"/>
  <c r="O103" i="1"/>
  <c r="O103" i="1" a="1"/>
  <c r="M103" i="1"/>
  <c r="L103" i="1"/>
  <c r="N103" i="1" s="1"/>
  <c r="E103" i="1"/>
  <c r="D103" i="1"/>
  <c r="P102" i="1" a="1"/>
  <c r="P102" i="1" s="1"/>
  <c r="O102" i="1" a="1"/>
  <c r="O102" i="1" s="1"/>
  <c r="N102" i="1"/>
  <c r="M102" i="1"/>
  <c r="L102" i="1"/>
  <c r="E102" i="1"/>
  <c r="D102" i="1"/>
  <c r="P101" i="1"/>
  <c r="P101" i="1" a="1"/>
  <c r="O101" i="1" a="1"/>
  <c r="O101" i="1" s="1"/>
  <c r="N101" i="1"/>
  <c r="M101" i="1"/>
  <c r="L101" i="1"/>
  <c r="E101" i="1"/>
  <c r="D101" i="1"/>
  <c r="P100" i="1" a="1"/>
  <c r="P100" i="1" s="1"/>
  <c r="O100" i="1" a="1"/>
  <c r="O100" i="1" s="1"/>
  <c r="M100" i="1"/>
  <c r="L100" i="1"/>
  <c r="N100" i="1" s="1"/>
  <c r="E100" i="1"/>
  <c r="D100" i="1"/>
  <c r="P99" i="1" a="1"/>
  <c r="P99" i="1" s="1"/>
  <c r="O99" i="1"/>
  <c r="O99" i="1" a="1"/>
  <c r="N99" i="1"/>
  <c r="M99" i="1"/>
  <c r="L99" i="1"/>
  <c r="E99" i="1"/>
  <c r="D99" i="1"/>
  <c r="P98" i="1" a="1"/>
  <c r="P98" i="1" s="1"/>
  <c r="O98" i="1" a="1"/>
  <c r="O98" i="1" s="1"/>
  <c r="N98" i="1"/>
  <c r="M98" i="1"/>
  <c r="L98" i="1"/>
  <c r="E98" i="1"/>
  <c r="D98" i="1"/>
  <c r="P97" i="1"/>
  <c r="P97" i="1" a="1"/>
  <c r="O97" i="1"/>
  <c r="O97" i="1" a="1"/>
  <c r="M97" i="1"/>
  <c r="L97" i="1"/>
  <c r="N97" i="1" s="1"/>
  <c r="E97" i="1"/>
  <c r="D97" i="1"/>
  <c r="P96" i="1" a="1"/>
  <c r="P96" i="1" s="1"/>
  <c r="O96" i="1" a="1"/>
  <c r="O96" i="1" s="1"/>
  <c r="M96" i="1"/>
  <c r="L96" i="1"/>
  <c r="N96" i="1" s="1"/>
  <c r="E96" i="1"/>
  <c r="D96" i="1"/>
  <c r="P95" i="1"/>
  <c r="P95" i="1" a="1"/>
  <c r="O95" i="1"/>
  <c r="O95" i="1" a="1"/>
  <c r="M95" i="1"/>
  <c r="L95" i="1"/>
  <c r="N95" i="1" s="1"/>
  <c r="E95" i="1"/>
  <c r="D95" i="1"/>
  <c r="P94" i="1" a="1"/>
  <c r="P94" i="1" s="1"/>
  <c r="O94" i="1" a="1"/>
  <c r="O94" i="1" s="1"/>
  <c r="N94" i="1"/>
  <c r="M94" i="1"/>
  <c r="L94" i="1"/>
  <c r="E94" i="1"/>
  <c r="D94" i="1"/>
  <c r="P93" i="1"/>
  <c r="P93" i="1" a="1"/>
  <c r="O93" i="1" a="1"/>
  <c r="O93" i="1" s="1"/>
  <c r="N93" i="1"/>
  <c r="M93" i="1"/>
  <c r="L93" i="1"/>
  <c r="E93" i="1"/>
  <c r="D93" i="1"/>
  <c r="P92" i="1" a="1"/>
  <c r="P92" i="1" s="1"/>
  <c r="O92" i="1" a="1"/>
  <c r="O92" i="1" s="1"/>
  <c r="M92" i="1"/>
  <c r="L92" i="1"/>
  <c r="N92" i="1" s="1"/>
  <c r="E92" i="1"/>
  <c r="D92" i="1"/>
  <c r="P91" i="1" a="1"/>
  <c r="P91" i="1" s="1"/>
  <c r="O91" i="1"/>
  <c r="O91" i="1" a="1"/>
  <c r="N91" i="1"/>
  <c r="M91" i="1"/>
  <c r="L91" i="1"/>
  <c r="E91" i="1"/>
  <c r="D91" i="1"/>
  <c r="P90" i="1" a="1"/>
  <c r="P90" i="1" s="1"/>
  <c r="O90" i="1" a="1"/>
  <c r="O90" i="1" s="1"/>
  <c r="N90" i="1"/>
  <c r="M90" i="1"/>
  <c r="L90" i="1"/>
  <c r="E90" i="1"/>
  <c r="D90" i="1"/>
  <c r="P89" i="1"/>
  <c r="P89" i="1" a="1"/>
  <c r="O89" i="1"/>
  <c r="O89" i="1" a="1"/>
  <c r="M89" i="1"/>
  <c r="L89" i="1"/>
  <c r="N89" i="1" s="1"/>
  <c r="E89" i="1"/>
  <c r="D89" i="1"/>
  <c r="P88" i="1" a="1"/>
  <c r="P88" i="1" s="1"/>
  <c r="O88" i="1" a="1"/>
  <c r="O88" i="1" s="1"/>
  <c r="M88" i="1"/>
  <c r="L88" i="1"/>
  <c r="N88" i="1" s="1"/>
  <c r="E88" i="1"/>
  <c r="D88" i="1"/>
  <c r="P87" i="1"/>
  <c r="P87" i="1" a="1"/>
  <c r="O87" i="1"/>
  <c r="O87" i="1" a="1"/>
  <c r="M87" i="1"/>
  <c r="L87" i="1"/>
  <c r="N87" i="1" s="1"/>
  <c r="E87" i="1"/>
  <c r="D87" i="1"/>
  <c r="P86" i="1" a="1"/>
  <c r="P86" i="1" s="1"/>
  <c r="O86" i="1" a="1"/>
  <c r="O86" i="1" s="1"/>
  <c r="N86" i="1"/>
  <c r="M86" i="1"/>
  <c r="L86" i="1"/>
  <c r="E86" i="1"/>
  <c r="D86" i="1"/>
  <c r="P85" i="1"/>
  <c r="P85" i="1" a="1"/>
  <c r="O85" i="1" a="1"/>
  <c r="O85" i="1" s="1"/>
  <c r="N85" i="1"/>
  <c r="M85" i="1"/>
  <c r="L85" i="1"/>
  <c r="E85" i="1"/>
  <c r="D85" i="1"/>
  <c r="P84" i="1" a="1"/>
  <c r="P84" i="1" s="1"/>
  <c r="O84" i="1" a="1"/>
  <c r="O84" i="1" s="1"/>
  <c r="M84" i="1"/>
  <c r="L84" i="1"/>
  <c r="N84" i="1" s="1"/>
  <c r="E84" i="1"/>
  <c r="D84" i="1"/>
  <c r="P83" i="1" a="1"/>
  <c r="P83" i="1" s="1"/>
  <c r="O83" i="1"/>
  <c r="O83" i="1" a="1"/>
  <c r="N83" i="1"/>
  <c r="M83" i="1"/>
  <c r="L83" i="1"/>
  <c r="E83" i="1"/>
  <c r="D83" i="1"/>
  <c r="P82" i="1" a="1"/>
  <c r="P82" i="1" s="1"/>
  <c r="O82" i="1" a="1"/>
  <c r="O82" i="1" s="1"/>
  <c r="N82" i="1"/>
  <c r="M82" i="1"/>
  <c r="L82" i="1"/>
  <c r="E82" i="1"/>
  <c r="D82" i="1"/>
  <c r="P81" i="1"/>
  <c r="P81" i="1" a="1"/>
  <c r="O81" i="1"/>
  <c r="O81" i="1" a="1"/>
  <c r="M81" i="1"/>
  <c r="L81" i="1"/>
  <c r="N81" i="1" s="1"/>
  <c r="E81" i="1"/>
  <c r="D81" i="1"/>
  <c r="P80" i="1" a="1"/>
  <c r="P80" i="1" s="1"/>
  <c r="O80" i="1" a="1"/>
  <c r="O80" i="1" s="1"/>
  <c r="M80" i="1"/>
  <c r="L80" i="1"/>
  <c r="N80" i="1" s="1"/>
  <c r="E80" i="1"/>
  <c r="D80" i="1"/>
  <c r="P79" i="1"/>
  <c r="P79" i="1" a="1"/>
  <c r="O79" i="1"/>
  <c r="O79" i="1" a="1"/>
  <c r="M79" i="1"/>
  <c r="L79" i="1"/>
  <c r="N79" i="1" s="1"/>
  <c r="E79" i="1"/>
  <c r="D79" i="1"/>
  <c r="P78" i="1" a="1"/>
  <c r="P78" i="1" s="1"/>
  <c r="O78" i="1" a="1"/>
  <c r="O78" i="1" s="1"/>
  <c r="N78" i="1"/>
  <c r="M78" i="1"/>
  <c r="L78" i="1"/>
  <c r="E78" i="1"/>
  <c r="D78" i="1"/>
  <c r="P77" i="1"/>
  <c r="P77" i="1" a="1"/>
  <c r="O77" i="1" a="1"/>
  <c r="O77" i="1" s="1"/>
  <c r="N77" i="1"/>
  <c r="M77" i="1"/>
  <c r="L77" i="1"/>
  <c r="E77" i="1"/>
  <c r="D77" i="1"/>
  <c r="P76" i="1" a="1"/>
  <c r="P76" i="1" s="1"/>
  <c r="O76" i="1" a="1"/>
  <c r="O76" i="1" s="1"/>
  <c r="M76" i="1"/>
  <c r="L76" i="1"/>
  <c r="N76" i="1" s="1"/>
  <c r="E76" i="1"/>
  <c r="D76" i="1"/>
  <c r="P75" i="1" a="1"/>
  <c r="P75" i="1" s="1"/>
  <c r="O75" i="1"/>
  <c r="O75" i="1" a="1"/>
  <c r="N75" i="1"/>
  <c r="M75" i="1"/>
  <c r="L75" i="1"/>
  <c r="E75" i="1"/>
  <c r="D75" i="1"/>
  <c r="P74" i="1" a="1"/>
  <c r="P74" i="1" s="1"/>
  <c r="O74" i="1" a="1"/>
  <c r="O74" i="1" s="1"/>
  <c r="N74" i="1"/>
  <c r="M74" i="1"/>
  <c r="L74" i="1"/>
  <c r="E74" i="1"/>
  <c r="D74" i="1"/>
  <c r="P73" i="1"/>
  <c r="P73" i="1" a="1"/>
  <c r="O73" i="1"/>
  <c r="O73" i="1" a="1"/>
  <c r="M73" i="1"/>
  <c r="L73" i="1"/>
  <c r="N73" i="1" s="1"/>
  <c r="E73" i="1"/>
  <c r="D73" i="1"/>
  <c r="P72" i="1" a="1"/>
  <c r="P72" i="1" s="1"/>
  <c r="O72" i="1" a="1"/>
  <c r="O72" i="1" s="1"/>
  <c r="M72" i="1"/>
  <c r="L72" i="1"/>
  <c r="N72" i="1" s="1"/>
  <c r="E72" i="1"/>
  <c r="D72" i="1"/>
  <c r="P71" i="1"/>
  <c r="P71" i="1" a="1"/>
  <c r="O71" i="1"/>
  <c r="O71" i="1" a="1"/>
  <c r="M71" i="1"/>
  <c r="L71" i="1"/>
  <c r="N71" i="1" s="1"/>
  <c r="E71" i="1"/>
  <c r="D71" i="1"/>
  <c r="P70" i="1" a="1"/>
  <c r="P70" i="1" s="1"/>
  <c r="O70" i="1" a="1"/>
  <c r="O70" i="1" s="1"/>
  <c r="N70" i="1"/>
  <c r="M70" i="1"/>
  <c r="L70" i="1"/>
  <c r="E70" i="1"/>
  <c r="D70" i="1"/>
  <c r="P69" i="1"/>
  <c r="P69" i="1" a="1"/>
  <c r="O69" i="1" a="1"/>
  <c r="O69" i="1" s="1"/>
  <c r="N69" i="1"/>
  <c r="M69" i="1"/>
  <c r="L69" i="1"/>
  <c r="E69" i="1"/>
  <c r="D69" i="1"/>
  <c r="P68" i="1" a="1"/>
  <c r="P68" i="1" s="1"/>
  <c r="O68" i="1" a="1"/>
  <c r="O68" i="1" s="1"/>
  <c r="M68" i="1"/>
  <c r="L68" i="1"/>
  <c r="N68" i="1" s="1"/>
  <c r="E68" i="1"/>
  <c r="D68" i="1"/>
  <c r="P67" i="1" a="1"/>
  <c r="P67" i="1" s="1"/>
  <c r="O67" i="1"/>
  <c r="O67" i="1" a="1"/>
  <c r="N67" i="1"/>
  <c r="M67" i="1"/>
  <c r="L67" i="1"/>
  <c r="E67" i="1"/>
  <c r="D67" i="1"/>
  <c r="P66" i="1" a="1"/>
  <c r="P66" i="1" s="1"/>
  <c r="O66" i="1" a="1"/>
  <c r="O66" i="1" s="1"/>
  <c r="N66" i="1"/>
  <c r="M66" i="1"/>
  <c r="L66" i="1"/>
  <c r="E66" i="1"/>
  <c r="D66" i="1"/>
  <c r="P65" i="1"/>
  <c r="P65" i="1" a="1"/>
  <c r="O65" i="1"/>
  <c r="O65" i="1" a="1"/>
  <c r="M65" i="1"/>
  <c r="L65" i="1"/>
  <c r="N65" i="1" s="1"/>
  <c r="E65" i="1"/>
  <c r="D65" i="1"/>
  <c r="P64" i="1" a="1"/>
  <c r="P64" i="1" s="1"/>
  <c r="O64" i="1" a="1"/>
  <c r="O64" i="1" s="1"/>
  <c r="M64" i="1"/>
  <c r="L64" i="1"/>
  <c r="N64" i="1" s="1"/>
  <c r="E64" i="1"/>
  <c r="D64" i="1"/>
  <c r="P63" i="1"/>
  <c r="P63" i="1" a="1"/>
  <c r="O63" i="1"/>
  <c r="O63" i="1" a="1"/>
  <c r="M63" i="1"/>
  <c r="L63" i="1"/>
  <c r="N63" i="1" s="1"/>
  <c r="E63" i="1"/>
  <c r="D63" i="1"/>
  <c r="P62" i="1" a="1"/>
  <c r="P62" i="1" s="1"/>
  <c r="O62" i="1" a="1"/>
  <c r="O62" i="1" s="1"/>
  <c r="N62" i="1"/>
  <c r="M62" i="1"/>
  <c r="L62" i="1"/>
  <c r="E62" i="1"/>
  <c r="D62" i="1"/>
  <c r="P61" i="1"/>
  <c r="P61" i="1" a="1"/>
  <c r="O61" i="1" a="1"/>
  <c r="O61" i="1" s="1"/>
  <c r="N61" i="1"/>
  <c r="M61" i="1"/>
  <c r="L61" i="1"/>
  <c r="E61" i="1"/>
  <c r="D61" i="1"/>
  <c r="P60" i="1" a="1"/>
  <c r="P60" i="1" s="1"/>
  <c r="O60" i="1" a="1"/>
  <c r="O60" i="1" s="1"/>
  <c r="M60" i="1"/>
  <c r="L60" i="1"/>
  <c r="N60" i="1" s="1"/>
  <c r="E60" i="1"/>
  <c r="D60" i="1"/>
  <c r="P59" i="1" a="1"/>
  <c r="P59" i="1" s="1"/>
  <c r="O59" i="1"/>
  <c r="O59" i="1" a="1"/>
  <c r="N59" i="1"/>
  <c r="M59" i="1"/>
  <c r="L59" i="1"/>
  <c r="E59" i="1"/>
  <c r="D59" i="1"/>
  <c r="P58" i="1" a="1"/>
  <c r="P58" i="1" s="1"/>
  <c r="O58" i="1" a="1"/>
  <c r="O58" i="1" s="1"/>
  <c r="N58" i="1"/>
  <c r="M58" i="1"/>
  <c r="L58" i="1"/>
  <c r="E58" i="1"/>
  <c r="D58" i="1"/>
  <c r="P57" i="1"/>
  <c r="P57" i="1" a="1"/>
  <c r="O57" i="1"/>
  <c r="O57" i="1" a="1"/>
  <c r="M57" i="1"/>
  <c r="L57" i="1"/>
  <c r="N57" i="1" s="1"/>
  <c r="E57" i="1"/>
  <c r="D57" i="1"/>
  <c r="P56" i="1" a="1"/>
  <c r="P56" i="1" s="1"/>
  <c r="O56" i="1" a="1"/>
  <c r="O56" i="1" s="1"/>
  <c r="M56" i="1"/>
  <c r="L56" i="1"/>
  <c r="N56" i="1" s="1"/>
  <c r="E56" i="1"/>
  <c r="D56" i="1"/>
  <c r="P55" i="1"/>
  <c r="P55" i="1" a="1"/>
  <c r="O55" i="1"/>
  <c r="O55" i="1" a="1"/>
  <c r="M55" i="1"/>
  <c r="L55" i="1"/>
  <c r="N55" i="1" s="1"/>
  <c r="E55" i="1"/>
  <c r="D55" i="1"/>
  <c r="P54" i="1" a="1"/>
  <c r="P54" i="1" s="1"/>
  <c r="O54" i="1" a="1"/>
  <c r="O54" i="1" s="1"/>
  <c r="N54" i="1"/>
  <c r="M54" i="1"/>
  <c r="L54" i="1"/>
  <c r="E54" i="1"/>
  <c r="D54" i="1"/>
  <c r="P53" i="1"/>
  <c r="P53" i="1" a="1"/>
  <c r="O53" i="1" a="1"/>
  <c r="O53" i="1" s="1"/>
  <c r="N53" i="1"/>
  <c r="M53" i="1"/>
  <c r="L53" i="1"/>
  <c r="E53" i="1"/>
  <c r="D53" i="1"/>
  <c r="P52" i="1" a="1"/>
  <c r="P52" i="1" s="1"/>
  <c r="O52" i="1" a="1"/>
  <c r="O52" i="1" s="1"/>
  <c r="M52" i="1"/>
  <c r="L52" i="1"/>
  <c r="N52" i="1" s="1"/>
  <c r="E52" i="1"/>
  <c r="D52" i="1"/>
  <c r="P51" i="1" a="1"/>
  <c r="P51" i="1" s="1"/>
  <c r="O51" i="1"/>
  <c r="O51" i="1" a="1"/>
  <c r="N51" i="1"/>
  <c r="M51" i="1"/>
  <c r="L51" i="1"/>
  <c r="E51" i="1"/>
  <c r="D51" i="1"/>
  <c r="P50" i="1" a="1"/>
  <c r="P50" i="1" s="1"/>
  <c r="O50" i="1" a="1"/>
  <c r="O50" i="1" s="1"/>
  <c r="N50" i="1"/>
  <c r="M50" i="1"/>
  <c r="L50" i="1"/>
  <c r="E50" i="1"/>
  <c r="D50" i="1"/>
  <c r="P49" i="1"/>
  <c r="P49" i="1" a="1"/>
  <c r="O49" i="1"/>
  <c r="O49" i="1" a="1"/>
  <c r="M49" i="1"/>
  <c r="L49" i="1"/>
  <c r="N49" i="1" s="1"/>
  <c r="E49" i="1"/>
  <c r="D49" i="1"/>
  <c r="P48" i="1" a="1"/>
  <c r="P48" i="1" s="1"/>
  <c r="O48" i="1" a="1"/>
  <c r="O48" i="1" s="1"/>
  <c r="M48" i="1"/>
  <c r="L48" i="1"/>
  <c r="N48" i="1" s="1"/>
  <c r="E48" i="1"/>
  <c r="D48" i="1"/>
  <c r="P47" i="1"/>
  <c r="P47" i="1" a="1"/>
  <c r="O47" i="1"/>
  <c r="O47" i="1" a="1"/>
  <c r="M47" i="1"/>
  <c r="L47" i="1"/>
  <c r="N47" i="1" s="1"/>
  <c r="E47" i="1"/>
  <c r="D47" i="1"/>
  <c r="P46" i="1" a="1"/>
  <c r="P46" i="1" s="1"/>
  <c r="O46" i="1" a="1"/>
  <c r="O46" i="1" s="1"/>
  <c r="N46" i="1"/>
  <c r="M46" i="1"/>
  <c r="L46" i="1"/>
  <c r="E46" i="1"/>
  <c r="D46" i="1"/>
  <c r="P45" i="1"/>
  <c r="P45" i="1" a="1"/>
  <c r="O45" i="1" a="1"/>
  <c r="O45" i="1" s="1"/>
  <c r="N45" i="1"/>
  <c r="M45" i="1"/>
  <c r="L45" i="1"/>
  <c r="E45" i="1"/>
  <c r="D45" i="1"/>
  <c r="P44" i="1" a="1"/>
  <c r="P44" i="1" s="1"/>
  <c r="O44" i="1" a="1"/>
  <c r="O44" i="1" s="1"/>
  <c r="M44" i="1"/>
  <c r="L44" i="1"/>
  <c r="N44" i="1" s="1"/>
  <c r="E44" i="1"/>
  <c r="D44" i="1"/>
  <c r="P43" i="1" a="1"/>
  <c r="P43" i="1" s="1"/>
  <c r="O43" i="1"/>
  <c r="O43" i="1" a="1"/>
  <c r="N43" i="1"/>
  <c r="M43" i="1"/>
  <c r="L43" i="1"/>
  <c r="E43" i="1"/>
  <c r="D43" i="1"/>
  <c r="P42" i="1" a="1"/>
  <c r="P42" i="1" s="1"/>
  <c r="O42" i="1" a="1"/>
  <c r="O42" i="1" s="1"/>
  <c r="N42" i="1"/>
  <c r="M42" i="1"/>
  <c r="L42" i="1"/>
  <c r="E42" i="1"/>
  <c r="D42" i="1"/>
  <c r="P41" i="1"/>
  <c r="P41" i="1" a="1"/>
  <c r="O41" i="1"/>
  <c r="O41" i="1" a="1"/>
  <c r="M41" i="1"/>
  <c r="L41" i="1"/>
  <c r="N41" i="1" s="1"/>
  <c r="E41" i="1"/>
  <c r="D41" i="1"/>
  <c r="P40" i="1" a="1"/>
  <c r="P40" i="1" s="1"/>
  <c r="O40" i="1" a="1"/>
  <c r="O40" i="1" s="1"/>
  <c r="M40" i="1"/>
  <c r="L40" i="1"/>
  <c r="N40" i="1" s="1"/>
  <c r="E40" i="1"/>
  <c r="D40" i="1"/>
  <c r="P39" i="1"/>
  <c r="P39" i="1" a="1"/>
  <c r="O39" i="1"/>
  <c r="O39" i="1" a="1"/>
  <c r="M39" i="1"/>
  <c r="L39" i="1"/>
  <c r="N39" i="1" s="1"/>
  <c r="E39" i="1"/>
  <c r="D39" i="1"/>
  <c r="P38" i="1" a="1"/>
  <c r="P38" i="1" s="1"/>
  <c r="O38" i="1" a="1"/>
  <c r="O38" i="1" s="1"/>
  <c r="N38" i="1"/>
  <c r="M38" i="1"/>
  <c r="L38" i="1"/>
  <c r="E38" i="1"/>
  <c r="D38" i="1"/>
  <c r="P37" i="1"/>
  <c r="P37" i="1" a="1"/>
  <c r="O37" i="1" a="1"/>
  <c r="O37" i="1" s="1"/>
  <c r="N37" i="1"/>
  <c r="M37" i="1"/>
  <c r="L37" i="1"/>
  <c r="E37" i="1"/>
  <c r="D37" i="1"/>
  <c r="P36" i="1" a="1"/>
  <c r="P36" i="1" s="1"/>
  <c r="O36" i="1" a="1"/>
  <c r="O36" i="1" s="1"/>
  <c r="M36" i="1"/>
  <c r="L36" i="1"/>
  <c r="N36" i="1" s="1"/>
  <c r="E36" i="1"/>
  <c r="D36" i="1"/>
  <c r="P35" i="1" a="1"/>
  <c r="P35" i="1" s="1"/>
  <c r="O35" i="1"/>
  <c r="O35" i="1" a="1"/>
  <c r="N35" i="1"/>
  <c r="M35" i="1"/>
  <c r="L35" i="1"/>
  <c r="E35" i="1"/>
  <c r="D35" i="1"/>
  <c r="P34" i="1" a="1"/>
  <c r="P34" i="1" s="1"/>
  <c r="O34" i="1" a="1"/>
  <c r="O34" i="1" s="1"/>
  <c r="N34" i="1"/>
  <c r="M34" i="1"/>
  <c r="L34" i="1"/>
  <c r="E34" i="1"/>
  <c r="D34" i="1"/>
  <c r="P33" i="1"/>
  <c r="P33" i="1" a="1"/>
  <c r="O33" i="1"/>
  <c r="O33" i="1" a="1"/>
  <c r="M33" i="1"/>
  <c r="L33" i="1"/>
  <c r="N33" i="1" s="1"/>
  <c r="E33" i="1"/>
  <c r="D33" i="1"/>
  <c r="P32" i="1" a="1"/>
  <c r="P32" i="1" s="1"/>
  <c r="O32" i="1" a="1"/>
  <c r="O32" i="1" s="1"/>
  <c r="M32" i="1"/>
  <c r="L32" i="1"/>
  <c r="N32" i="1" s="1"/>
  <c r="E32" i="1"/>
  <c r="D32" i="1"/>
  <c r="P31" i="1"/>
  <c r="P31" i="1" a="1"/>
  <c r="O31" i="1"/>
  <c r="O31" i="1" a="1"/>
  <c r="M31" i="1"/>
  <c r="L31" i="1"/>
  <c r="N31" i="1" s="1"/>
  <c r="E31" i="1"/>
  <c r="D31" i="1"/>
  <c r="P30" i="1" a="1"/>
  <c r="P30" i="1" s="1"/>
  <c r="O30" i="1" a="1"/>
  <c r="O30" i="1" s="1"/>
  <c r="N30" i="1"/>
  <c r="M30" i="1"/>
  <c r="L30" i="1"/>
  <c r="E30" i="1"/>
  <c r="D30" i="1"/>
  <c r="P29" i="1"/>
  <c r="P29" i="1" a="1"/>
  <c r="O29" i="1" a="1"/>
  <c r="O29" i="1" s="1"/>
  <c r="N29" i="1"/>
  <c r="M29" i="1"/>
  <c r="L29" i="1"/>
  <c r="E29" i="1"/>
  <c r="D29" i="1"/>
  <c r="P28" i="1" a="1"/>
  <c r="P28" i="1" s="1"/>
  <c r="O28" i="1" a="1"/>
  <c r="O28" i="1" s="1"/>
  <c r="M28" i="1"/>
  <c r="L28" i="1"/>
  <c r="N28" i="1" s="1"/>
  <c r="E28" i="1"/>
  <c r="D28" i="1"/>
  <c r="P27" i="1" a="1"/>
  <c r="P27" i="1" s="1"/>
  <c r="O27" i="1"/>
  <c r="O27" i="1" a="1"/>
  <c r="N27" i="1"/>
  <c r="M27" i="1"/>
  <c r="L27" i="1"/>
  <c r="E27" i="1"/>
  <c r="D27" i="1"/>
  <c r="P26" i="1" a="1"/>
  <c r="P26" i="1" s="1"/>
  <c r="O26" i="1" a="1"/>
  <c r="O26" i="1" s="1"/>
  <c r="N26" i="1"/>
  <c r="M26" i="1"/>
  <c r="L26" i="1"/>
  <c r="E26" i="1"/>
  <c r="D26" i="1"/>
  <c r="P25" i="1"/>
  <c r="P25" i="1" a="1"/>
  <c r="O25" i="1"/>
  <c r="O25" i="1" a="1"/>
  <c r="M25" i="1"/>
  <c r="L25" i="1"/>
  <c r="N25" i="1" s="1"/>
  <c r="E25" i="1"/>
  <c r="D25" i="1"/>
  <c r="P24" i="1" a="1"/>
  <c r="P24" i="1" s="1"/>
  <c r="O24" i="1" a="1"/>
  <c r="O24" i="1" s="1"/>
  <c r="M24" i="1"/>
  <c r="L24" i="1"/>
  <c r="N24" i="1" s="1"/>
  <c r="E24" i="1"/>
  <c r="D24" i="1"/>
  <c r="P23" i="1"/>
  <c r="P23" i="1" a="1"/>
  <c r="O23" i="1"/>
  <c r="O23" i="1" a="1"/>
  <c r="M23" i="1"/>
  <c r="L23" i="1"/>
  <c r="N23" i="1" s="1"/>
  <c r="E23" i="1"/>
  <c r="D23" i="1"/>
  <c r="P22" i="1" a="1"/>
  <c r="P22" i="1" s="1"/>
  <c r="O22" i="1" a="1"/>
  <c r="O22" i="1" s="1"/>
  <c r="N22" i="1"/>
  <c r="M22" i="1"/>
  <c r="L22" i="1"/>
  <c r="E22" i="1"/>
  <c r="D22" i="1"/>
  <c r="P21" i="1"/>
  <c r="P21" i="1" a="1"/>
  <c r="O21" i="1" a="1"/>
  <c r="O21" i="1" s="1"/>
  <c r="N21" i="1"/>
  <c r="M21" i="1"/>
  <c r="L21" i="1"/>
  <c r="E21" i="1"/>
  <c r="D21" i="1"/>
  <c r="P20" i="1" a="1"/>
  <c r="P20" i="1" s="1"/>
  <c r="O20" i="1" a="1"/>
  <c r="O20" i="1" s="1"/>
  <c r="M20" i="1"/>
  <c r="L20" i="1"/>
  <c r="N20" i="1" s="1"/>
  <c r="E20" i="1"/>
  <c r="D20" i="1"/>
  <c r="P19" i="1" a="1"/>
  <c r="P19" i="1" s="1"/>
  <c r="O19" i="1"/>
  <c r="O19" i="1" a="1"/>
  <c r="N19" i="1"/>
  <c r="M19" i="1"/>
  <c r="L19" i="1"/>
  <c r="E19" i="1"/>
  <c r="D19" i="1"/>
  <c r="P18" i="1" a="1"/>
  <c r="P18" i="1" s="1"/>
  <c r="O18" i="1" a="1"/>
  <c r="O18" i="1" s="1"/>
  <c r="N18" i="1"/>
  <c r="M18" i="1"/>
  <c r="L18" i="1"/>
  <c r="E18" i="1"/>
  <c r="D18" i="1"/>
  <c r="P17" i="1"/>
  <c r="P17" i="1" a="1"/>
  <c r="O17" i="1"/>
  <c r="O17" i="1" a="1"/>
  <c r="M17" i="1"/>
  <c r="L17" i="1"/>
  <c r="N17" i="1" s="1"/>
  <c r="E17" i="1"/>
  <c r="D17" i="1"/>
  <c r="P16" i="1" a="1"/>
  <c r="P16" i="1" s="1"/>
  <c r="O16" i="1" a="1"/>
  <c r="O16" i="1" s="1"/>
  <c r="M16" i="1"/>
  <c r="L16" i="1"/>
  <c r="N16" i="1" s="1"/>
  <c r="E16" i="1"/>
  <c r="D16" i="1"/>
  <c r="P15" i="1"/>
  <c r="P15" i="1" a="1"/>
  <c r="O15" i="1"/>
  <c r="O15" i="1" a="1"/>
  <c r="M15" i="1"/>
  <c r="L15" i="1"/>
  <c r="N15" i="1" s="1"/>
  <c r="E15" i="1"/>
  <c r="D15" i="1"/>
  <c r="P14" i="1" a="1"/>
  <c r="P14" i="1" s="1"/>
  <c r="O14" i="1" a="1"/>
  <c r="O14" i="1" s="1"/>
  <c r="N14" i="1"/>
  <c r="M14" i="1"/>
  <c r="L14" i="1"/>
  <c r="E14" i="1"/>
  <c r="D14" i="1"/>
  <c r="P13" i="1"/>
  <c r="P13" i="1" a="1"/>
  <c r="O13" i="1" a="1"/>
  <c r="O13" i="1" s="1"/>
  <c r="N13" i="1"/>
  <c r="M13" i="1"/>
  <c r="L13" i="1"/>
  <c r="E13" i="1"/>
  <c r="D13" i="1"/>
  <c r="P12" i="1" a="1"/>
  <c r="P12" i="1" s="1"/>
  <c r="O12" i="1" a="1"/>
  <c r="O12" i="1" s="1"/>
  <c r="M12" i="1"/>
  <c r="L12" i="1"/>
  <c r="N12" i="1" s="1"/>
  <c r="E12" i="1"/>
  <c r="D12" i="1"/>
  <c r="P11" i="1" a="1"/>
  <c r="P11" i="1" s="1"/>
  <c r="O11" i="1"/>
  <c r="O11" i="1" a="1"/>
  <c r="N11" i="1"/>
  <c r="M11" i="1"/>
  <c r="L11" i="1"/>
  <c r="E11" i="1"/>
  <c r="D11" i="1"/>
  <c r="P10" i="1" a="1"/>
  <c r="P10" i="1" s="1"/>
  <c r="O10" i="1" a="1"/>
  <c r="O10" i="1" s="1"/>
  <c r="N10" i="1"/>
  <c r="M10" i="1"/>
  <c r="L10" i="1"/>
  <c r="E10" i="1"/>
  <c r="D10" i="1"/>
  <c r="P9" i="1"/>
  <c r="P9" i="1" a="1"/>
  <c r="O9" i="1"/>
  <c r="O9" i="1" a="1"/>
  <c r="M9" i="1"/>
  <c r="L9" i="1"/>
  <c r="N9" i="1" s="1"/>
  <c r="E9" i="1"/>
  <c r="D9" i="1"/>
  <c r="P8" i="1" a="1"/>
  <c r="P8" i="1" s="1"/>
  <c r="O8" i="1" a="1"/>
  <c r="O8" i="1" s="1"/>
  <c r="M8" i="1"/>
  <c r="L8" i="1"/>
  <c r="N8" i="1" s="1"/>
  <c r="E8" i="1"/>
  <c r="D8" i="1"/>
  <c r="P7" i="1"/>
  <c r="P7" i="1" a="1"/>
  <c r="O7" i="1"/>
  <c r="O7" i="1" a="1"/>
  <c r="M7" i="1"/>
  <c r="L7" i="1"/>
  <c r="N7" i="1" s="1"/>
  <c r="E7" i="1"/>
  <c r="D7" i="1"/>
  <c r="P6" i="1" a="1"/>
  <c r="P6" i="1" s="1"/>
  <c r="O6" i="1" a="1"/>
  <c r="O6" i="1" s="1"/>
  <c r="N6" i="1"/>
  <c r="M6" i="1"/>
  <c r="L6" i="1"/>
  <c r="E6" i="1"/>
  <c r="D6" i="1"/>
  <c r="P5" i="1"/>
  <c r="P5" i="1" a="1"/>
  <c r="O5" i="1" a="1"/>
  <c r="O5" i="1" s="1"/>
  <c r="N5" i="1"/>
  <c r="M5" i="1"/>
  <c r="L5" i="1"/>
  <c r="E5" i="1"/>
  <c r="D5" i="1"/>
  <c r="P4" i="1" a="1"/>
  <c r="P4" i="1" s="1"/>
  <c r="O4" i="1" a="1"/>
  <c r="O4" i="1" s="1"/>
  <c r="M4" i="1"/>
  <c r="L4" i="1"/>
  <c r="N4" i="1" s="1"/>
  <c r="E4" i="1"/>
  <c r="D4" i="1"/>
  <c r="P3" i="1" a="1"/>
  <c r="P3" i="1" s="1"/>
  <c r="O3" i="1"/>
  <c r="O3" i="1" a="1"/>
  <c r="N3" i="1"/>
  <c r="M3" i="1"/>
  <c r="L3" i="1"/>
  <c r="E3" i="1"/>
  <c r="D3" i="1"/>
  <c r="P2" i="1" a="1"/>
  <c r="P2" i="1" s="1"/>
  <c r="O2" i="1" a="1"/>
  <c r="O2" i="1" s="1"/>
  <c r="N2" i="1"/>
  <c r="M2" i="1"/>
  <c r="L2" i="1"/>
  <c r="E2" i="1"/>
  <c r="D2" i="1"/>
  <c r="B21" i="2" l="1"/>
  <c r="C21" i="2" s="1"/>
  <c r="B11" i="2"/>
  <c r="B20" i="2"/>
  <c r="B19" i="2"/>
  <c r="C19" i="2" s="1"/>
  <c r="B14" i="2"/>
  <c r="C14" i="2" s="1"/>
  <c r="B25" i="2"/>
  <c r="B9" i="2"/>
  <c r="B5" i="2"/>
  <c r="B3" i="2"/>
  <c r="B16" i="2"/>
  <c r="C20" i="2"/>
  <c r="B27" i="2"/>
  <c r="C12" i="2"/>
  <c r="B13" i="2"/>
  <c r="C1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378ED9-B20F-44FF-BED8-823FBEBF785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D4CEFE9-1D7D-45D0-8591-3FAB50AFCE7B}" name="WorksheetConnection_JustLoan dataset (2) (version 1).xlsb.xlsx!Table1" type="102" refreshedVersion="8" minRefreshableVersion="5">
    <extLst>
      <ext xmlns:x15="http://schemas.microsoft.com/office/spreadsheetml/2010/11/main" uri="{DE250136-89BD-433C-8126-D09CA5730AF9}">
        <x15:connection id="Table1">
          <x15:rangePr sourceName="_xlcn.WorksheetConnection_JustLoandataset2version1.xlsb.xlsxTable11"/>
        </x15:connection>
      </ext>
    </extLst>
  </connection>
  <connection id="3" xr16:uid="{EE1E58A1-D6CA-425D-BEEC-D00B7A2BE887}" name="WorksheetConnection_JustLoan dataset (2).xlsx!Table2" type="102" refreshedVersion="8" minRefreshableVersion="5">
    <extLst>
      <ext xmlns:x15="http://schemas.microsoft.com/office/spreadsheetml/2010/11/main" uri="{DE250136-89BD-433C-8126-D09CA5730AF9}">
        <x15:connection id="Table2">
          <x15:rangePr sourceName="_xlcn.WorksheetConnection_JustLoandataset2.xlsxTable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<sst xmlns="http://schemas.openxmlformats.org/spreadsheetml/2006/main" count="2267" uniqueCount="84">
  <si>
    <t>Loan Application Date</t>
  </si>
  <si>
    <t>CustomerID</t>
  </si>
  <si>
    <t>Department - Designation</t>
  </si>
  <si>
    <t>Department</t>
  </si>
  <si>
    <t>Designation</t>
  </si>
  <si>
    <t>Credit Score</t>
  </si>
  <si>
    <t>Past Loans</t>
  </si>
  <si>
    <t>Emi Defaults</t>
  </si>
  <si>
    <t>Date of Birth</t>
  </si>
  <si>
    <t>New Loan Application amount</t>
  </si>
  <si>
    <t>Loan Type</t>
  </si>
  <si>
    <t>Year of Birth</t>
  </si>
  <si>
    <t>Month of Loan Application</t>
  </si>
  <si>
    <t>Marketing - Director</t>
  </si>
  <si>
    <t>Education</t>
  </si>
  <si>
    <t>Operation - Executive</t>
  </si>
  <si>
    <t>Marketing - Executive</t>
  </si>
  <si>
    <t>Growth - Manager</t>
  </si>
  <si>
    <t>Personal</t>
  </si>
  <si>
    <t>Marketing - Manager</t>
  </si>
  <si>
    <t>Operation - Manager</t>
  </si>
  <si>
    <t>Car</t>
  </si>
  <si>
    <t>Strategy - Executive</t>
  </si>
  <si>
    <t>Marketing - Intern</t>
  </si>
  <si>
    <t>Strategy - Intern</t>
  </si>
  <si>
    <t>Sales - Manager</t>
  </si>
  <si>
    <t>Strategy - Manager</t>
  </si>
  <si>
    <t>Operation - Intern</t>
  </si>
  <si>
    <t>Growth - Director</t>
  </si>
  <si>
    <t>Sales - Director</t>
  </si>
  <si>
    <t>Operation - Director</t>
  </si>
  <si>
    <t>Finance - Intern</t>
  </si>
  <si>
    <t>Finance - Executive</t>
  </si>
  <si>
    <t>Sales - Executive</t>
  </si>
  <si>
    <t>Finance - Director</t>
  </si>
  <si>
    <t>Growth - Intern</t>
  </si>
  <si>
    <t>Sales - Intern</t>
  </si>
  <si>
    <t>Strategy - Director</t>
  </si>
  <si>
    <t>Finance - Manager</t>
  </si>
  <si>
    <t>Growth - Executive</t>
  </si>
  <si>
    <t>Age of customer</t>
  </si>
  <si>
    <t>LOAN APPLICATION DASHBOARD</t>
  </si>
  <si>
    <t>Grand Total</t>
  </si>
  <si>
    <t>Sum of New Loan Application amount</t>
  </si>
  <si>
    <t>Row Labels</t>
  </si>
  <si>
    <t>Business Questions for the Dashboard</t>
  </si>
  <si>
    <t>1. What is the total loan demand and how is it distributed by loan type?</t>
  </si>
  <si>
    <t>Finance</t>
  </si>
  <si>
    <t>Growth</t>
  </si>
  <si>
    <t>Marketing</t>
  </si>
  <si>
    <t>Operation</t>
  </si>
  <si>
    <t>Sales</t>
  </si>
  <si>
    <t>Strategy</t>
  </si>
  <si>
    <t>2. Which departments/designations apply for the highest loan amounts?</t>
  </si>
  <si>
    <t>Credit Score Range</t>
  </si>
  <si>
    <t>Good</t>
  </si>
  <si>
    <t>Count of Credit Score Range</t>
  </si>
  <si>
    <t>Excellent</t>
  </si>
  <si>
    <t>3. What is the credit profile of applicants?</t>
  </si>
  <si>
    <t>4. Is there a relationship between EMI defaults and loan amount?</t>
  </si>
  <si>
    <t>Jan</t>
  </si>
  <si>
    <t>Feb</t>
  </si>
  <si>
    <t>Mar</t>
  </si>
  <si>
    <t>Apr</t>
  </si>
  <si>
    <t>May</t>
  </si>
  <si>
    <t>Jun</t>
  </si>
  <si>
    <t>Jul</t>
  </si>
  <si>
    <t>Aug</t>
  </si>
  <si>
    <t>Sep</t>
  </si>
  <si>
    <t>Oct</t>
  </si>
  <si>
    <t>Nov</t>
  </si>
  <si>
    <t>Dec</t>
  </si>
  <si>
    <t>5. Which customer segment represents the highest credit risk exposure?</t>
  </si>
  <si>
    <t>Risk Category</t>
  </si>
  <si>
    <t>High Risk</t>
  </si>
  <si>
    <t>Medium Risk</t>
  </si>
  <si>
    <t>Low Risk</t>
  </si>
  <si>
    <t xml:space="preserve">6. When do loan applications peak during the year? </t>
  </si>
  <si>
    <t>Total Applications</t>
  </si>
  <si>
    <t>Total Loan Amount</t>
  </si>
  <si>
    <t>Avg Credit Score</t>
  </si>
  <si>
    <t>Avg EMI Defaults</t>
  </si>
  <si>
    <t>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</si>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</sst>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8" x14ac:knownFonts="1">
    <font>
      <sz val="12"/>
      <color theme="1"/>
      <name val="Aptos Narrow"/>
      <scheme val="minor"/>
    </font>
    <font>
      <b/>
      <sz val="10"/>
      <color theme="1"/>
      <name val="Aptos Narrow"/>
    </font>
    <font>
      <b/>
      <sz val="12"/>
      <color theme="1"/>
      <name val="Aptos Narrow"/>
    </font>
    <font>
      <sz val="10"/>
      <color theme="1"/>
      <name val="Aptos Narrow"/>
    </font>
    <font>
      <sz val="12"/>
      <color theme="1"/>
      <name val="Aptos Narrow"/>
    </font>
    <font>
      <sz val="12"/>
      <color theme="1"/>
      <name val="Arial"/>
    </font>
    <font>
      <sz val="12"/>
      <color theme="1"/>
      <name val="Aptos Narrow"/>
      <scheme val="minor"/>
    </font>
    <font>
      <b/>
      <sz val="12"/>
      <color theme="1"/>
      <name val="Aptos Narrow"/>
      <scheme val="minor"/>
    </font>
    <font>
      <b/>
      <sz val="12"/>
      <color theme="1"/>
      <name val="Arial"/>
    </font>
    <font>
      <sz val="12"/>
      <color theme="1"/>
      <name val="ADLaM Display"/>
    </font>
    <font>
      <sz val="12"/>
      <color theme="1"/>
      <name val="Aptos Narrow"/>
      <family val="2"/>
      <scheme val="minor"/>
    </font>
    <font>
      <b/>
      <sz val="10"/>
      <color theme="1"/>
      <name val="Aptos Narrow"/>
      <family val="2"/>
      <scheme val="major"/>
    </font>
    <font>
      <b/>
      <sz val="12"/>
      <color theme="1"/>
      <name val="Aptos Narrow"/>
      <family val="2"/>
      <scheme val="major"/>
    </font>
    <font>
      <sz val="12"/>
      <color theme="1"/>
      <name val="Aptos Narrow"/>
      <family val="2"/>
      <scheme val="major"/>
    </font>
    <font>
      <sz val="12"/>
      <color theme="0"/>
      <name val="ADLaM Display"/>
    </font>
    <font>
      <sz val="20"/>
      <color theme="0"/>
      <name val="ADLaM Display"/>
    </font>
    <font>
      <b/>
      <sz val="12"/>
      <color theme="4" tint="-0.499984740745262"/>
      <name val="Aptos Narrow"/>
      <family val="2"/>
      <scheme val="minor"/>
    </font>
    <font>
      <b/>
      <sz val="12"/>
      <color theme="4" tint="-0.499984740745262"/>
      <name val="Abadi"/>
      <family val="2"/>
    </font>
  </fonts>
  <fills count="8">
    <fill>
      <patternFill patternType="none"/>
    </fill>
    <fill>
      <patternFill patternType="gray125"/>
    </fill>
    <fill>
      <patternFill patternType="solid">
        <fgColor rgb="FFB6D7A8"/>
        <bgColor rgb="FFB6D7A8"/>
      </patternFill>
    </fill>
    <fill>
      <patternFill patternType="solid">
        <fgColor theme="5" tint="0.59999389629810485"/>
        <bgColor rgb="FFFAE2D5"/>
      </patternFill>
    </fill>
    <fill>
      <patternFill patternType="solid">
        <fgColor theme="5" tint="0.59999389629810485"/>
        <bgColor indexed="64"/>
      </patternFill>
    </fill>
    <fill>
      <patternFill patternType="solid">
        <fgColor theme="8" tint="0.79998168889431442"/>
        <bgColor indexed="64"/>
      </patternFill>
    </fill>
    <fill>
      <patternFill patternType="solid">
        <fgColor theme="4"/>
        <bgColor indexed="64"/>
      </patternFill>
    </fill>
    <fill>
      <patternFill patternType="solid">
        <fgColor theme="0"/>
        <bgColor indexed="64"/>
      </patternFill>
    </fill>
  </fills>
  <borders count="7">
    <border>
      <left/>
      <right/>
      <top/>
      <bottom/>
      <diagonal/>
    </border>
    <border>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s>
  <cellStyleXfs count="1">
    <xf numFmtId="0" fontId="0" fillId="0" borderId="0"/>
  </cellStyleXfs>
  <cellXfs count="43">
    <xf numFmtId="0" fontId="0" fillId="0" borderId="0" xfId="0"/>
    <xf numFmtId="0" fontId="2" fillId="0" borderId="0" xfId="0" applyFont="1" applyAlignment="1">
      <alignment horizontal="center" vertical="top"/>
    </xf>
    <xf numFmtId="14" fontId="3" fillId="0" borderId="0" xfId="0" applyNumberFormat="1" applyFont="1" applyAlignment="1">
      <alignment horizontal="left" vertical="top"/>
    </xf>
    <xf numFmtId="0" fontId="3" fillId="0" borderId="0" xfId="0" applyFont="1" applyAlignment="1">
      <alignment horizontal="left" vertical="top"/>
    </xf>
    <xf numFmtId="49" fontId="3" fillId="0" borderId="0" xfId="0" applyNumberFormat="1" applyFont="1" applyAlignment="1">
      <alignment horizontal="left" vertical="top"/>
    </xf>
    <xf numFmtId="0" fontId="4" fillId="0" borderId="0" xfId="0" applyFont="1" applyAlignment="1">
      <alignment horizontal="center" vertical="top"/>
    </xf>
    <xf numFmtId="0" fontId="5" fillId="0" borderId="0" xfId="0" applyFont="1"/>
    <xf numFmtId="0" fontId="6" fillId="2" borderId="0" xfId="0" applyFont="1" applyFill="1"/>
    <xf numFmtId="49" fontId="7" fillId="0" borderId="0" xfId="0" applyNumberFormat="1" applyFont="1"/>
    <xf numFmtId="49" fontId="6" fillId="0" borderId="0" xfId="0" applyNumberFormat="1" applyFont="1"/>
    <xf numFmtId="49" fontId="6" fillId="2" borderId="0" xfId="0" applyNumberFormat="1" applyFont="1" applyFill="1"/>
    <xf numFmtId="49" fontId="8" fillId="0" borderId="0" xfId="0" applyNumberFormat="1" applyFont="1"/>
    <xf numFmtId="14" fontId="0" fillId="0" borderId="0" xfId="0" applyNumberFormat="1"/>
    <xf numFmtId="1" fontId="3" fillId="0" borderId="0" xfId="0" applyNumberFormat="1" applyFont="1" applyAlignment="1">
      <alignment horizontal="left" vertical="top"/>
    </xf>
    <xf numFmtId="1" fontId="0" fillId="0" borderId="0" xfId="0" applyNumberFormat="1"/>
    <xf numFmtId="164" fontId="3" fillId="0" borderId="0" xfId="0" applyNumberFormat="1" applyFont="1" applyAlignment="1">
      <alignment horizontal="left" vertical="top"/>
    </xf>
    <xf numFmtId="164" fontId="0" fillId="0" borderId="0" xfId="0" applyNumberFormat="1"/>
    <xf numFmtId="14" fontId="1" fillId="3" borderId="1" xfId="0" applyNumberFormat="1" applyFont="1" applyFill="1" applyBorder="1" applyAlignment="1">
      <alignment horizontal="left" vertical="top"/>
    </xf>
    <xf numFmtId="0" fontId="1" fillId="3" borderId="1" xfId="0" applyFont="1" applyFill="1" applyBorder="1" applyAlignment="1">
      <alignment horizontal="left" vertical="top"/>
    </xf>
    <xf numFmtId="49" fontId="1" fillId="3" borderId="1" xfId="0" applyNumberFormat="1" applyFont="1" applyFill="1" applyBorder="1" applyAlignment="1">
      <alignment horizontal="left" vertical="top"/>
    </xf>
    <xf numFmtId="1" fontId="1" fillId="3" borderId="1" xfId="0" applyNumberFormat="1" applyFont="1" applyFill="1" applyBorder="1" applyAlignment="1">
      <alignment horizontal="left" vertical="top"/>
    </xf>
    <xf numFmtId="164" fontId="1" fillId="3" borderId="1" xfId="0" applyNumberFormat="1" applyFont="1" applyFill="1" applyBorder="1" applyAlignment="1">
      <alignment horizontal="left" vertical="top"/>
    </xf>
    <xf numFmtId="0" fontId="0" fillId="0" borderId="0" xfId="0" pivotButton="1"/>
    <xf numFmtId="0" fontId="0" fillId="0" borderId="0" xfId="0" applyAlignment="1">
      <alignment horizontal="left"/>
    </xf>
    <xf numFmtId="0" fontId="10" fillId="0" borderId="0" xfId="0" applyFont="1"/>
    <xf numFmtId="49" fontId="11" fillId="3" borderId="1" xfId="0" applyNumberFormat="1" applyFont="1" applyFill="1" applyBorder="1" applyAlignment="1">
      <alignment horizontal="left" vertical="top"/>
    </xf>
    <xf numFmtId="0" fontId="12" fillId="4" borderId="0" xfId="0" applyFont="1" applyFill="1" applyAlignment="1">
      <alignment horizontal="center" vertical="top"/>
    </xf>
    <xf numFmtId="0" fontId="13" fillId="0" borderId="0" xfId="0" applyFont="1" applyAlignment="1">
      <alignment horizontal="center" vertical="top"/>
    </xf>
    <xf numFmtId="0" fontId="13" fillId="0" borderId="0" xfId="0" applyFont="1"/>
    <xf numFmtId="0" fontId="10" fillId="0" borderId="0" xfId="0" applyFont="1" applyAlignment="1">
      <alignment horizontal="left"/>
    </xf>
    <xf numFmtId="1" fontId="0" fillId="0" borderId="0" xfId="0" applyNumberFormat="1" applyAlignment="1">
      <alignment horizontal="left"/>
    </xf>
    <xf numFmtId="0" fontId="9" fillId="5" borderId="0" xfId="0" applyFont="1" applyFill="1" applyAlignment="1">
      <alignment horizontal="center" vertical="center"/>
    </xf>
    <xf numFmtId="0" fontId="14" fillId="6" borderId="2" xfId="0" applyFont="1" applyFill="1" applyBorder="1" applyAlignment="1">
      <alignment horizontal="center" vertical="center"/>
    </xf>
    <xf numFmtId="0" fontId="14" fillId="6" borderId="3" xfId="0" applyFont="1" applyFill="1" applyBorder="1" applyAlignment="1">
      <alignment horizontal="center" vertical="center"/>
    </xf>
    <xf numFmtId="0" fontId="15" fillId="6" borderId="6" xfId="0" applyFont="1" applyFill="1" applyBorder="1" applyAlignment="1">
      <alignment horizontal="center" vertical="center"/>
    </xf>
    <xf numFmtId="0" fontId="15" fillId="6" borderId="1" xfId="0" applyFont="1" applyFill="1" applyBorder="1" applyAlignment="1">
      <alignment horizontal="center" vertical="center"/>
    </xf>
    <xf numFmtId="0" fontId="0" fillId="2" borderId="0" xfId="0" applyFont="1" applyFill="1"/>
    <xf numFmtId="0" fontId="0" fillId="0" borderId="0" xfId="0" applyFont="1"/>
    <xf numFmtId="0" fontId="0" fillId="0" borderId="0" xfId="0" applyNumberFormat="1"/>
    <xf numFmtId="0" fontId="16" fillId="7" borderId="4" xfId="0" applyFont="1" applyFill="1" applyBorder="1" applyAlignment="1">
      <alignment horizontal="center"/>
    </xf>
    <xf numFmtId="0" fontId="17" fillId="7" borderId="5" xfId="0" applyFont="1" applyFill="1" applyBorder="1" applyAlignment="1">
      <alignment horizontal="center"/>
    </xf>
    <xf numFmtId="1" fontId="16" fillId="7" borderId="4" xfId="0" applyNumberFormat="1" applyFont="1" applyFill="1" applyBorder="1" applyAlignment="1">
      <alignment horizontal="center"/>
    </xf>
    <xf numFmtId="1" fontId="17" fillId="7" borderId="5" xfId="0" applyNumberFormat="1" applyFont="1" applyFill="1" applyBorder="1" applyAlignment="1">
      <alignment horizontal="center"/>
    </xf>
  </cellXfs>
  <cellStyles count="1">
    <cellStyle name="Normal" xfId="0" builtinId="0"/>
  </cellStyles>
  <dxfs count="14">
    <dxf>
      <font>
        <b val="0"/>
        <i val="0"/>
        <strike val="0"/>
        <sz val="12"/>
        <name val="Aptos Narrow"/>
        <family val="2"/>
        <scheme val="major"/>
      </font>
    </dxf>
    <dxf>
      <font>
        <b val="0"/>
        <i val="0"/>
        <strike val="0"/>
        <condense val="0"/>
        <extend val="0"/>
        <outline val="0"/>
        <shadow val="0"/>
        <u val="none"/>
        <vertAlign val="baseline"/>
        <sz val="12"/>
        <color theme="1"/>
        <name val="Aptos Narrow"/>
        <family val="2"/>
        <scheme val="major"/>
      </font>
    </dxf>
    <dxf>
      <font>
        <b val="0"/>
        <i val="0"/>
        <strike val="0"/>
        <condense val="0"/>
        <extend val="0"/>
        <outline val="0"/>
        <shadow val="0"/>
        <u val="none"/>
        <vertAlign val="baseline"/>
        <sz val="12"/>
        <color theme="1"/>
        <name val="Aptos Narrow"/>
        <family val="2"/>
        <scheme val="major"/>
      </font>
    </dxf>
    <dxf>
      <font>
        <b val="0"/>
        <i val="0"/>
        <strike val="0"/>
        <condense val="0"/>
        <extend val="0"/>
        <outline val="0"/>
        <shadow val="0"/>
        <u val="none"/>
        <vertAlign val="baseline"/>
        <sz val="12"/>
        <color theme="1"/>
        <name val="Aptos Narrow"/>
        <family val="2"/>
        <scheme val="major"/>
      </font>
    </dxf>
    <dxf>
      <font>
        <b val="0"/>
        <i val="0"/>
        <strike val="0"/>
        <condense val="0"/>
        <extend val="0"/>
        <outline val="0"/>
        <shadow val="0"/>
        <u val="none"/>
        <vertAlign val="baseline"/>
        <sz val="12"/>
        <color theme="1"/>
        <name val="Aptos Narrow"/>
        <family val="2"/>
        <scheme val="major"/>
      </font>
    </dxf>
    <dxf>
      <font>
        <b val="0"/>
        <i val="0"/>
        <strike val="0"/>
        <condense val="0"/>
        <extend val="0"/>
        <outline val="0"/>
        <shadow val="0"/>
        <u val="none"/>
        <vertAlign val="baseline"/>
        <sz val="12"/>
        <color theme="1"/>
        <name val="Aptos Narrow"/>
        <family val="2"/>
        <scheme val="major"/>
      </font>
    </dxf>
    <dxf>
      <numFmt numFmtId="164" formatCode="&quot;$&quot;#,##0.00"/>
    </dxf>
    <dxf>
      <numFmt numFmtId="19" formatCode="m/d/yyyy"/>
    </dxf>
    <dxf>
      <numFmt numFmtId="1" formatCode="0"/>
    </dxf>
    <dxf>
      <numFmt numFmtId="1" formatCode="0"/>
    </dxf>
    <dxf>
      <numFmt numFmtId="1" formatCode="0"/>
    </dxf>
    <dxf>
      <numFmt numFmtId="19" formatCode="m/d/yyyy"/>
    </dxf>
    <dxf>
      <font>
        <b val="0"/>
        <i val="0"/>
        <strike val="0"/>
        <condense val="0"/>
        <extend val="0"/>
        <outline val="0"/>
        <shadow val="0"/>
        <u val="none"/>
        <vertAlign val="baseline"/>
        <sz val="12"/>
        <color theme="1"/>
        <name val="Aptos Narrow"/>
        <family val="2"/>
        <scheme val="major"/>
      </font>
    </dxf>
    <dxf>
      <font>
        <b/>
        <i val="0"/>
        <strike val="0"/>
        <condense val="0"/>
        <extend val="0"/>
        <outline val="0"/>
        <shadow val="0"/>
        <u val="none"/>
        <vertAlign val="baseline"/>
        <sz val="12"/>
        <color theme="1"/>
        <name val="Aptos Narrow"/>
        <family val="2"/>
        <scheme val="major"/>
      </font>
      <fill>
        <patternFill patternType="solid">
          <fgColor indexed="64"/>
          <bgColor theme="5" tint="0.59999389629810485"/>
        </patternFill>
      </fill>
      <alignment horizontal="center" vertical="top" textRotation="0" wrapText="0" indent="0" justifyLastLine="0" shrinkToFit="0" readingOrder="0"/>
    </dxf>
  </dxfs>
  <tableStyles count="1" defaultTableStyle="TableStyleMedium2" defaultPivotStyle="PivotStyleLight16">
    <tableStyle name="Slicer Style 1" pivot="0" table="0" count="1" xr9:uid="{C9C21E78-83F0-4BCD-B371-93D9DB65F200}">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Table" Target="pivotTables/pivotTable2.xml"/><Relationship Id="rId26" Type="http://schemas.openxmlformats.org/officeDocument/2006/relationships/styles" Target="styles.xml"/><Relationship Id="rId39" Type="http://schemas.openxmlformats.org/officeDocument/2006/relationships/customXml" Target="../customXml/item9.xml"/><Relationship Id="rId21" Type="http://schemas.openxmlformats.org/officeDocument/2006/relationships/pivotTable" Target="pivotTables/pivotTable5.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11/relationships/timelineCache" Target="timelineCaches/timelineCache1.xml"/><Relationship Id="rId28" Type="http://schemas.openxmlformats.org/officeDocument/2006/relationships/sheetMetadata" Target="metadata.xml"/><Relationship Id="rId36" Type="http://schemas.openxmlformats.org/officeDocument/2006/relationships/customXml" Target="../customXml/item6.xml"/><Relationship Id="rId10" Type="http://schemas.microsoft.com/office/2007/relationships/slicerCache" Target="slicerCaches/slicerCache2.xml"/><Relationship Id="rId19" Type="http://schemas.openxmlformats.org/officeDocument/2006/relationships/pivotTable" Target="pivotTables/pivotTable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9.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Table" Target="pivotTables/pivotTable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Table" Target="pivotTables/pivotTable4.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[JustLoan dataset (2) (version 1).xlsb.xlsx]PivotChartTable1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Loan Amount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dLbl>
          <c:idx val="0"/>
          <c:layout>
            <c:manualLayout>
              <c:x val="0.14314115308151093"/>
              <c:y val="-5.8700209643605873E-2"/>
            </c:manualLayout>
          </c:layout>
          <c:tx>
            <c:rich>
              <a:bodyPr/>
              <a:lstStyle/>
              <a:p>
                <a:fld id="{C22899AF-D83B-4308-8193-996A11E72162}"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Lst>
        </c:dLbl>
      </c:pivotFmt>
      <c:pivotFmt>
        <c:idx val="5"/>
        <c:dLbl>
          <c:idx val="0"/>
          <c:layout>
            <c:manualLayout>
              <c:x val="-0.11928429423459247"/>
              <c:y val="-8.8050314465408799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dLbl>
          <c:idx val="0"/>
          <c:layout>
            <c:manualLayout>
              <c:x val="-7.9522862823061622E-3"/>
              <c:y val="0.12578616352201258"/>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
              <c:strCache>
                <c:ptCount val="1"/>
                <c:pt idx="0">
                  <c:v>Total</c:v>
                </c:pt>
              </c:strCache>
            </c:strRef>
          </c:tx>
          <c:spPr>
            <a:effectLst/>
          </c:spPr>
          <c:dPt>
            <c:idx val="0"/>
            <c:bubble3D val="0"/>
            <c:spPr>
              <a:solidFill>
                <a:schemeClr val="accent1">
                  <a:shade val="65000"/>
                </a:schemeClr>
              </a:solidFill>
              <a:ln>
                <a:noFill/>
              </a:ln>
              <a:effectLst/>
            </c:spPr>
            <c:extLst>
              <c:ext xmlns:c16="http://schemas.microsoft.com/office/drawing/2014/chart" uri="{C3380CC4-5D6E-409C-BE32-E72D297353CC}">
                <c16:uniqueId val="{0000000A-6235-42C6-AF57-7F90407DCFAD}"/>
              </c:ext>
            </c:extLst>
          </c:dPt>
          <c:dPt>
            <c:idx val="1"/>
            <c:bubble3D val="0"/>
            <c:spPr>
              <a:solidFill>
                <a:schemeClr val="accent1"/>
              </a:solidFill>
              <a:ln>
                <a:noFill/>
              </a:ln>
              <a:effectLst/>
            </c:spPr>
            <c:extLst>
              <c:ext xmlns:c16="http://schemas.microsoft.com/office/drawing/2014/chart" uri="{C3380CC4-5D6E-409C-BE32-E72D297353CC}">
                <c16:uniqueId val="{0000000C-6235-42C6-AF57-7F90407DCFAD}"/>
              </c:ext>
            </c:extLst>
          </c:dPt>
          <c:dPt>
            <c:idx val="2"/>
            <c:bubble3D val="0"/>
            <c:spPr>
              <a:solidFill>
                <a:schemeClr val="accent1">
                  <a:tint val="65000"/>
                </a:schemeClr>
              </a:solidFill>
              <a:ln>
                <a:noFill/>
              </a:ln>
              <a:effectLst/>
            </c:spPr>
            <c:extLst>
              <c:ext xmlns:c16="http://schemas.microsoft.com/office/drawing/2014/chart" uri="{C3380CC4-5D6E-409C-BE32-E72D297353CC}">
                <c16:uniqueId val="{0000000B-6235-42C6-AF57-7F90407DCFAD}"/>
              </c:ext>
            </c:extLst>
          </c:dPt>
          <c:dLbls>
            <c:dLbl>
              <c:idx val="0"/>
              <c:layout>
                <c:manualLayout>
                  <c:x val="0.14314115308151093"/>
                  <c:y val="-5.8700209643605873E-2"/>
                </c:manualLayout>
              </c:layout>
              <c:tx>
                <c:rich>
                  <a:bodyPr/>
                  <a:lstStyle/>
                  <a:p>
                    <a:fld id="{C22899AF-D83B-4308-8193-996A11E72162}"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A-6235-42C6-AF57-7F90407DCFAD}"/>
                </c:ext>
              </c:extLst>
            </c:dLbl>
            <c:dLbl>
              <c:idx val="1"/>
              <c:layout>
                <c:manualLayout>
                  <c:x val="-7.9522862823061622E-3"/>
                  <c:y val="0.12578616352201258"/>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6235-42C6-AF57-7F90407DCFAD}"/>
                </c:ext>
              </c:extLst>
            </c:dLbl>
            <c:dLbl>
              <c:idx val="2"/>
              <c:layout>
                <c:manualLayout>
                  <c:x val="-0.11928429423459247"/>
                  <c:y val="-8.805031446540879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6235-42C6-AF57-7F90407DCFAD}"/>
                </c:ext>
              </c:extLst>
            </c:dLbl>
            <c:spPr>
              <a:noFill/>
              <a:ln>
                <a:noFill/>
              </a:ln>
              <a:effectLst/>
            </c:spPr>
            <c:txPr>
              <a:bodyPr rot="0" spcFirstLastPara="1" vertOverflow="ellipsis" vert="horz" wrap="square" lIns="38100" tIns="19050" rIns="38100" bIns="19050" anchor="b" anchorCtr="0">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
              <c:strCache>
                <c:ptCount val="3"/>
                <c:pt idx="0">
                  <c:v>Car</c:v>
                </c:pt>
                <c:pt idx="1">
                  <c:v>Education</c:v>
                </c:pt>
                <c:pt idx="2">
                  <c:v>Personal</c:v>
                </c:pt>
              </c:strCache>
            </c:strRef>
          </c:cat>
          <c:val>
            <c:numRef>
              <c:f/>
              <c:numCache>
                <c:formatCode>General</c:formatCode>
                <c:ptCount val="3"/>
                <c:pt idx="0">
                  <c:v>271362116</c:v>
                </c:pt>
                <c:pt idx="1">
                  <c:v>271248158</c:v>
                </c:pt>
                <c:pt idx="2">
                  <c:v>279897271</c:v>
                </c:pt>
              </c:numCache>
            </c:numRef>
          </c:val>
          <c:extLst>
            <c:ext xmlns:c16="http://schemas.microsoft.com/office/drawing/2014/chart" uri="{C3380CC4-5D6E-409C-BE32-E72D297353CC}">
              <c16:uniqueId val="{00000007-6235-42C6-AF57-7F90407DCFA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Monthly Loan Trend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77337543</c:v>
              </c:pt>
              <c:pt idx="1">
                <c:v>75393920</c:v>
              </c:pt>
              <c:pt idx="2">
                <c:v>81949442</c:v>
              </c:pt>
              <c:pt idx="3">
                <c:v>71475896</c:v>
              </c:pt>
              <c:pt idx="4">
                <c:v>84087828</c:v>
              </c:pt>
              <c:pt idx="5">
                <c:v>74287048</c:v>
              </c:pt>
              <c:pt idx="6">
                <c:v>69827375</c:v>
              </c:pt>
              <c:pt idx="7">
                <c:v>62308924</c:v>
              </c:pt>
              <c:pt idx="8">
                <c:v>76800146</c:v>
              </c:pt>
              <c:pt idx="9">
                <c:v>65564078</c:v>
              </c:pt>
              <c:pt idx="10">
                <c:v>65337978</c:v>
              </c:pt>
              <c:pt idx="11">
                <c:v>18137367</c:v>
              </c:pt>
            </c:numLit>
          </c:val>
          <c:smooth val="0"/>
          <c:extLst>
            <c:ext xmlns:c16="http://schemas.microsoft.com/office/drawing/2014/chart" uri="{C3380CC4-5D6E-409C-BE32-E72D297353CC}">
              <c16:uniqueId val="{00000002-0145-4DF6-A6FD-7653D6393591}"/>
            </c:ext>
          </c:extLst>
        </c:ser>
        <c:dLbls>
          <c:dLblPos val="t"/>
          <c:showLegendKey val="0"/>
          <c:showVal val="0"/>
          <c:showCatName val="0"/>
          <c:showSerName val="0"/>
          <c:showPercent val="0"/>
          <c:showBubbleSize val="0"/>
        </c:dLbls>
        <c:marker val="1"/>
        <c:smooth val="0"/>
        <c:axId val="1875493103"/>
        <c:axId val="1866891375"/>
      </c:lineChart>
      <c:catAx>
        <c:axId val="187549310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66891375"/>
        <c:crosses val="autoZero"/>
        <c:auto val="1"/>
        <c:lblAlgn val="ctr"/>
        <c:lblOffset val="100"/>
        <c:noMultiLvlLbl val="0"/>
        <c:extLst>
          <c:ext xmlns:c15="http://schemas.microsoft.com/office/drawing/2012/chart" uri="{F40574EE-89B7-4290-83BB-5DA773EAF853}">
            <c15:numFmt c:formatCode="General" c:sourceLinked="1"/>
          </c:ext>
        </c:extLst>
      </c:catAx>
      <c:valAx>
        <c:axId val="186689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75493103"/>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extLst>
    <c:ext xmlns:c15="http://schemas.microsoft.com/office/drawing/2012/chart" uri="{723BEF56-08C2-4564-9609-F4CBC75E7E54}">
      <c15:pivotSource>
        <c15:name>[Loan_Application_Analytics_Dashboard.xlsx]PivotChartTable2</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Loan Amount by Department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Finance</c:v>
              </c:pt>
              <c:pt idx="1">
                <c:v>Growth</c:v>
              </c:pt>
              <c:pt idx="2">
                <c:v>Marketing</c:v>
              </c:pt>
              <c:pt idx="3">
                <c:v>Operation</c:v>
              </c:pt>
              <c:pt idx="4">
                <c:v>Sales</c:v>
              </c:pt>
              <c:pt idx="5">
                <c:v>Strategy</c:v>
              </c:pt>
            </c:strLit>
          </c:cat>
          <c:val>
            <c:numLit>
              <c:formatCode>General</c:formatCode>
              <c:ptCount val="6"/>
              <c:pt idx="0">
                <c:v>141581866</c:v>
              </c:pt>
              <c:pt idx="1">
                <c:v>144819038</c:v>
              </c:pt>
              <c:pt idx="2">
                <c:v>147524030</c:v>
              </c:pt>
              <c:pt idx="3">
                <c:v>132281589</c:v>
              </c:pt>
              <c:pt idx="4">
                <c:v>131375403</c:v>
              </c:pt>
              <c:pt idx="5">
                <c:v>124925619</c:v>
              </c:pt>
            </c:numLit>
          </c:val>
          <c:extLst>
            <c:ext xmlns:c16="http://schemas.microsoft.com/office/drawing/2014/chart" uri="{C3380CC4-5D6E-409C-BE32-E72D297353CC}">
              <c16:uniqueId val="{00000000-B294-4CE5-96DD-CD70553B1093}"/>
            </c:ext>
          </c:extLst>
        </c:ser>
        <c:dLbls>
          <c:dLblPos val="outEnd"/>
          <c:showLegendKey val="0"/>
          <c:showVal val="1"/>
          <c:showCatName val="0"/>
          <c:showSerName val="0"/>
          <c:showPercent val="0"/>
          <c:showBubbleSize val="0"/>
        </c:dLbls>
        <c:gapWidth val="219"/>
        <c:axId val="1985288639"/>
        <c:axId val="1990476207"/>
      </c:barChart>
      <c:catAx>
        <c:axId val="1985288639"/>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90476207"/>
        <c:crosses val="autoZero"/>
        <c:auto val="1"/>
        <c:lblAlgn val="ctr"/>
        <c:lblOffset val="100"/>
        <c:noMultiLvlLbl val="0"/>
        <c:extLst>
          <c:ext xmlns:c15="http://schemas.microsoft.com/office/drawing/2012/chart" uri="{F40574EE-89B7-4290-83BB-5DA773EAF853}">
            <c15:numFmt c:formatCode="General" c:sourceLinked="1"/>
          </c:ext>
        </c:extLst>
      </c:catAx>
      <c:valAx>
        <c:axId val="199047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85288639"/>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extLst>
    <c:ext xmlns:c15="http://schemas.microsoft.com/office/drawing/2012/chart" uri="{723BEF56-08C2-4564-9609-F4CBC75E7E54}">
      <c15:pivotSource>
        <c15:name>[Loan_Application_Analytics_Dashboard.xlsx]PivotChartTable3</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solidFill>
                  <a:sysClr val="windowText" lastClr="000000"/>
                </a:solidFill>
              </a:rPr>
              <a:t>Credit Score Distribution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Excellent</c:v>
              </c:pt>
              <c:pt idx="1">
                <c:v>Good</c:v>
              </c:pt>
            </c:strLit>
          </c:cat>
          <c:val>
            <c:numLit>
              <c:formatCode>General</c:formatCode>
              <c:ptCount val="2"/>
              <c:pt idx="0">
                <c:v>532</c:v>
              </c:pt>
              <c:pt idx="1">
                <c:v>563</c:v>
              </c:pt>
            </c:numLit>
          </c:val>
          <c:extLst>
            <c:ext xmlns:c16="http://schemas.microsoft.com/office/drawing/2014/chart" uri="{C3380CC4-5D6E-409C-BE32-E72D297353CC}">
              <c16:uniqueId val="{00000000-1B55-4F64-B1F2-1C925FA67E16}"/>
            </c:ext>
          </c:extLst>
        </c:ser>
        <c:dLbls>
          <c:dLblPos val="outEnd"/>
          <c:showLegendKey val="0"/>
          <c:showVal val="1"/>
          <c:showCatName val="0"/>
          <c:showSerName val="0"/>
          <c:showPercent val="0"/>
          <c:showBubbleSize val="0"/>
        </c:dLbls>
        <c:gapWidth val="219"/>
        <c:axId val="1877503375"/>
        <c:axId val="1877502415"/>
      </c:barChart>
      <c:catAx>
        <c:axId val="187750337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77502415"/>
        <c:crosses val="autoZero"/>
        <c:auto val="1"/>
        <c:lblAlgn val="ctr"/>
        <c:lblOffset val="100"/>
        <c:noMultiLvlLbl val="0"/>
        <c:extLst>
          <c:ext xmlns:c15="http://schemas.microsoft.com/office/drawing/2012/chart" uri="{F40574EE-89B7-4290-83BB-5DA773EAF853}">
            <c15:numFmt c:formatCode="General" c:sourceLinked="1"/>
          </c:ext>
        </c:extLst>
      </c:catAx>
      <c:valAx>
        <c:axId val="187750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7750337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extLst>
    <c:ext xmlns:c15="http://schemas.microsoft.com/office/drawing/2012/chart" uri="{723BEF56-08C2-4564-9609-F4CBC75E7E54}">
      <c15:pivotSource>
        <c15:name>[Loan_Application_Analytics_Dashboard.xlsx]PivotChartTable4</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ysClr val="windowText" lastClr="000000"/>
                </a:solidFill>
              </a:rPr>
              <a:t>Credit Risk Exposure Analysis</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Car</c:v>
          </c:tx>
          <c:spPr>
            <a:solidFill>
              <a:schemeClr val="accent1">
                <a:shade val="65000"/>
              </a:schemeClr>
            </a:solidFill>
            <a:ln>
              <a:noFill/>
            </a:ln>
            <a:effectLst/>
          </c:spPr>
          <c:invertIfNegative val="0"/>
          <c:cat>
            <c:strLit>
              <c:ptCount val="3"/>
              <c:pt idx="0">
                <c:v>High Risk</c:v>
              </c:pt>
              <c:pt idx="1">
                <c:v>Low Risk</c:v>
              </c:pt>
              <c:pt idx="2">
                <c:v>Medium Risk</c:v>
              </c:pt>
            </c:strLit>
          </c:cat>
          <c:val>
            <c:numLit>
              <c:formatCode>General</c:formatCode>
              <c:ptCount val="3"/>
              <c:pt idx="0">
                <c:v>122776216</c:v>
              </c:pt>
              <c:pt idx="1">
                <c:v>26161839</c:v>
              </c:pt>
              <c:pt idx="2">
                <c:v>122424061</c:v>
              </c:pt>
            </c:numLit>
          </c:val>
          <c:extLst>
            <c:ext xmlns:c16="http://schemas.microsoft.com/office/drawing/2014/chart" uri="{C3380CC4-5D6E-409C-BE32-E72D297353CC}">
              <c16:uniqueId val="{00000000-63F6-42C6-A5F9-6A28847F9317}"/>
            </c:ext>
          </c:extLst>
        </c:ser>
        <c:ser>
          <c:idx val="1"/>
          <c:order val="1"/>
          <c:tx>
            <c:v>Education</c:v>
          </c:tx>
          <c:spPr>
            <a:solidFill>
              <a:schemeClr val="accent1"/>
            </a:solidFill>
            <a:ln>
              <a:noFill/>
            </a:ln>
            <a:effectLst/>
          </c:spPr>
          <c:invertIfNegative val="0"/>
          <c:cat>
            <c:strLit>
              <c:ptCount val="3"/>
              <c:pt idx="0">
                <c:v>High Risk</c:v>
              </c:pt>
              <c:pt idx="1">
                <c:v>Low Risk</c:v>
              </c:pt>
              <c:pt idx="2">
                <c:v>Medium Risk</c:v>
              </c:pt>
            </c:strLit>
          </c:cat>
          <c:val>
            <c:numLit>
              <c:formatCode>General</c:formatCode>
              <c:ptCount val="3"/>
              <c:pt idx="0">
                <c:v>124765081</c:v>
              </c:pt>
              <c:pt idx="1">
                <c:v>28837452</c:v>
              </c:pt>
              <c:pt idx="2">
                <c:v>117645625</c:v>
              </c:pt>
            </c:numLit>
          </c:val>
          <c:extLst>
            <c:ext xmlns:c16="http://schemas.microsoft.com/office/drawing/2014/chart" uri="{C3380CC4-5D6E-409C-BE32-E72D297353CC}">
              <c16:uniqueId val="{00000001-63F6-42C6-A5F9-6A28847F9317}"/>
            </c:ext>
          </c:extLst>
        </c:ser>
        <c:ser>
          <c:idx val="2"/>
          <c:order val="2"/>
          <c:tx>
            <c:v>Personal</c:v>
          </c:tx>
          <c:spPr>
            <a:solidFill>
              <a:schemeClr val="accent1">
                <a:tint val="65000"/>
              </a:schemeClr>
            </a:solidFill>
            <a:ln>
              <a:noFill/>
            </a:ln>
            <a:effectLst/>
          </c:spPr>
          <c:invertIfNegative val="0"/>
          <c:cat>
            <c:strLit>
              <c:ptCount val="3"/>
              <c:pt idx="0">
                <c:v>High Risk</c:v>
              </c:pt>
              <c:pt idx="1">
                <c:v>Low Risk</c:v>
              </c:pt>
              <c:pt idx="2">
                <c:v>Medium Risk</c:v>
              </c:pt>
            </c:strLit>
          </c:cat>
          <c:val>
            <c:numLit>
              <c:formatCode>General</c:formatCode>
              <c:ptCount val="3"/>
              <c:pt idx="0">
                <c:v>139805341</c:v>
              </c:pt>
              <c:pt idx="1">
                <c:v>29369332</c:v>
              </c:pt>
              <c:pt idx="2">
                <c:v>110722598</c:v>
              </c:pt>
            </c:numLit>
          </c:val>
          <c:extLst>
            <c:ext xmlns:c16="http://schemas.microsoft.com/office/drawing/2014/chart" uri="{C3380CC4-5D6E-409C-BE32-E72D297353CC}">
              <c16:uniqueId val="{00000002-63F6-42C6-A5F9-6A28847F9317}"/>
            </c:ext>
          </c:extLst>
        </c:ser>
        <c:dLbls>
          <c:showLegendKey val="0"/>
          <c:showVal val="0"/>
          <c:showCatName val="0"/>
          <c:showSerName val="0"/>
          <c:showPercent val="0"/>
          <c:showBubbleSize val="0"/>
        </c:dLbls>
        <c:gapWidth val="219"/>
        <c:axId val="1992994543"/>
        <c:axId val="1992995503"/>
      </c:barChart>
      <c:catAx>
        <c:axId val="199299454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95503"/>
        <c:crosses val="autoZero"/>
        <c:auto val="1"/>
        <c:lblAlgn val="ctr"/>
        <c:lblOffset val="100"/>
        <c:noMultiLvlLbl val="0"/>
        <c:extLst>
          <c:ext xmlns:c15="http://schemas.microsoft.com/office/drawing/2012/chart" uri="{F40574EE-89B7-4290-83BB-5DA773EAF853}">
            <c15:numFmt c:formatCode="General" c:sourceLinked="1"/>
          </c:ext>
        </c:extLst>
      </c:catAx>
      <c:valAx>
        <c:axId val="199299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9454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[Loan_Application_Analytics_Dashboard.xlsx]PivotChartTable5</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Loan Amount vs EMI Defaults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0"/>
              <c:pt idx="0">
                <c:v>1</c:v>
              </c:pt>
              <c:pt idx="1">
                <c:v>2</c:v>
              </c:pt>
              <c:pt idx="2">
                <c:v>3</c:v>
              </c:pt>
              <c:pt idx="3">
                <c:v>4</c:v>
              </c:pt>
              <c:pt idx="4">
                <c:v>5</c:v>
              </c:pt>
              <c:pt idx="5">
                <c:v>6</c:v>
              </c:pt>
              <c:pt idx="6">
                <c:v>7</c:v>
              </c:pt>
              <c:pt idx="7">
                <c:v>8</c:v>
              </c:pt>
              <c:pt idx="8">
                <c:v>9</c:v>
              </c:pt>
              <c:pt idx="9">
                <c:v>10</c:v>
              </c:pt>
            </c:strLit>
          </c:cat>
          <c:val>
            <c:numLit>
              <c:formatCode>General</c:formatCode>
              <c:ptCount val="10"/>
              <c:pt idx="0">
                <c:v>92223497</c:v>
              </c:pt>
              <c:pt idx="1">
                <c:v>85150270</c:v>
              </c:pt>
              <c:pt idx="2">
                <c:v>98804121</c:v>
              </c:pt>
              <c:pt idx="3">
                <c:v>81847024</c:v>
              </c:pt>
              <c:pt idx="4">
                <c:v>77135995</c:v>
              </c:pt>
              <c:pt idx="5">
                <c:v>77508135</c:v>
              </c:pt>
              <c:pt idx="6">
                <c:v>72765634</c:v>
              </c:pt>
              <c:pt idx="7">
                <c:v>79760921</c:v>
              </c:pt>
              <c:pt idx="8">
                <c:v>78052951</c:v>
              </c:pt>
              <c:pt idx="9">
                <c:v>79258997</c:v>
              </c:pt>
            </c:numLit>
          </c:val>
          <c:smooth val="0"/>
          <c:extLst>
            <c:ext xmlns:c16="http://schemas.microsoft.com/office/drawing/2014/chart" uri="{C3380CC4-5D6E-409C-BE32-E72D297353CC}">
              <c16:uniqueId val="{00000000-9301-48C2-9BA8-2AC0C7DAE420}"/>
            </c:ext>
          </c:extLst>
        </c:ser>
        <c:dLbls>
          <c:showLegendKey val="0"/>
          <c:showVal val="0"/>
          <c:showCatName val="0"/>
          <c:showSerName val="0"/>
          <c:showPercent val="0"/>
          <c:showBubbleSize val="0"/>
        </c:dLbls>
        <c:marker val="1"/>
        <c:smooth val="0"/>
        <c:axId val="2008950815"/>
        <c:axId val="2008951295"/>
      </c:lineChart>
      <c:catAx>
        <c:axId val="20089508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951295"/>
        <c:crosses val="autoZero"/>
        <c:auto val="1"/>
        <c:lblAlgn val="ctr"/>
        <c:lblOffset val="100"/>
        <c:noMultiLvlLbl val="0"/>
        <c:extLst>
          <c:ext xmlns:c15="http://schemas.microsoft.com/office/drawing/2012/chart" uri="{F40574EE-89B7-4290-83BB-5DA773EAF853}">
            <c15:numFmt c:formatCode="General" c:sourceLinked="1"/>
          </c:ext>
        </c:extLst>
      </c:catAx>
      <c:valAx>
        <c:axId val="200895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95081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[Loan_Application_Analytics_Dashboard.xlsx]PivotChartTable6</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7</xdr:col>
      <xdr:colOff>9525</xdr:colOff>
      <xdr:row>14</xdr:row>
      <xdr:rowOff>200024</xdr:rowOff>
    </xdr:to>
    <xdr:graphicFrame macro="">
      <xdr:nvGraphicFramePr>
        <xdr:cNvPr id="2" name="Chart 1">
          <a:extLst>
            <a:ext uri="{FF2B5EF4-FFF2-40B4-BE49-F238E27FC236}">
              <a16:creationId xmlns:a16="http://schemas.microsoft.com/office/drawing/2014/main" id="{3DE0475A-5144-BE65-2D87-DBEFDE6D2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685799</xdr:colOff>
      <xdr:row>4</xdr:row>
      <xdr:rowOff>9525</xdr:rowOff>
    </xdr:from>
    <xdr:to>
      <xdr:col>13</xdr:col>
      <xdr:colOff>28574</xdr:colOff>
      <xdr:row>14</xdr:row>
      <xdr:rowOff>190500</xdr:rowOff>
    </xdr:to>
    <xdr:graphicFrame macro="">
      <xdr:nvGraphicFramePr>
        <xdr:cNvPr id="9" name="Chart 8">
          <a:extLst>
            <a:ext uri="{FF2B5EF4-FFF2-40B4-BE49-F238E27FC236}">
              <a16:creationId xmlns:a16="http://schemas.microsoft.com/office/drawing/2014/main" id="{57CE0B8A-3808-731D-CCB1-D83122E42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14</xdr:row>
      <xdr:rowOff>190500</xdr:rowOff>
    </xdr:from>
    <xdr:to>
      <xdr:col>7</xdr:col>
      <xdr:colOff>0</xdr:colOff>
      <xdr:row>25</xdr:row>
      <xdr:rowOff>190501</xdr:rowOff>
    </xdr:to>
    <xdr:graphicFrame macro="">
      <xdr:nvGraphicFramePr>
        <xdr:cNvPr id="10" name="Chart 9">
          <a:extLst>
            <a:ext uri="{FF2B5EF4-FFF2-40B4-BE49-F238E27FC236}">
              <a16:creationId xmlns:a16="http://schemas.microsoft.com/office/drawing/2014/main" id="{C54B04CE-30F5-F024-DD57-B66DB7B92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676276</xdr:colOff>
      <xdr:row>15</xdr:row>
      <xdr:rowOff>0</xdr:rowOff>
    </xdr:from>
    <xdr:to>
      <xdr:col>13</xdr:col>
      <xdr:colOff>19050</xdr:colOff>
      <xdr:row>26</xdr:row>
      <xdr:rowOff>0</xdr:rowOff>
    </xdr:to>
    <xdr:graphicFrame macro="">
      <xdr:nvGraphicFramePr>
        <xdr:cNvPr id="11" name="Chart 10">
          <a:extLst>
            <a:ext uri="{FF2B5EF4-FFF2-40B4-BE49-F238E27FC236}">
              <a16:creationId xmlns:a16="http://schemas.microsoft.com/office/drawing/2014/main" id="{22E37DB6-ECB2-C198-A26B-8BEB16778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9525</xdr:colOff>
      <xdr:row>26</xdr:row>
      <xdr:rowOff>0</xdr:rowOff>
    </xdr:from>
    <xdr:to>
      <xdr:col>7</xdr:col>
      <xdr:colOff>0</xdr:colOff>
      <xdr:row>37</xdr:row>
      <xdr:rowOff>0</xdr:rowOff>
    </xdr:to>
    <xdr:graphicFrame macro="">
      <xdr:nvGraphicFramePr>
        <xdr:cNvPr id="12" name="Chart 11">
          <a:extLst>
            <a:ext uri="{FF2B5EF4-FFF2-40B4-BE49-F238E27FC236}">
              <a16:creationId xmlns:a16="http://schemas.microsoft.com/office/drawing/2014/main" id="{79A4A8E1-01FE-DD8D-9983-E29445D52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xdr:colOff>
      <xdr:row>26</xdr:row>
      <xdr:rowOff>1</xdr:rowOff>
    </xdr:from>
    <xdr:to>
      <xdr:col>13</xdr:col>
      <xdr:colOff>28575</xdr:colOff>
      <xdr:row>36</xdr:row>
      <xdr:rowOff>190501</xdr:rowOff>
    </xdr:to>
    <xdr:graphicFrame macro="">
      <xdr:nvGraphicFramePr>
        <xdr:cNvPr id="13" name="Chart 12">
          <a:extLst>
            <a:ext uri="{FF2B5EF4-FFF2-40B4-BE49-F238E27FC236}">
              <a16:creationId xmlns:a16="http://schemas.microsoft.com/office/drawing/2014/main" id="{394BEE7C-DF95-5782-1E96-46C9955E1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38100</xdr:colOff>
      <xdr:row>9</xdr:row>
      <xdr:rowOff>38100</xdr:rowOff>
    </xdr:from>
    <xdr:to>
      <xdr:col>16</xdr:col>
      <xdr:colOff>0</xdr:colOff>
      <xdr:row>19</xdr:row>
      <xdr:rowOff>66675</xdr:rowOff>
    </xdr:to>
    <mc:AlternateContent xmlns:mc="http://schemas.openxmlformats.org/markup-compatibility/2006">
      <mc:Choice xmlns:a14="http://schemas.microsoft.com/office/drawing/2010/main" Requires="a14">
        <xdr:graphicFrame macro="">
          <xdr:nvGraphicFramePr>
            <xdr:cNvPr id="19" name="Department 2">
              <a:extLst>
                <a:ext uri="{FF2B5EF4-FFF2-40B4-BE49-F238E27FC236}">
                  <a16:creationId xmlns:a16="http://schemas.microsoft.com/office/drawing/2014/main" id="{8DAE4592-5C91-4F63-9DDB-EDDE2EC81999}"/>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8953500" y="1857375"/>
              <a:ext cx="2019300" cy="2028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xdr:colOff>
      <xdr:row>19</xdr:row>
      <xdr:rowOff>66675</xdr:rowOff>
    </xdr:from>
    <xdr:to>
      <xdr:col>16</xdr:col>
      <xdr:colOff>9525</xdr:colOff>
      <xdr:row>29</xdr:row>
      <xdr:rowOff>0</xdr:rowOff>
    </xdr:to>
    <mc:AlternateContent xmlns:mc="http://schemas.openxmlformats.org/markup-compatibility/2006">
      <mc:Choice xmlns:a14="http://schemas.microsoft.com/office/drawing/2010/main" Requires="a14">
        <xdr:graphicFrame macro="">
          <xdr:nvGraphicFramePr>
            <xdr:cNvPr id="20" name="Designation 2">
              <a:extLst>
                <a:ext uri="{FF2B5EF4-FFF2-40B4-BE49-F238E27FC236}">
                  <a16:creationId xmlns:a16="http://schemas.microsoft.com/office/drawing/2014/main" id="{3027DE65-163A-4489-B29E-50AC2F4C6277}"/>
                </a:ext>
              </a:extLst>
            </xdr:cNvPr>
            <xdr:cNvGraphicFramePr/>
          </xdr:nvGraphicFramePr>
          <xdr:xfrm>
            <a:off x="0" y="0"/>
            <a:ext cx="0" cy="0"/>
          </xdr:xfrm>
          <a:graphic>
            <a:graphicData uri="http://schemas.microsoft.com/office/drawing/2010/slicer">
              <sle:slicer xmlns:sle="http://schemas.microsoft.com/office/drawing/2010/slicer" name="Designation 2"/>
            </a:graphicData>
          </a:graphic>
        </xdr:graphicFrame>
      </mc:Choice>
      <mc:Fallback>
        <xdr:sp macro="" textlink="">
          <xdr:nvSpPr>
            <xdr:cNvPr id="0" name=""/>
            <xdr:cNvSpPr>
              <a:spLocks noTextEdit="1"/>
            </xdr:cNvSpPr>
          </xdr:nvSpPr>
          <xdr:spPr>
            <a:xfrm>
              <a:off x="8943975" y="3886200"/>
              <a:ext cx="2038350"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xdr:colOff>
      <xdr:row>29</xdr:row>
      <xdr:rowOff>0</xdr:rowOff>
    </xdr:from>
    <xdr:to>
      <xdr:col>16</xdr:col>
      <xdr:colOff>9525</xdr:colOff>
      <xdr:row>36</xdr:row>
      <xdr:rowOff>190500</xdr:rowOff>
    </xdr:to>
    <mc:AlternateContent xmlns:mc="http://schemas.openxmlformats.org/markup-compatibility/2006">
      <mc:Choice xmlns:a14="http://schemas.microsoft.com/office/drawing/2010/main" Requires="a14">
        <xdr:graphicFrame macro="">
          <xdr:nvGraphicFramePr>
            <xdr:cNvPr id="22" name="Loan Type">
              <a:extLst>
                <a:ext uri="{FF2B5EF4-FFF2-40B4-BE49-F238E27FC236}">
                  <a16:creationId xmlns:a16="http://schemas.microsoft.com/office/drawing/2014/main" id="{DF208665-12C5-B296-87A0-3E949040440C}"/>
                </a:ext>
              </a:extLst>
            </xdr:cNvPr>
            <xdr:cNvGraphicFramePr/>
          </xdr:nvGraphicFramePr>
          <xdr:xfrm>
            <a:off x="0" y="0"/>
            <a:ext cx="0" cy="0"/>
          </xdr:xfrm>
          <a:graphic>
            <a:graphicData uri="http://schemas.microsoft.com/office/drawing/2010/slicer">
              <sle:slicer xmlns:sle="http://schemas.microsoft.com/office/drawing/2010/slicer" name="Loan Type"/>
            </a:graphicData>
          </a:graphic>
        </xdr:graphicFrame>
      </mc:Choice>
      <mc:Fallback>
        <xdr:sp macro="" textlink="">
          <xdr:nvSpPr>
            <xdr:cNvPr id="0" name=""/>
            <xdr:cNvSpPr>
              <a:spLocks noTextEdit="1"/>
            </xdr:cNvSpPr>
          </xdr:nvSpPr>
          <xdr:spPr>
            <a:xfrm>
              <a:off x="8943975" y="5819775"/>
              <a:ext cx="203835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9526</xdr:colOff>
      <xdr:row>2</xdr:row>
      <xdr:rowOff>1</xdr:rowOff>
    </xdr:from>
    <xdr:to>
      <xdr:col>15</xdr:col>
      <xdr:colOff>676276</xdr:colOff>
      <xdr:row>9</xdr:row>
      <xdr:rowOff>28576</xdr:rowOff>
    </xdr:to>
    <mc:AlternateContent xmlns:mc="http://schemas.openxmlformats.org/markup-compatibility/2006">
      <mc:Choice xmlns:tsle="http://schemas.microsoft.com/office/drawing/2012/timeslicer" Requires="tsle">
        <xdr:graphicFrame macro="">
          <xdr:nvGraphicFramePr>
            <xdr:cNvPr id="23" name="Loan Application Date">
              <a:extLst>
                <a:ext uri="{FF2B5EF4-FFF2-40B4-BE49-F238E27FC236}">
                  <a16:creationId xmlns:a16="http://schemas.microsoft.com/office/drawing/2014/main" id="{A1727D30-A313-CDA8-4B82-46E148EBF238}"/>
                </a:ext>
              </a:extLst>
            </xdr:cNvPr>
            <xdr:cNvGraphicFramePr/>
          </xdr:nvGraphicFramePr>
          <xdr:xfrm>
            <a:off x="0" y="0"/>
            <a:ext cx="0" cy="0"/>
          </xdr:xfrm>
          <a:graphic>
            <a:graphicData uri="http://schemas.microsoft.com/office/drawing/2012/timeslicer">
              <tsle:timeslicer xmlns:tsle="http://schemas.microsoft.com/office/drawing/2012/timeslicer" name="Loan Application Date"/>
            </a:graphicData>
          </a:graphic>
        </xdr:graphicFrame>
      </mc:Choice>
      <mc:Fallback>
        <xdr:sp macro="" textlink="">
          <xdr:nvSpPr>
            <xdr:cNvPr id="0" name=""/>
            <xdr:cNvSpPr>
              <a:spLocks noTextEdit="1"/>
            </xdr:cNvSpPr>
          </xdr:nvSpPr>
          <xdr:spPr>
            <a:xfrm>
              <a:off x="8924926" y="400051"/>
              <a:ext cx="2038350" cy="1447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priya Vijaykumar" refreshedDate="46092.7176875" createdVersion="8" refreshedVersion="8" minRefreshableVersion="3" recordCount="1095" xr:uid="{5DDC9735-D6AE-4EE3-A66A-C2051C28BDE8}">
  <cacheSource type="worksheet">
    <worksheetSource name="Table2"/>
  </cacheSource>
  <cacheFields count="16">
    <cacheField name="Loan Application Date" numFmtId="14">
      <sharedItems containsSemiMixedTypes="0" containsNonDate="0" containsDate="1" containsString="0" minDate="2020-01-01T00:00:00" maxDate="2020-12-11T00:00:00"/>
    </cacheField>
    <cacheField name="CustomerID" numFmtId="0">
      <sharedItems containsSemiMixedTypes="0" containsString="0" containsNumber="1" containsInteger="1" minValue="10248" maxValue="99963"/>
    </cacheField>
    <cacheField name="Department - Designation" numFmtId="49">
      <sharedItems/>
    </cacheField>
    <cacheField name="Department" numFmtId="49">
      <sharedItems/>
    </cacheField>
    <cacheField name="Designation" numFmtId="49">
      <sharedItems/>
    </cacheField>
    <cacheField name="Credit Score" numFmtId="1">
      <sharedItems containsSemiMixedTypes="0" containsString="0" containsNumber="1" containsInteger="1" minValue="700" maxValue="800"/>
    </cacheField>
    <cacheField name="Past Loans" numFmtId="1">
      <sharedItems containsSemiMixedTypes="0" containsString="0" containsNumber="1" containsInteger="1" minValue="1" maxValue="5"/>
    </cacheField>
    <cacheField name="Emi Defaults" numFmtId="1">
      <sharedItems containsSemiMixedTypes="0" containsString="0" containsNumber="1" containsInteger="1" minValue="1" maxValue="10"/>
    </cacheField>
    <cacheField name="Date of Birth" numFmtId="14">
      <sharedItems containsSemiMixedTypes="0" containsNonDate="0" containsDate="1" containsString="0" minDate="1980-01-11T00:00:00" maxDate="1994-12-29T00:00:00"/>
    </cacheField>
    <cacheField name="New Loan Application amount" numFmtId="164">
      <sharedItems containsSemiMixedTypes="0" containsString="0" containsNumber="1" containsInteger="1" minValue="501499" maxValue="999597"/>
    </cacheField>
    <cacheField name="Loan Type" numFmtId="49">
      <sharedItems count="3">
        <s v="Education"/>
        <s v="Personal"/>
        <s v="Car"/>
      </sharedItems>
    </cacheField>
    <cacheField name="Year of Birth" numFmtId="0">
      <sharedItems containsSemiMixedTypes="0" containsString="0" containsNumber="1" containsInteger="1" minValue="1980" maxValue="1994"/>
    </cacheField>
    <cacheField name="Month of Loan Application" numFmtId="0">
      <sharedItems containsSemiMixedTypes="0" containsString="0" containsNumber="1" containsInteger="1" minValue="1" maxValue="12"/>
    </cacheField>
    <cacheField name="Age of customer" numFmtId="0">
      <sharedItems containsSemiMixedTypes="0" containsString="0" containsNumber="1" containsInteger="1" minValue="32" maxValue="46"/>
    </cacheField>
    <cacheField name="Credit Score Range" numFmtId="0">
      <sharedItems/>
    </cacheField>
    <cacheField name="Risk 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priya Vijaykumar" refreshedDate="46092.717966319447" createdVersion="8" refreshedVersion="8" minRefreshableVersion="3" recordCount="1095" xr:uid="{13CE6FF9-B807-4CF1-8E1D-1D6A770B5739}">
  <cacheSource type="worksheet">
    <worksheetSource ref="A1:P1096" sheet="Worked JustLoan dataset"/>
  </cacheSource>
  <cacheFields count="18">
    <cacheField name="Loan Application Date" numFmtId="14">
      <sharedItems containsSemiMixedTypes="0" containsNonDate="0" containsDate="1" containsString="0" minDate="2020-01-01T00:00:00" maxDate="2020-12-11T00:00:00" count="332">
        <d v="2020-08-26T00:00:00"/>
        <d v="2020-04-24T00:00:00"/>
        <d v="2020-09-25T00:00:00"/>
        <d v="2020-07-20T00:00:00"/>
        <d v="2020-01-17T00:00:00"/>
        <d v="2020-06-15T00:00:00"/>
        <d v="2020-03-29T00:00:00"/>
        <d v="2020-08-20T00:00:00"/>
        <d v="2020-04-05T00:00:00"/>
        <d v="2020-05-01T00:00:00"/>
        <d v="2020-11-23T00:00:00"/>
        <d v="2020-05-26T00:00:00"/>
        <d v="2020-02-04T00:00:00"/>
        <d v="2020-08-29T00:00:00"/>
        <d v="2020-03-11T00:00:00"/>
        <d v="2020-01-07T00:00:00"/>
        <d v="2020-06-03T00:00:00"/>
        <d v="2020-04-13T00:00:00"/>
        <d v="2020-08-15T00:00:00"/>
        <d v="2020-05-11T00:00:00"/>
        <d v="2020-02-07T00:00:00"/>
        <d v="2020-03-02T00:00:00"/>
        <d v="2020-07-30T00:00:00"/>
        <d v="2020-04-26T00:00:00"/>
        <d v="2020-09-07T00:00:00"/>
        <d v="2020-10-28T00:00:00"/>
        <d v="2020-11-10T00:00:00"/>
        <d v="2020-01-03T00:00:00"/>
        <d v="2020-10-31T00:00:00"/>
        <d v="2020-05-08T00:00:00"/>
        <d v="2020-03-04T00:00:00"/>
        <d v="2020-04-08T00:00:00"/>
        <d v="2020-12-10T00:00:00"/>
        <d v="2020-01-27T00:00:00"/>
        <d v="2020-10-15T00:00:00"/>
        <d v="2020-10-19T00:00:00"/>
        <d v="2020-07-10T00:00:00"/>
        <d v="2020-11-21T00:00:00"/>
        <d v="2020-01-06T00:00:00"/>
        <d v="2020-03-14T00:00:00"/>
        <d v="2020-08-08T00:00:00"/>
        <d v="2020-01-19T00:00:00"/>
        <d v="2020-09-05T00:00:00"/>
        <d v="2020-02-29T00:00:00"/>
        <d v="2020-09-01T00:00:00"/>
        <d v="2020-04-14T00:00:00"/>
        <d v="2020-02-22T00:00:00"/>
        <d v="2020-02-16T00:00:00"/>
        <d v="2020-07-19T00:00:00"/>
        <d v="2020-11-07T00:00:00"/>
        <d v="2020-10-08T00:00:00"/>
        <d v="2020-02-21T00:00:00"/>
        <d v="2020-04-12T00:00:00"/>
        <d v="2020-09-12T00:00:00"/>
        <d v="2020-03-26T00:00:00"/>
        <d v="2020-02-09T00:00:00"/>
        <d v="2020-07-12T00:00:00"/>
        <d v="2020-09-16T00:00:00"/>
        <d v="2020-06-18T00:00:00"/>
        <d v="2020-03-13T00:00:00"/>
        <d v="2020-01-20T00:00:00"/>
        <d v="2020-04-16T00:00:00"/>
        <d v="2020-05-14T00:00:00"/>
        <d v="2020-11-09T00:00:00"/>
        <d v="2020-06-01T00:00:00"/>
        <d v="2020-04-04T00:00:00"/>
        <d v="2020-06-08T00:00:00"/>
        <d v="2020-11-17T00:00:00"/>
        <d v="2020-02-18T00:00:00"/>
        <d v="2020-09-26T00:00:00"/>
        <d v="2020-09-14T00:00:00"/>
        <d v="2020-08-03T00:00:00"/>
        <d v="2020-02-11T00:00:00"/>
        <d v="2020-02-19T00:00:00"/>
        <d v="2020-08-24T00:00:00"/>
        <d v="2020-05-12T00:00:00"/>
        <d v="2020-06-16T00:00:00"/>
        <d v="2020-09-28T00:00:00"/>
        <d v="2020-07-17T00:00:00"/>
        <d v="2020-04-01T00:00:00"/>
        <d v="2020-04-03T00:00:00"/>
        <d v="2020-01-30T00:00:00"/>
        <d v="2020-07-26T00:00:00"/>
        <d v="2020-01-08T00:00:00"/>
        <d v="2020-10-25T00:00:00"/>
        <d v="2020-07-24T00:00:00"/>
        <d v="2020-09-27T00:00:00"/>
        <d v="2020-09-03T00:00:00"/>
        <d v="2020-09-10T00:00:00"/>
        <d v="2020-01-05T00:00:00"/>
        <d v="2020-07-18T00:00:00"/>
        <d v="2020-07-06T00:00:00"/>
        <d v="2020-05-07T00:00:00"/>
        <d v="2020-07-02T00:00:00"/>
        <d v="2020-05-17T00:00:00"/>
        <d v="2020-02-28T00:00:00"/>
        <d v="2020-12-03T00:00:00"/>
        <d v="2020-04-06T00:00:00"/>
        <d v="2020-03-09T00:00:00"/>
        <d v="2020-01-04T00:00:00"/>
        <d v="2020-10-22T00:00:00"/>
        <d v="2020-02-14T00:00:00"/>
        <d v="2020-01-14T00:00:00"/>
        <d v="2020-04-27T00:00:00"/>
        <d v="2020-11-12T00:00:00"/>
        <d v="2020-10-20T00:00:00"/>
        <d v="2020-11-29T00:00:00"/>
        <d v="2020-10-09T00:00:00"/>
        <d v="2020-01-10T00:00:00"/>
        <d v="2020-11-11T00:00:00"/>
        <d v="2020-06-13T00:00:00"/>
        <d v="2020-01-09T00:00:00"/>
        <d v="2020-02-13T00:00:00"/>
        <d v="2020-09-09T00:00:00"/>
        <d v="2020-07-28T00:00:00"/>
        <d v="2020-06-21T00:00:00"/>
        <d v="2020-10-06T00:00:00"/>
        <d v="2020-06-17T00:00:00"/>
        <d v="2020-09-23T00:00:00"/>
        <d v="2020-04-17T00:00:00"/>
        <d v="2020-06-28T00:00:00"/>
        <d v="2020-06-07T00:00:00"/>
        <d v="2020-05-19T00:00:00"/>
        <d v="2020-03-07T00:00:00"/>
        <d v="2020-10-27T00:00:00"/>
        <d v="2020-07-04T00:00:00"/>
        <d v="2020-05-25T00:00:00"/>
        <d v="2020-03-18T00:00:00"/>
        <d v="2020-03-24T00:00:00"/>
        <d v="2020-06-10T00:00:00"/>
        <d v="2020-05-21T00:00:00"/>
        <d v="2020-03-16T00:00:00"/>
        <d v="2020-07-25T00:00:00"/>
        <d v="2020-10-24T00:00:00"/>
        <d v="2020-06-20T00:00:00"/>
        <d v="2020-02-17T00:00:00"/>
        <d v="2020-02-02T00:00:00"/>
        <d v="2020-04-09T00:00:00"/>
        <d v="2020-07-23T00:00:00"/>
        <d v="2020-07-31T00:00:00"/>
        <d v="2020-08-07T00:00:00"/>
        <d v="2020-11-02T00:00:00"/>
        <d v="2020-05-02T00:00:00"/>
        <d v="2020-10-29T00:00:00"/>
        <d v="2020-11-08T00:00:00"/>
        <d v="2020-04-25T00:00:00"/>
        <d v="2020-02-06T00:00:00"/>
        <d v="2020-06-05T00:00:00"/>
        <d v="2020-09-17T00:00:00"/>
        <d v="2020-07-14T00:00:00"/>
        <d v="2020-02-03T00:00:00"/>
        <d v="2020-11-30T00:00:00"/>
        <d v="2020-10-16T00:00:00"/>
        <d v="2020-01-12T00:00:00"/>
        <d v="2020-09-19T00:00:00"/>
        <d v="2020-12-01T00:00:00"/>
        <d v="2020-10-23T00:00:00"/>
        <d v="2020-10-21T00:00:00"/>
        <d v="2020-08-17T00:00:00"/>
        <d v="2020-03-15T00:00:00"/>
        <d v="2020-03-27T00:00:00"/>
        <d v="2020-03-25T00:00:00"/>
        <d v="2020-08-14T00:00:00"/>
        <d v="2020-06-02T00:00:00"/>
        <d v="2020-11-19T00:00:00"/>
        <d v="2020-06-23T00:00:00"/>
        <d v="2020-07-16T00:00:00"/>
        <d v="2020-01-28T00:00:00"/>
        <d v="2020-09-08T00:00:00"/>
        <d v="2020-11-13T00:00:00"/>
        <d v="2020-02-24T00:00:00"/>
        <d v="2020-09-21T00:00:00"/>
        <d v="2020-08-01T00:00:00"/>
        <d v="2020-01-22T00:00:00"/>
        <d v="2020-06-29T00:00:00"/>
        <d v="2020-08-27T00:00:00"/>
        <d v="2020-08-22T00:00:00"/>
        <d v="2020-10-04T00:00:00"/>
        <d v="2020-02-12T00:00:00"/>
        <d v="2020-01-01T00:00:00"/>
        <d v="2020-09-22T00:00:00"/>
        <d v="2020-10-13T00:00:00"/>
        <d v="2020-07-13T00:00:00"/>
        <d v="2020-11-26T00:00:00"/>
        <d v="2020-05-13T00:00:00"/>
        <d v="2020-01-24T00:00:00"/>
        <d v="2020-08-10T00:00:00"/>
        <d v="2020-12-08T00:00:00"/>
        <d v="2020-03-30T00:00:00"/>
        <d v="2020-12-07T00:00:00"/>
        <d v="2020-08-05T00:00:00"/>
        <d v="2020-05-31T00:00:00"/>
        <d v="2020-04-19T00:00:00"/>
        <d v="2020-08-13T00:00:00"/>
        <d v="2020-11-14T00:00:00"/>
        <d v="2020-07-15T00:00:00"/>
        <d v="2020-07-09T00:00:00"/>
        <d v="2020-01-18T00:00:00"/>
        <d v="2020-05-22T00:00:00"/>
        <d v="2020-07-29T00:00:00"/>
        <d v="2020-09-02T00:00:00"/>
        <d v="2020-06-19T00:00:00"/>
        <d v="2020-03-20T00:00:00"/>
        <d v="2020-07-22T00:00:00"/>
        <d v="2020-09-06T00:00:00"/>
        <d v="2020-04-18T00:00:00"/>
        <d v="2020-10-26T00:00:00"/>
        <d v="2020-06-12T00:00:00"/>
        <d v="2020-08-04T00:00:00"/>
        <d v="2020-10-01T00:00:00"/>
        <d v="2020-07-05T00:00:00"/>
        <d v="2020-10-12T00:00:00"/>
        <d v="2020-02-26T00:00:00"/>
        <d v="2020-12-05T00:00:00"/>
        <d v="2020-05-20T00:00:00"/>
        <d v="2020-01-15T00:00:00"/>
        <d v="2020-03-06T00:00:00"/>
        <d v="2020-02-08T00:00:00"/>
        <d v="2020-03-22T00:00:00"/>
        <d v="2020-08-02T00:00:00"/>
        <d v="2020-04-22T00:00:00"/>
        <d v="2020-06-26T00:00:00"/>
        <d v="2020-04-30T00:00:00"/>
        <d v="2020-08-11T00:00:00"/>
        <d v="2020-04-28T00:00:00"/>
        <d v="2020-04-07T00:00:00"/>
        <d v="2020-06-09T00:00:00"/>
        <d v="2020-05-06T00:00:00"/>
        <d v="2020-04-23T00:00:00"/>
        <d v="2020-09-04T00:00:00"/>
        <d v="2020-12-09T00:00:00"/>
        <d v="2020-06-14T00:00:00"/>
        <d v="2020-11-16T00:00:00"/>
        <d v="2020-06-22T00:00:00"/>
        <d v="2020-02-05T00:00:00"/>
        <d v="2020-03-01T00:00:00"/>
        <d v="2020-10-18T00:00:00"/>
        <d v="2020-09-30T00:00:00"/>
        <d v="2020-09-24T00:00:00"/>
        <d v="2020-05-29T00:00:00"/>
        <d v="2020-05-24T00:00:00"/>
        <d v="2020-11-24T00:00:00"/>
        <d v="2020-11-20T00:00:00"/>
        <d v="2020-11-28T00:00:00"/>
        <d v="2020-03-03T00:00:00"/>
        <d v="2020-11-25T00:00:00"/>
        <d v="2020-08-19T00:00:00"/>
        <d v="2020-03-17T00:00:00"/>
        <d v="2020-02-15T00:00:00"/>
        <d v="2020-07-21T00:00:00"/>
        <d v="2020-05-05T00:00:00"/>
        <d v="2020-01-31T00:00:00"/>
        <d v="2020-06-30T00:00:00"/>
        <d v="2020-04-11T00:00:00"/>
        <d v="2020-02-27T00:00:00"/>
        <d v="2020-03-12T00:00:00"/>
        <d v="2020-06-11T00:00:00"/>
        <d v="2020-05-30T00:00:00"/>
        <d v="2020-11-22T00:00:00"/>
        <d v="2020-01-25T00:00:00"/>
        <d v="2020-03-28T00:00:00"/>
        <d v="2020-11-27T00:00:00"/>
        <d v="2020-08-30T00:00:00"/>
        <d v="2020-01-21T00:00:00"/>
        <d v="2020-05-04T00:00:00"/>
        <d v="2020-11-05T00:00:00"/>
        <d v="2020-11-06T00:00:00"/>
        <d v="2020-04-02T00:00:00"/>
        <d v="2020-10-02T00:00:00"/>
        <d v="2020-03-10T00:00:00"/>
        <d v="2020-11-03T00:00:00"/>
        <d v="2020-07-08T00:00:00"/>
        <d v="2020-08-06T00:00:00"/>
        <d v="2020-08-23T00:00:00"/>
        <d v="2020-06-04T00:00:00"/>
        <d v="2020-03-23T00:00:00"/>
        <d v="2020-02-20T00:00:00"/>
        <d v="2020-05-28T00:00:00"/>
        <d v="2020-10-30T00:00:00"/>
        <d v="2020-05-23T00:00:00"/>
        <d v="2020-02-01T00:00:00"/>
        <d v="2020-10-10T00:00:00"/>
        <d v="2020-07-11T00:00:00"/>
        <d v="2020-02-23T00:00:00"/>
        <d v="2020-05-16T00:00:00"/>
        <d v="2020-10-03T00:00:00"/>
        <d v="2020-01-13T00:00:00"/>
        <d v="2020-09-18T00:00:00"/>
        <d v="2020-05-09T00:00:00"/>
        <d v="2020-09-13T00:00:00"/>
        <d v="2020-02-25T00:00:00"/>
        <d v="2020-11-18T00:00:00"/>
        <d v="2020-05-27T00:00:00"/>
        <d v="2020-12-06T00:00:00"/>
        <d v="2020-10-11T00:00:00"/>
        <d v="2020-10-17T00:00:00"/>
        <d v="2020-10-07T00:00:00"/>
        <d v="2020-08-16T00:00:00"/>
        <d v="2020-06-06T00:00:00"/>
        <d v="2020-11-15T00:00:00"/>
        <d v="2020-03-21T00:00:00"/>
        <d v="2020-09-20T00:00:00"/>
        <d v="2020-09-11T00:00:00"/>
        <d v="2020-04-29T00:00:00"/>
        <d v="2020-07-27T00:00:00"/>
        <d v="2020-09-15T00:00:00"/>
        <d v="2020-01-26T00:00:00"/>
        <d v="2020-01-29T00:00:00"/>
        <d v="2020-01-02T00:00:00"/>
        <d v="2020-08-12T00:00:00"/>
        <d v="2020-04-21T00:00:00"/>
        <d v="2020-07-07T00:00:00"/>
        <d v="2020-01-16T00:00:00"/>
        <d v="2020-11-04T00:00:00"/>
        <d v="2020-01-23T00:00:00"/>
        <d v="2020-08-31T00:00:00"/>
        <d v="2020-02-10T00:00:00"/>
        <d v="2020-03-19T00:00:00"/>
        <d v="2020-06-27T00:00:00"/>
        <d v="2020-04-10T00:00:00"/>
        <d v="2020-03-05T00:00:00"/>
        <d v="2020-12-04T00:00:00"/>
        <d v="2020-04-15T00:00:00"/>
        <d v="2020-03-08T00:00:00"/>
        <d v="2020-12-02T00:00:00"/>
        <d v="2020-05-15T00:00:00"/>
        <d v="2020-05-03T00:00:00"/>
        <d v="2020-08-25T00:00:00"/>
        <d v="2020-03-31T00:00:00"/>
        <d v="2020-05-18T00:00:00"/>
        <d v="2020-09-29T00:00:00"/>
        <d v="2020-08-18T00:00:00"/>
      </sharedItems>
      <fieldGroup par="17"/>
    </cacheField>
    <cacheField name="CustomerID" numFmtId="0">
      <sharedItems containsSemiMixedTypes="0" containsString="0" containsNumber="1" containsInteger="1" minValue="10248" maxValue="99963"/>
    </cacheField>
    <cacheField name="Department - Designation" numFmtId="49">
      <sharedItems/>
    </cacheField>
    <cacheField name="Department" numFmtId="49">
      <sharedItems count="6">
        <s v="Marketing"/>
        <s v="Operation"/>
        <s v="Growth"/>
        <s v="Strategy"/>
        <s v="Sales"/>
        <s v="Finance"/>
      </sharedItems>
    </cacheField>
    <cacheField name="Designation" numFmtId="49">
      <sharedItems/>
    </cacheField>
    <cacheField name="Credit Score" numFmtId="1">
      <sharedItems containsSemiMixedTypes="0" containsString="0" containsNumber="1" containsInteger="1" minValue="700" maxValue="800"/>
    </cacheField>
    <cacheField name="Past Loans" numFmtId="1">
      <sharedItems containsSemiMixedTypes="0" containsString="0" containsNumber="1" containsInteger="1" minValue="1" maxValue="5"/>
    </cacheField>
    <cacheField name="Emi Defaults" numFmtId="1">
      <sharedItems containsSemiMixedTypes="0" containsString="0" containsNumber="1" containsInteger="1" minValue="1" maxValue="10" count="10">
        <n v="5"/>
        <n v="10"/>
        <n v="9"/>
        <n v="3"/>
        <n v="2"/>
        <n v="1"/>
        <n v="4"/>
        <n v="7"/>
        <n v="6"/>
        <n v="8"/>
      </sharedItems>
    </cacheField>
    <cacheField name="Date of Birth" numFmtId="14">
      <sharedItems containsSemiMixedTypes="0" containsNonDate="0" containsDate="1" containsString="0" minDate="1980-01-11T00:00:00" maxDate="1994-12-29T00:00:00"/>
    </cacheField>
    <cacheField name="New Loan Application amount" numFmtId="164">
      <sharedItems containsSemiMixedTypes="0" containsString="0" containsNumber="1" containsInteger="1" minValue="501499" maxValue="999597"/>
    </cacheField>
    <cacheField name="Loan Type" numFmtId="49">
      <sharedItems count="3">
        <s v="Education"/>
        <s v="Personal"/>
        <s v="Car"/>
      </sharedItems>
    </cacheField>
    <cacheField name="Year of Birth" numFmtId="0">
      <sharedItems containsSemiMixedTypes="0" containsString="0" containsNumber="1" containsInteger="1" minValue="1980" maxValue="1994"/>
    </cacheField>
    <cacheField name="Month of Loan Application" numFmtId="0">
      <sharedItems containsSemiMixedTypes="0" containsString="0" containsNumber="1" containsInteger="1" minValue="1" maxValue="12"/>
    </cacheField>
    <cacheField name="Age of customer" numFmtId="0">
      <sharedItems containsSemiMixedTypes="0" containsString="0" containsNumber="1" containsInteger="1" minValue="32" maxValue="46"/>
    </cacheField>
    <cacheField name="Credit Score Range" numFmtId="0">
      <sharedItems count="2">
        <s v="Good"/>
        <s v="Excellent"/>
      </sharedItems>
    </cacheField>
    <cacheField name="Risk Category" numFmtId="0">
      <sharedItems count="3">
        <s v="Medium Risk"/>
        <s v="High Risk"/>
        <s v="Low Risk"/>
      </sharedItems>
    </cacheField>
    <cacheField name="Days (Loan Application Date)" numFmtId="0" databaseField="0">
      <fieldGroup base="0">
        <rangePr groupBy="days" startDate="2020-01-01T00:00:00" endDate="2020-12-11T00:00:00"/>
        <groupItems count="368">
          <s v="&lt;1/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1/2020"/>
        </groupItems>
      </fieldGroup>
    </cacheField>
    <cacheField name="Months (Loan Application Date)" numFmtId="0" databaseField="0">
      <fieldGroup base="0">
        <rangePr groupBy="months" startDate="2020-01-01T00:00:00" endDate="2020-12-11T00:00:00"/>
        <groupItems count="14">
          <s v="&lt;1/1/2020"/>
          <s v="Jan"/>
          <s v="Feb"/>
          <s v="Mar"/>
          <s v="Apr"/>
          <s v="May"/>
          <s v="Jun"/>
          <s v="Jul"/>
          <s v="Aug"/>
          <s v="Sep"/>
          <s v="Oct"/>
          <s v="Nov"/>
          <s v="Dec"/>
          <s v="&gt;12/11/202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priya Vijaykumar" refreshedDate="46092.697051157411" backgroundQuery="1" createdVersion="3" refreshedVersion="8" minRefreshableVersion="3" recordCount="0" supportSubquery="1" supportAdvancedDrill="1" xr:uid="{C91D0657-0584-41BC-8EAE-D7A26C783EA7}">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Measures]" caption="Measures" attribute="1" keyAttribute="1" defaultMemberUniqueName="[Measures].[__No measures defined]" dimensionUniqueName="[Measures]" displayFolder="" measures="1" count="1" memberValueDatatype="130" unbalanced="0"/>
    <cacheHierarchy uniqueName="[Table1].[Loan Application Date]" caption="Loan Application Date" attribute="1" time="1" defaultMemberUniqueName="[Table1].[Loan Application Date].[All]" allUniqueName="[Table1].[Loan Application Date].[All]" dimensionUniqueName="[Table1]" displayFolder="" count="2" memberValueDatatype="7" unbalanced="0"/>
    <cacheHierarchy uniqueName="[Table1].[CustomerID]" caption="CustomerID" attribute="1" defaultMemberUniqueName="[Table1].[CustomerID].[All]" allUniqueName="[Table1].[CustomerID].[All]" dimensionUniqueName="[Table1]" displayFolder="" count="2" memberValueDatatype="20" unbalanced="0"/>
    <cacheHierarchy uniqueName="[Table1].[Department - Designation]" caption="Department - Designation" attribute="1" defaultMemberUniqueName="[Table1].[Department - Designation].[All]" allUniqueName="[Table1].[Department - Designation].[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Designation]" caption="Designation" attribute="1" defaultMemberUniqueName="[Table1].[Designation].[All]" allUniqueName="[Table1].[Designation].[All]" dimensionUniqueName="[Table1]" displayFolder="" count="2" memberValueDatatype="130" unbalanced="0"/>
    <cacheHierarchy uniqueName="[Table1].[Credit Score]" caption="Credit Score" attribute="1" defaultMemberUniqueName="[Table1].[Credit Score].[All]" allUniqueName="[Table1].[Credit Score].[All]" dimensionUniqueName="[Table1]" displayFolder="" count="2" memberValueDatatype="20" unbalanced="0"/>
    <cacheHierarchy uniqueName="[Table1].[Past Loans]" caption="Past Loans" attribute="1" defaultMemberUniqueName="[Table1].[Past Loans].[All]" allUniqueName="[Table1].[Past Loans].[All]" dimensionUniqueName="[Table1]" displayFolder="" count="2" memberValueDatatype="20" unbalanced="0"/>
    <cacheHierarchy uniqueName="[Table1].[Emi Defaults]" caption="Emi Defaults" attribute="1" defaultMemberUniqueName="[Table1].[Emi Defaults].[All]" allUniqueName="[Table1].[Emi Defaults].[All]" dimensionUniqueName="[Table1]" displayFolder="" count="2" memberValueDatatype="20" unbalanced="0"/>
    <cacheHierarchy uniqueName="[Table1].[Date of Birth]" caption="Date of Birth" attribute="1" time="1" defaultMemberUniqueName="[Table1].[Date of Birth].[All]" allUniqueName="[Table1].[Date of Birth].[All]" dimensionUniqueName="[Table1]" displayFolder="" count="2" memberValueDatatype="7" unbalanced="0"/>
    <cacheHierarchy uniqueName="[Table1].[New Loan Application amount]" caption="New Loan Application amount" attribute="1" defaultMemberUniqueName="[Table1].[New Loan Application amount].[All]" allUniqueName="[Table1].[New Loan Application amount].[All]" dimensionUniqueName="[Table1]" displayFolder="" count="2" memberValueDatatype="20" unbalanced="0"/>
    <cacheHierarchy uniqueName="[Table1].[Loan Type]" caption="Loan Type" attribute="1" defaultMemberUniqueName="[Table1].[Loan Type].[All]" allUniqueName="[Table1].[Loan Type].[All]" dimensionUniqueName="[Table1]" displayFolder="" count="2" memberValueDatatype="130" unbalanced="0"/>
    <cacheHierarchy uniqueName="[Table1].[Year of Birth]" caption="Year of Birth" attribute="1" defaultMemberUniqueName="[Table1].[Year of Birth].[All]" allUniqueName="[Table1].[Year of Birth].[All]" dimensionUniqueName="[Table1]" displayFolder="" count="2" memberValueDatatype="20" unbalanced="0"/>
    <cacheHierarchy uniqueName="[Table1].[Month of Loan Application]" caption="Month of Loan Application" attribute="1" defaultMemberUniqueName="[Table1].[Month of Loan Application].[All]" allUniqueName="[Table1].[Month of Loan Application].[All]" dimensionUniqueName="[Table1]" displayFolder="" count="2" memberValueDatatype="20" unbalanced="0"/>
    <cacheHierarchy uniqueName="[Table1].[Age of customer]" caption="Age of customer" attribute="1" defaultMemberUniqueName="[Table1].[Age of customer].[All]" allUniqueName="[Table1].[Age of customer].[All]" dimensionUniqueName="[Table1]" displayFolder="" count="2" memberValueDatatype="20" unbalanced="0"/>
    <cacheHierarchy uniqueName="[Table1].[Credit Score Range]" caption="Credit Score Range" attribute="1" defaultMemberUniqueName="[Table1].[Credit Score Range].[All]" allUniqueName="[Table1].[Credit Score Range].[All]" dimensionUniqueName="[Table1]" displayFolder="" count="2" memberValueDatatype="130" unbalanced="0"/>
    <cacheHierarchy uniqueName="[Table1].[Risk Category]" caption="Risk Category" attribute="1" defaultMemberUniqueName="[Table1].[Risk Category].[All]" allUniqueName="[Table1].[Risk Category].[All]" dimensionUniqueName="[Table1]" displayFolder="" count="2" memberValueDatatype="130" unbalanced="0"/>
    <cacheHierarchy uniqueName="[Table2].[Loan Application Date]" caption="Loan Application Date" attribute="1" time="1" defaultMemberUniqueName="[Table2].[Loan Application Date].[All]" allUniqueName="[Table2].[Loan Application Date].[All]" dimensionUniqueName="[Table2]" displayFolder="" count="2" memberValueDatatype="7" unbalanced="0"/>
    <cacheHierarchy uniqueName="[Table2].[CustomerID]" caption="CustomerID" attribute="1" defaultMemberUniqueName="[Table2].[CustomerID].[All]" allUniqueName="[Table2].[CustomerID].[All]" dimensionUniqueName="[Table2]" displayFolder="" count="2" memberValueDatatype="20" unbalanced="0"/>
    <cacheHierarchy uniqueName="[Table2].[Department - Designation]" caption="Department - Designation" attribute="1" defaultMemberUniqueName="[Table2].[Department - Designation].[All]" allUniqueName="[Table2].[Department - Designation].[All]" dimensionUniqueName="[Table2]" displayFolder="" count="2"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Designation]" caption="Designation" attribute="1" defaultMemberUniqueName="[Table2].[Designation].[All]" allUniqueName="[Table2].[Designation].[All]" dimensionUniqueName="[Table2]" displayFolder="" count="2" memberValueDatatype="130" unbalanced="0"/>
    <cacheHierarchy uniqueName="[Table2].[Credit Score]" caption="Credit Score" attribute="1" defaultMemberUniqueName="[Table2].[Credit Score].[All]" allUniqueName="[Table2].[Credit Score].[All]" dimensionUniqueName="[Table2]" displayFolder="" count="2" memberValueDatatype="20" unbalanced="0"/>
    <cacheHierarchy uniqueName="[Table2].[Past Loans]" caption="Past Loans" attribute="1" defaultMemberUniqueName="[Table2].[Past Loans].[All]" allUniqueName="[Table2].[Past Loans].[All]" dimensionUniqueName="[Table2]" displayFolder="" count="2" memberValueDatatype="20" unbalanced="0"/>
    <cacheHierarchy uniqueName="[Table2].[Emi Defaults]" caption="Emi Defaults" attribute="1" defaultMemberUniqueName="[Table2].[Emi Defaults].[All]" allUniqueName="[Table2].[Emi Defaults].[All]" dimensionUniqueName="[Table2]" displayFolder="" count="2" memberValueDatatype="20" unbalanced="0"/>
    <cacheHierarchy uniqueName="[Table2].[Date of Birth]" caption="Date of Birth" attribute="1" time="1" defaultMemberUniqueName="[Table2].[Date of Birth].[All]" allUniqueName="[Table2].[Date of Birth].[All]" dimensionUniqueName="[Table2]" displayFolder="" count="2" memberValueDatatype="7" unbalanced="0"/>
    <cacheHierarchy uniqueName="[Table2].[New Loan Application amount]" caption="New Loan Application amount" attribute="1" defaultMemberUniqueName="[Table2].[New Loan Application amount].[All]" allUniqueName="[Table2].[New Loan Application amount].[All]" dimensionUniqueName="[Table2]" displayFolder="" count="2" memberValueDatatype="20" unbalanced="0"/>
    <cacheHierarchy uniqueName="[Table2].[Loan Type]" caption="Loan Type" attribute="1" defaultMemberUniqueName="[Table2].[Loan Type].[All]" allUniqueName="[Table2].[Loan Type].[All]" dimensionUniqueName="[Table2]" displayFolder="" count="2" memberValueDatatype="130" unbalanced="0"/>
    <cacheHierarchy uniqueName="[Table2].[Year of Birth]" caption="Year of Birth" attribute="1" defaultMemberUniqueName="[Table2].[Year of Birth].[All]" allUniqueName="[Table2].[Year of Birth].[All]" dimensionUniqueName="[Table2]" displayFolder="" count="2" memberValueDatatype="20" unbalanced="0"/>
    <cacheHierarchy uniqueName="[Table2].[Month of Loan Application]" caption="Month of Loan Application" attribute="1" defaultMemberUniqueName="[Table2].[Month of Loan Application].[All]" allUniqueName="[Table2].[Month of Loan Application].[All]" dimensionUniqueName="[Table2]" displayFolder="" count="2" memberValueDatatype="20" unbalanced="0"/>
    <cacheHierarchy uniqueName="[Table2].[Age of customer]" caption="Age of customer" attribute="1" defaultMemberUniqueName="[Table2].[Age of customer].[All]" allUniqueName="[Table2].[Age of customer].[All]" dimensionUniqueName="[Table2]" displayFolder="" count="2" memberValueDatatype="20" unbalanced="0"/>
    <cacheHierarchy uniqueName="[Table2].[Credit Score Range]" caption="Credit Score Range" attribute="1" defaultMemberUniqueName="[Table2].[Credit Score Range].[All]" allUniqueName="[Table2].[Credit Score Range].[All]" dimensionUniqueName="[Table2]" displayFolder="" count="2" memberValueDatatype="130" unbalanced="0"/>
    <cacheHierarchy uniqueName="[Table2].[Risk Category]" caption="Risk Category" attribute="1" defaultMemberUniqueName="[Table2].[Risk Category].[All]" allUniqueName="[Table2].[Risk Category].[All]" dimensionUniqueName="[Table2]" displayFolder="" count="2" memberValueDatatype="130" unbalanced="0"/>
    <cacheHierarchy uniqueName="[Table2].[Loan Application Date (Month)]" caption="Loan Application Date (Month)" attribute="1" defaultMemberUniqueName="[Table2].[Loan Application Date (Month)].[All]" allUniqueName="[Table2].[Loan Application Date (Month)].[All]" dimensionUniqueName="[Table2]" displayFolder="" count="2" memberValueDatatype="130" unbalanced="0"/>
    <cacheHierarchy uniqueName="[Table2].[Loan Application Date (Month Index)]" caption="Loan Application Date (Month Index)" attribute="1" defaultMemberUniqueName="[Table2].[Loan Application Date (Month Index)].[All]" allUniqueName="[Table2].[Loan Application Date (Month Index)].[All]" dimensionUniqueName="[Table2]" displayFolder="" count="2"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18"/>
        </ext>
      </extLst>
    </cacheHierarchy>
    <cacheHierarchy uniqueName="[Measures].[Sum of New Loan Application amount]" caption="Sum of New Loan Application amount" measure="1" displayFolder="" measureGroup="Table2" count="0" hidden="1">
      <extLst>
        <ext xmlns:x15="http://schemas.microsoft.com/office/spreadsheetml/2010/11/main" uri="{B97F6D7D-B522-45F9-BDA1-12C45D357490}">
          <x15:cacheHierarchy aggregatedColumn="26"/>
        </ext>
      </extLst>
    </cacheHierarchy>
    <cacheHierarchy uniqueName="[Measures].[Count of Credit Score Range]" caption="Count of Credit Score Range" measure="1" displayFolder="" measureGroup="Tabl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licerData="1" pivotCacheId="446886278"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priya Vijaykumar" refreshedDate="46092.719983680552" backgroundQuery="1" createdVersion="8" refreshedVersion="8" minRefreshableVersion="3" recordCount="0" supportSubquery="1" supportAdvancedDrill="1" xr:uid="{DC62D2EE-4D6D-4A8D-A8FB-74CA84558B30}">
  <cacheSource type="external" connectionId="1">
    <extLst>
      <ext xmlns:x14="http://schemas.microsoft.com/office/spreadsheetml/2009/9/main" uri="{F057638F-6D5F-4e77-A914-E7F072B9BCA8}">
        <x14:sourceConnection name="ThisWorkbookDataModel"/>
      </ext>
    </extLst>
  </cacheSource>
  <cacheFields count="2">
    <cacheField name="[Table2].[Emi Defaults].[Emi Defaults]" caption="Emi Defaults" numFmtId="0" hierarchy="23"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Table2].[Emi Defaults].&amp;[1]"/>
            <x15:cachedUniqueName index="1" name="[Table2].[Emi Defaults].&amp;[2]"/>
            <x15:cachedUniqueName index="2" name="[Table2].[Emi Defaults].&amp;[3]"/>
            <x15:cachedUniqueName index="3" name="[Table2].[Emi Defaults].&amp;[4]"/>
            <x15:cachedUniqueName index="4" name="[Table2].[Emi Defaults].&amp;[5]"/>
            <x15:cachedUniqueName index="5" name="[Table2].[Emi Defaults].&amp;[6]"/>
            <x15:cachedUniqueName index="6" name="[Table2].[Emi Defaults].&amp;[7]"/>
            <x15:cachedUniqueName index="7" name="[Table2].[Emi Defaults].&amp;[8]"/>
            <x15:cachedUniqueName index="8" name="[Table2].[Emi Defaults].&amp;[9]"/>
            <x15:cachedUniqueName index="9" name="[Table2].[Emi Defaults].&amp;[10]"/>
          </x15:cachedUniqueNames>
        </ext>
      </extLst>
    </cacheField>
    <cacheField name="[Measures].[Sum of New Loan Application amount]" caption="Sum of New Loan Application amount" numFmtId="0" hierarchy="39" level="32767"/>
  </cacheFields>
  <cacheHierarchies count="41">
    <cacheHierarchy uniqueName="[Table1].[Loan Application Date]" caption="Loan Application Date" attribute="1" time="1" defaultMemberUniqueName="[Table1].[Loan Application Date].[All]" allUniqueName="[Table1].[Loan Application 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20" unbalanced="0"/>
    <cacheHierarchy uniqueName="[Table1].[Department - Designation]" caption="Department - Designation" attribute="1" defaultMemberUniqueName="[Table1].[Department - Designation].[All]" allUniqueName="[Table1].[Department - Design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esignation]" caption="Designation" attribute="1" defaultMemberUniqueName="[Table1].[Designation].[All]" allUniqueName="[Table1].[Designation].[All]" dimensionUniqueName="[Table1]" displayFolder="" count="0" memberValueDatatype="130" unbalanced="0"/>
    <cacheHierarchy uniqueName="[Table1].[Credit Score]" caption="Credit Score" attribute="1" defaultMemberUniqueName="[Table1].[Credit Score].[All]" allUniqueName="[Table1].[Credit Score].[All]" dimensionUniqueName="[Table1]" displayFolder="" count="0" memberValueDatatype="20" unbalanced="0"/>
    <cacheHierarchy uniqueName="[Table1].[Past Loans]" caption="Past Loans" attribute="1" defaultMemberUniqueName="[Table1].[Past Loans].[All]" allUniqueName="[Table1].[Past Loans].[All]" dimensionUniqueName="[Table1]" displayFolder="" count="0" memberValueDatatype="20" unbalanced="0"/>
    <cacheHierarchy uniqueName="[Table1].[Emi Defaults]" caption="Emi Defaults" attribute="1" defaultMemberUniqueName="[Table1].[Emi Defaults].[All]" allUniqueName="[Table1].[Emi Defaults].[All]" dimensionUniqueName="[Table1]" displayFolder="" count="0" memberValueDatatype="20" unbalanced="0"/>
    <cacheHierarchy uniqueName="[Table1].[Date of Birth]" caption="Date of Birth" attribute="1" time="1" defaultMemberUniqueName="[Table1].[Date of Birth].[All]" allUniqueName="[Table1].[Date of Birth].[All]" dimensionUniqueName="[Table1]" displayFolder="" count="0" memberValueDatatype="7" unbalanced="0"/>
    <cacheHierarchy uniqueName="[Table1].[New Loan Application amount]" caption="New Loan Application amount" attribute="1" defaultMemberUniqueName="[Table1].[New Loan Application amount].[All]" allUniqueName="[Table1].[New Loan Application amount].[All]" dimensionUniqueName="[Table1]" displayFolder="" count="0" memberValueDatatype="20" unbalanced="0"/>
    <cacheHierarchy uniqueName="[Table1].[Loan Type]" caption="Loan Type" attribute="1" defaultMemberUniqueName="[Table1].[Loan Type].[All]" allUniqueName="[Table1].[Loan Type].[All]" dimensionUniqueName="[Table1]" displayFolder="" count="2" memberValueDatatype="130" unbalanced="0"/>
    <cacheHierarchy uniqueName="[Table1].[Year of Birth]" caption="Year of Birth" attribute="1" defaultMemberUniqueName="[Table1].[Year of Birth].[All]" allUniqueName="[Table1].[Year of Birth].[All]" dimensionUniqueName="[Table1]" displayFolder="" count="0" memberValueDatatype="20" unbalanced="0"/>
    <cacheHierarchy uniqueName="[Table1].[Month of Loan Application]" caption="Month of Loan Application" attribute="1" defaultMemberUniqueName="[Table1].[Month of Loan Application].[All]" allUniqueName="[Table1].[Month of Loan Application].[All]" dimensionUniqueName="[Table1]" displayFolder="" count="0" memberValueDatatype="20" unbalanced="0"/>
    <cacheHierarchy uniqueName="[Table1].[Age of customer]" caption="Age of customer" attribute="1" defaultMemberUniqueName="[Table1].[Age of customer].[All]" allUniqueName="[Table1].[Age of customer].[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Risk Category]" caption="Risk Category" attribute="1" defaultMemberUniqueName="[Table1].[Risk Category].[All]" allUniqueName="[Table1].[Risk Category].[All]" dimensionUniqueName="[Table1]" displayFolder="" count="0" memberValueDatatype="130" unbalanced="0"/>
    <cacheHierarchy uniqueName="[Table2].[Loan Application Date]" caption="Loan Application Date" attribute="1" time="1" defaultMemberUniqueName="[Table2].[Loan Application Date].[All]" allUniqueName="[Table2].[Loan Application Date].[All]" dimensionUniqueName="[Table2]" displayFolder="" count="0" memberValueDatatype="7" unbalanced="0"/>
    <cacheHierarchy uniqueName="[Table2].[CustomerID]" caption="CustomerID" attribute="1" defaultMemberUniqueName="[Table2].[CustomerID].[All]" allUniqueName="[Table2].[CustomerID].[All]" dimensionUniqueName="[Table2]" displayFolder="" count="0" memberValueDatatype="20" unbalanced="0"/>
    <cacheHierarchy uniqueName="[Table2].[Department - Designation]" caption="Department - Designation" attribute="1" defaultMemberUniqueName="[Table2].[Department - Designation].[All]" allUniqueName="[Table2].[Department - Designation].[All]" dimensionUniqueName="[Table2]"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Designation]" caption="Designation" attribute="1" defaultMemberUniqueName="[Table2].[Designation].[All]" allUniqueName="[Table2].[Designation].[All]" dimensionUniqueName="[Table2]" displayFolder="" count="0" memberValueDatatype="130" unbalanced="0"/>
    <cacheHierarchy uniqueName="[Table2].[Credit Score]" caption="Credit Score" attribute="1" defaultMemberUniqueName="[Table2].[Credit Score].[All]" allUniqueName="[Table2].[Credit Score].[All]" dimensionUniqueName="[Table2]" displayFolder="" count="0" memberValueDatatype="20" unbalanced="0"/>
    <cacheHierarchy uniqueName="[Table2].[Past Loans]" caption="Past Loans" attribute="1" defaultMemberUniqueName="[Table2].[Past Loans].[All]" allUniqueName="[Table2].[Past Loans].[All]" dimensionUniqueName="[Table2]" displayFolder="" count="0" memberValueDatatype="20" unbalanced="0"/>
    <cacheHierarchy uniqueName="[Table2].[Emi Defaults]" caption="Emi Defaults" attribute="1" defaultMemberUniqueName="[Table2].[Emi Defaults].[All]" allUniqueName="[Table2].[Emi Defaults].[All]" dimensionUniqueName="[Table2]" displayFolder="" count="2" memberValueDatatype="20" unbalanced="0">
      <fieldsUsage count="2">
        <fieldUsage x="-1"/>
        <fieldUsage x="0"/>
      </fieldsUsage>
    </cacheHierarchy>
    <cacheHierarchy uniqueName="[Table2].[Date of Birth]" caption="Date of Birth" attribute="1" time="1" defaultMemberUniqueName="[Table2].[Date of Birth].[All]" allUniqueName="[Table2].[Date of Birth].[All]" dimensionUniqueName="[Table2]" displayFolder="" count="0" memberValueDatatype="7" unbalanced="0"/>
    <cacheHierarchy uniqueName="[Table2].[New Loan Application amount]" caption="New Loan Application amount" attribute="1" defaultMemberUniqueName="[Table2].[New Loan Application amount].[All]" allUniqueName="[Table2].[New Loan Application amount].[All]" dimensionUniqueName="[Table2]" displayFolder="" count="0" memberValueDatatype="20" unbalanced="0"/>
    <cacheHierarchy uniqueName="[Table2].[Loan Type]" caption="Loan Type" attribute="1" defaultMemberUniqueName="[Table2].[Loan Type].[All]" allUniqueName="[Table2].[Loan Type].[All]" dimensionUniqueName="[Table2]" displayFolder="" count="0" memberValueDatatype="130" unbalanced="0"/>
    <cacheHierarchy uniqueName="[Table2].[Year of Birth]" caption="Year of Birth" attribute="1" defaultMemberUniqueName="[Table2].[Year of Birth].[All]" allUniqueName="[Table2].[Year of Birth].[All]" dimensionUniqueName="[Table2]" displayFolder="" count="0" memberValueDatatype="20" unbalanced="0"/>
    <cacheHierarchy uniqueName="[Table2].[Month of Loan Application]" caption="Month of Loan Application" attribute="1" defaultMemberUniqueName="[Table2].[Month of Loan Application].[All]" allUniqueName="[Table2].[Month of Loan Application].[All]" dimensionUniqueName="[Table2]" displayFolder="" count="0" memberValueDatatype="20" unbalanced="0"/>
    <cacheHierarchy uniqueName="[Table2].[Age of customer]" caption="Age of customer" attribute="1" defaultMemberUniqueName="[Table2].[Age of customer].[All]" allUniqueName="[Table2].[Age of customer].[All]" dimensionUniqueName="[Table2]" displayFolder="" count="0" memberValueDatatype="20" unbalanced="0"/>
    <cacheHierarchy uniqueName="[Table2].[Credit Score Range]" caption="Credit Score Range" attribute="1" defaultMemberUniqueName="[Table2].[Credit Score Range].[All]" allUniqueName="[Table2].[Credit Score Range].[All]" dimensionUniqueName="[Table2]" displayFolder="" count="0" memberValueDatatype="130" unbalanced="0"/>
    <cacheHierarchy uniqueName="[Table2].[Risk Category]" caption="Risk Category" attribute="1" defaultMemberUniqueName="[Table2].[Risk Category].[All]" allUniqueName="[Table2].[Risk Category].[All]" dimensionUniqueName="[Table2]" displayFolder="" count="0" memberValueDatatype="130" unbalanced="0"/>
    <cacheHierarchy uniqueName="[Table2].[Loan Application Date (Month)]" caption="Loan Application Date (Month)" attribute="1" defaultMemberUniqueName="[Table2].[Loan Application Date (Month)].[All]" allUniqueName="[Table2].[Loan Application Date (Month)].[All]" dimensionUniqueName="[Table2]" displayFolder="" count="2" memberValueDatatype="130" unbalanced="0"/>
    <cacheHierarchy uniqueName="[Table2].[Loan Application Date (Month Index)]" caption="Loan Application Date (Month Index)" attribute="1" defaultMemberUniqueName="[Table2].[Loan Application Date (Month Index)].[All]" allUniqueName="[Table2].[Loan Applica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17"/>
        </ext>
      </extLst>
    </cacheHierarchy>
    <cacheHierarchy uniqueName="[Measures].[Sum of New Loan Application amount]" caption="Sum of New Loan Application amount" measure="1" displayFolder="" measureGroup="Table2"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redit Score Range]" caption="Count of Credit Score Range" measure="1" displayFolder="" measureGroup="Table2"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pivotCacheId="5242550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priya Vijaykumar" refreshedDate="46092.719984953706" backgroundQuery="1" createdVersion="8" refreshedVersion="8" minRefreshableVersion="3" recordCount="0" supportSubquery="1" supportAdvancedDrill="1" xr:uid="{230D8471-1F5F-40B8-A3E2-FE5705F5BFA7}">
  <cacheSource type="external" connectionId="1">
    <extLst>
      <ext xmlns:x14="http://schemas.microsoft.com/office/spreadsheetml/2009/9/main" uri="{F057638F-6D5F-4e77-A914-E7F072B9BCA8}">
        <x14:sourceConnection name="ThisWorkbookDataModel"/>
      </ext>
    </extLst>
  </cacheSource>
  <cacheFields count="3">
    <cacheField name="[Table2].[Risk Category].[Risk Category]" caption="Risk Category" numFmtId="0" hierarchy="31" level="1">
      <sharedItems containsBlank="1" count="4">
        <s v="High Risk"/>
        <s v="Low Risk"/>
        <s v="Medium Risk"/>
        <m u="1"/>
      </sharedItems>
    </cacheField>
    <cacheField name="[Table2].[Loan Type].[Loan Type]" caption="Loan Type" numFmtId="0" hierarchy="26" level="1">
      <sharedItems count="3">
        <s v="Car"/>
        <s v="Education"/>
        <s v="Personal"/>
      </sharedItems>
    </cacheField>
    <cacheField name="[Measures].[Sum of New Loan Application amount]" caption="Sum of New Loan Application amount" numFmtId="0" hierarchy="39" level="32767"/>
  </cacheFields>
  <cacheHierarchies count="41">
    <cacheHierarchy uniqueName="[Table1].[Loan Application Date]" caption="Loan Application Date" attribute="1" time="1" defaultMemberUniqueName="[Table1].[Loan Application Date].[All]" allUniqueName="[Table1].[Loan Application 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20" unbalanced="0"/>
    <cacheHierarchy uniqueName="[Table1].[Department - Designation]" caption="Department - Designation" attribute="1" defaultMemberUniqueName="[Table1].[Department - Designation].[All]" allUniqueName="[Table1].[Department - Design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esignation]" caption="Designation" attribute="1" defaultMemberUniqueName="[Table1].[Designation].[All]" allUniqueName="[Table1].[Designation].[All]" dimensionUniqueName="[Table1]" displayFolder="" count="0" memberValueDatatype="130" unbalanced="0"/>
    <cacheHierarchy uniqueName="[Table1].[Credit Score]" caption="Credit Score" attribute="1" defaultMemberUniqueName="[Table1].[Credit Score].[All]" allUniqueName="[Table1].[Credit Score].[All]" dimensionUniqueName="[Table1]" displayFolder="" count="0" memberValueDatatype="20" unbalanced="0"/>
    <cacheHierarchy uniqueName="[Table1].[Past Loans]" caption="Past Loans" attribute="1" defaultMemberUniqueName="[Table1].[Past Loans].[All]" allUniqueName="[Table1].[Past Loans].[All]" dimensionUniqueName="[Table1]" displayFolder="" count="0" memberValueDatatype="20" unbalanced="0"/>
    <cacheHierarchy uniqueName="[Table1].[Emi Defaults]" caption="Emi Defaults" attribute="1" defaultMemberUniqueName="[Table1].[Emi Defaults].[All]" allUniqueName="[Table1].[Emi Defaults].[All]" dimensionUniqueName="[Table1]" displayFolder="" count="0" memberValueDatatype="20" unbalanced="0"/>
    <cacheHierarchy uniqueName="[Table1].[Date of Birth]" caption="Date of Birth" attribute="1" time="1" defaultMemberUniqueName="[Table1].[Date of Birth].[All]" allUniqueName="[Table1].[Date of Birth].[All]" dimensionUniqueName="[Table1]" displayFolder="" count="0" memberValueDatatype="7" unbalanced="0"/>
    <cacheHierarchy uniqueName="[Table1].[New Loan Application amount]" caption="New Loan Application amount" attribute="1" defaultMemberUniqueName="[Table1].[New Loan Application amount].[All]" allUniqueName="[Table1].[New Loan Application amount].[All]" dimensionUniqueName="[Table1]" displayFolder="" count="0" memberValueDatatype="20" unbalanced="0"/>
    <cacheHierarchy uniqueName="[Table1].[Loan Type]" caption="Loan Type" attribute="1" defaultMemberUniqueName="[Table1].[Loan Type].[All]" allUniqueName="[Table1].[Loan Type].[All]" dimensionUniqueName="[Table1]" displayFolder="" count="2" memberValueDatatype="130" unbalanced="0"/>
    <cacheHierarchy uniqueName="[Table1].[Year of Birth]" caption="Year of Birth" attribute="1" defaultMemberUniqueName="[Table1].[Year of Birth].[All]" allUniqueName="[Table1].[Year of Birth].[All]" dimensionUniqueName="[Table1]" displayFolder="" count="0" memberValueDatatype="20" unbalanced="0"/>
    <cacheHierarchy uniqueName="[Table1].[Month of Loan Application]" caption="Month of Loan Application" attribute="1" defaultMemberUniqueName="[Table1].[Month of Loan Application].[All]" allUniqueName="[Table1].[Month of Loan Application].[All]" dimensionUniqueName="[Table1]" displayFolder="" count="0" memberValueDatatype="20" unbalanced="0"/>
    <cacheHierarchy uniqueName="[Table1].[Age of customer]" caption="Age of customer" attribute="1" defaultMemberUniqueName="[Table1].[Age of customer].[All]" allUniqueName="[Table1].[Age of customer].[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Risk Category]" caption="Risk Category" attribute="1" defaultMemberUniqueName="[Table1].[Risk Category].[All]" allUniqueName="[Table1].[Risk Category].[All]" dimensionUniqueName="[Table1]" displayFolder="" count="0" memberValueDatatype="130" unbalanced="0"/>
    <cacheHierarchy uniqueName="[Table2].[Loan Application Date]" caption="Loan Application Date" attribute="1" time="1" defaultMemberUniqueName="[Table2].[Loan Application Date].[All]" allUniqueName="[Table2].[Loan Application Date].[All]" dimensionUniqueName="[Table2]" displayFolder="" count="0" memberValueDatatype="7" unbalanced="0"/>
    <cacheHierarchy uniqueName="[Table2].[CustomerID]" caption="CustomerID" attribute="1" defaultMemberUniqueName="[Table2].[CustomerID].[All]" allUniqueName="[Table2].[CustomerID].[All]" dimensionUniqueName="[Table2]" displayFolder="" count="0" memberValueDatatype="20" unbalanced="0"/>
    <cacheHierarchy uniqueName="[Table2].[Department - Designation]" caption="Department - Designation" attribute="1" defaultMemberUniqueName="[Table2].[Department - Designation].[All]" allUniqueName="[Table2].[Department - Designation].[All]" dimensionUniqueName="[Table2]"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Designation]" caption="Designation" attribute="1" defaultMemberUniqueName="[Table2].[Designation].[All]" allUniqueName="[Table2].[Designation].[All]" dimensionUniqueName="[Table2]" displayFolder="" count="0" memberValueDatatype="130" unbalanced="0"/>
    <cacheHierarchy uniqueName="[Table2].[Credit Score]" caption="Credit Score" attribute="1" defaultMemberUniqueName="[Table2].[Credit Score].[All]" allUniqueName="[Table2].[Credit Score].[All]" dimensionUniqueName="[Table2]" displayFolder="" count="0" memberValueDatatype="20" unbalanced="0"/>
    <cacheHierarchy uniqueName="[Table2].[Past Loans]" caption="Past Loans" attribute="1" defaultMemberUniqueName="[Table2].[Past Loans].[All]" allUniqueName="[Table2].[Past Loans].[All]" dimensionUniqueName="[Table2]" displayFolder="" count="0" memberValueDatatype="20" unbalanced="0"/>
    <cacheHierarchy uniqueName="[Table2].[Emi Defaults]" caption="Emi Defaults" attribute="1" defaultMemberUniqueName="[Table2].[Emi Defaults].[All]" allUniqueName="[Table2].[Emi Defaults].[All]" dimensionUniqueName="[Table2]" displayFolder="" count="0" memberValueDatatype="20" unbalanced="0"/>
    <cacheHierarchy uniqueName="[Table2].[Date of Birth]" caption="Date of Birth" attribute="1" time="1" defaultMemberUniqueName="[Table2].[Date of Birth].[All]" allUniqueName="[Table2].[Date of Birth].[All]" dimensionUniqueName="[Table2]" displayFolder="" count="0" memberValueDatatype="7" unbalanced="0"/>
    <cacheHierarchy uniqueName="[Table2].[New Loan Application amount]" caption="New Loan Application amount" attribute="1" defaultMemberUniqueName="[Table2].[New Loan Application amount].[All]" allUniqueName="[Table2].[New Loan Application amount].[All]" dimensionUniqueName="[Table2]" displayFolder="" count="0" memberValueDatatype="20" unbalanced="0"/>
    <cacheHierarchy uniqueName="[Table2].[Loan Type]" caption="Loan Type" attribute="1" defaultMemberUniqueName="[Table2].[Loan Type].[All]" allUniqueName="[Table2].[Loan Type].[All]" dimensionUniqueName="[Table2]" displayFolder="" count="2" memberValueDatatype="130" unbalanced="0">
      <fieldsUsage count="2">
        <fieldUsage x="-1"/>
        <fieldUsage x="1"/>
      </fieldsUsage>
    </cacheHierarchy>
    <cacheHierarchy uniqueName="[Table2].[Year of Birth]" caption="Year of Birth" attribute="1" defaultMemberUniqueName="[Table2].[Year of Birth].[All]" allUniqueName="[Table2].[Year of Birth].[All]" dimensionUniqueName="[Table2]" displayFolder="" count="0" memberValueDatatype="20" unbalanced="0"/>
    <cacheHierarchy uniqueName="[Table2].[Month of Loan Application]" caption="Month of Loan Application" attribute="1" defaultMemberUniqueName="[Table2].[Month of Loan Application].[All]" allUniqueName="[Table2].[Month of Loan Application].[All]" dimensionUniqueName="[Table2]" displayFolder="" count="0" memberValueDatatype="20" unbalanced="0"/>
    <cacheHierarchy uniqueName="[Table2].[Age of customer]" caption="Age of customer" attribute="1" defaultMemberUniqueName="[Table2].[Age of customer].[All]" allUniqueName="[Table2].[Age of customer].[All]" dimensionUniqueName="[Table2]" displayFolder="" count="0" memberValueDatatype="20" unbalanced="0"/>
    <cacheHierarchy uniqueName="[Table2].[Credit Score Range]" caption="Credit Score Range" attribute="1" defaultMemberUniqueName="[Table2].[Credit Score Range].[All]" allUniqueName="[Table2].[Credit Score Range].[All]" dimensionUniqueName="[Table2]" displayFolder="" count="0" memberValueDatatype="130" unbalanced="0"/>
    <cacheHierarchy uniqueName="[Table2].[Risk Category]" caption="Risk Category" attribute="1" defaultMemberUniqueName="[Table2].[Risk Category].[All]" allUniqueName="[Table2].[Risk Category].[All]" dimensionUniqueName="[Table2]" displayFolder="" count="2" memberValueDatatype="130" unbalanced="0">
      <fieldsUsage count="2">
        <fieldUsage x="-1"/>
        <fieldUsage x="0"/>
      </fieldsUsage>
    </cacheHierarchy>
    <cacheHierarchy uniqueName="[Table2].[Loan Application Date (Month)]" caption="Loan Application Date (Month)" attribute="1" defaultMemberUniqueName="[Table2].[Loan Application Date (Month)].[All]" allUniqueName="[Table2].[Loan Application Date (Month)].[All]" dimensionUniqueName="[Table2]" displayFolder="" count="2" memberValueDatatype="130" unbalanced="0"/>
    <cacheHierarchy uniqueName="[Table2].[Loan Application Date (Month Index)]" caption="Loan Application Date (Month Index)" attribute="1" defaultMemberUniqueName="[Table2].[Loan Application Date (Month Index)].[All]" allUniqueName="[Table2].[Loan Applica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17"/>
        </ext>
      </extLst>
    </cacheHierarchy>
    <cacheHierarchy uniqueName="[Measures].[Sum of New Loan Application amount]" caption="Sum of New Loan Application amount" measure="1" displayFolder="" measureGroup="Table2" count="0" oneField="1" hidden="1">
      <fieldsUsage count="1">
        <fieldUsage x="2"/>
      </fieldsUsage>
      <extLst>
        <ext xmlns:x15="http://schemas.microsoft.com/office/spreadsheetml/2010/11/main" uri="{B97F6D7D-B522-45F9-BDA1-12C45D357490}">
          <x15:cacheHierarchy aggregatedColumn="25"/>
        </ext>
      </extLst>
    </cacheHierarchy>
    <cacheHierarchy uniqueName="[Measures].[Count of Credit Score Range]" caption="Count of Credit Score Range" measure="1" displayFolder="" measureGroup="Table2"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pivotCacheId="2252653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priya Vijaykumar" refreshedDate="46092.719985763892" backgroundQuery="1" createdVersion="8" refreshedVersion="8" minRefreshableVersion="3" recordCount="0" supportSubquery="1" supportAdvancedDrill="1" xr:uid="{2AB89C36-E3A9-4A84-A755-EE9D75B1792D}">
  <cacheSource type="external" connectionId="1">
    <extLst>
      <ext xmlns:x14="http://schemas.microsoft.com/office/spreadsheetml/2009/9/main" uri="{F057638F-6D5F-4e77-A914-E7F072B9BCA8}">
        <x14:sourceConnection name="ThisWorkbookDataModel"/>
      </ext>
    </extLst>
  </cacheSource>
  <cacheFields count="2">
    <cacheField name="[Table2].[Credit Score Range].[Credit Score Range]" caption="Credit Score Range" numFmtId="0" hierarchy="30" level="1">
      <sharedItems count="2">
        <s v="Excellent"/>
        <s v="Good"/>
      </sharedItems>
    </cacheField>
    <cacheField name="[Measures].[Count of Credit Score Range]" caption="Count of Credit Score Range" numFmtId="0" hierarchy="40" level="32767"/>
  </cacheFields>
  <cacheHierarchies count="41">
    <cacheHierarchy uniqueName="[Table1].[Loan Application Date]" caption="Loan Application Date" attribute="1" time="1" defaultMemberUniqueName="[Table1].[Loan Application Date].[All]" allUniqueName="[Table1].[Loan Application 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20" unbalanced="0"/>
    <cacheHierarchy uniqueName="[Table1].[Department - Designation]" caption="Department - Designation" attribute="1" defaultMemberUniqueName="[Table1].[Department - Designation].[All]" allUniqueName="[Table1].[Department - Design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esignation]" caption="Designation" attribute="1" defaultMemberUniqueName="[Table1].[Designation].[All]" allUniqueName="[Table1].[Designation].[All]" dimensionUniqueName="[Table1]" displayFolder="" count="0" memberValueDatatype="130" unbalanced="0"/>
    <cacheHierarchy uniqueName="[Table1].[Credit Score]" caption="Credit Score" attribute="1" defaultMemberUniqueName="[Table1].[Credit Score].[All]" allUniqueName="[Table1].[Credit Score].[All]" dimensionUniqueName="[Table1]" displayFolder="" count="0" memberValueDatatype="20" unbalanced="0"/>
    <cacheHierarchy uniqueName="[Table1].[Past Loans]" caption="Past Loans" attribute="1" defaultMemberUniqueName="[Table1].[Past Loans].[All]" allUniqueName="[Table1].[Past Loans].[All]" dimensionUniqueName="[Table1]" displayFolder="" count="0" memberValueDatatype="20" unbalanced="0"/>
    <cacheHierarchy uniqueName="[Table1].[Emi Defaults]" caption="Emi Defaults" attribute="1" defaultMemberUniqueName="[Table1].[Emi Defaults].[All]" allUniqueName="[Table1].[Emi Defaults].[All]" dimensionUniqueName="[Table1]" displayFolder="" count="0" memberValueDatatype="20" unbalanced="0"/>
    <cacheHierarchy uniqueName="[Table1].[Date of Birth]" caption="Date of Birth" attribute="1" time="1" defaultMemberUniqueName="[Table1].[Date of Birth].[All]" allUniqueName="[Table1].[Date of Birth].[All]" dimensionUniqueName="[Table1]" displayFolder="" count="0" memberValueDatatype="7" unbalanced="0"/>
    <cacheHierarchy uniqueName="[Table1].[New Loan Application amount]" caption="New Loan Application amount" attribute="1" defaultMemberUniqueName="[Table1].[New Loan Application amount].[All]" allUniqueName="[Table1].[New Loan Application amount].[All]" dimensionUniqueName="[Table1]" displayFolder="" count="0" memberValueDatatype="20" unbalanced="0"/>
    <cacheHierarchy uniqueName="[Table1].[Loan Type]" caption="Loan Type" attribute="1" defaultMemberUniqueName="[Table1].[Loan Type].[All]" allUniqueName="[Table1].[Loan Type].[All]" dimensionUniqueName="[Table1]" displayFolder="" count="2" memberValueDatatype="130" unbalanced="0"/>
    <cacheHierarchy uniqueName="[Table1].[Year of Birth]" caption="Year of Birth" attribute="1" defaultMemberUniqueName="[Table1].[Year of Birth].[All]" allUniqueName="[Table1].[Year of Birth].[All]" dimensionUniqueName="[Table1]" displayFolder="" count="0" memberValueDatatype="20" unbalanced="0"/>
    <cacheHierarchy uniqueName="[Table1].[Month of Loan Application]" caption="Month of Loan Application" attribute="1" defaultMemberUniqueName="[Table1].[Month of Loan Application].[All]" allUniqueName="[Table1].[Month of Loan Application].[All]" dimensionUniqueName="[Table1]" displayFolder="" count="0" memberValueDatatype="20" unbalanced="0"/>
    <cacheHierarchy uniqueName="[Table1].[Age of customer]" caption="Age of customer" attribute="1" defaultMemberUniqueName="[Table1].[Age of customer].[All]" allUniqueName="[Table1].[Age of customer].[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Risk Category]" caption="Risk Category" attribute="1" defaultMemberUniqueName="[Table1].[Risk Category].[All]" allUniqueName="[Table1].[Risk Category].[All]" dimensionUniqueName="[Table1]" displayFolder="" count="0" memberValueDatatype="130" unbalanced="0"/>
    <cacheHierarchy uniqueName="[Table2].[Loan Application Date]" caption="Loan Application Date" attribute="1" time="1" defaultMemberUniqueName="[Table2].[Loan Application Date].[All]" allUniqueName="[Table2].[Loan Application Date].[All]" dimensionUniqueName="[Table2]" displayFolder="" count="0" memberValueDatatype="7" unbalanced="0"/>
    <cacheHierarchy uniqueName="[Table2].[CustomerID]" caption="CustomerID" attribute="1" defaultMemberUniqueName="[Table2].[CustomerID].[All]" allUniqueName="[Table2].[CustomerID].[All]" dimensionUniqueName="[Table2]" displayFolder="" count="0" memberValueDatatype="20" unbalanced="0"/>
    <cacheHierarchy uniqueName="[Table2].[Department - Designation]" caption="Department - Designation" attribute="1" defaultMemberUniqueName="[Table2].[Department - Designation].[All]" allUniqueName="[Table2].[Department - Designation].[All]" dimensionUniqueName="[Table2]"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Designation]" caption="Designation" attribute="1" defaultMemberUniqueName="[Table2].[Designation].[All]" allUniqueName="[Table2].[Designation].[All]" dimensionUniqueName="[Table2]" displayFolder="" count="0" memberValueDatatype="130" unbalanced="0"/>
    <cacheHierarchy uniqueName="[Table2].[Credit Score]" caption="Credit Score" attribute="1" defaultMemberUniqueName="[Table2].[Credit Score].[All]" allUniqueName="[Table2].[Credit Score].[All]" dimensionUniqueName="[Table2]" displayFolder="" count="0" memberValueDatatype="20" unbalanced="0"/>
    <cacheHierarchy uniqueName="[Table2].[Past Loans]" caption="Past Loans" attribute="1" defaultMemberUniqueName="[Table2].[Past Loans].[All]" allUniqueName="[Table2].[Past Loans].[All]" dimensionUniqueName="[Table2]" displayFolder="" count="0" memberValueDatatype="20" unbalanced="0"/>
    <cacheHierarchy uniqueName="[Table2].[Emi Defaults]" caption="Emi Defaults" attribute="1" defaultMemberUniqueName="[Table2].[Emi Defaults].[All]" allUniqueName="[Table2].[Emi Defaults].[All]" dimensionUniqueName="[Table2]" displayFolder="" count="0" memberValueDatatype="20" unbalanced="0"/>
    <cacheHierarchy uniqueName="[Table2].[Date of Birth]" caption="Date of Birth" attribute="1" time="1" defaultMemberUniqueName="[Table2].[Date of Birth].[All]" allUniqueName="[Table2].[Date of Birth].[All]" dimensionUniqueName="[Table2]" displayFolder="" count="0" memberValueDatatype="7" unbalanced="0"/>
    <cacheHierarchy uniqueName="[Table2].[New Loan Application amount]" caption="New Loan Application amount" attribute="1" defaultMemberUniqueName="[Table2].[New Loan Application amount].[All]" allUniqueName="[Table2].[New Loan Application amount].[All]" dimensionUniqueName="[Table2]" displayFolder="" count="0" memberValueDatatype="20" unbalanced="0"/>
    <cacheHierarchy uniqueName="[Table2].[Loan Type]" caption="Loan Type" attribute="1" defaultMemberUniqueName="[Table2].[Loan Type].[All]" allUniqueName="[Table2].[Loan Type].[All]" dimensionUniqueName="[Table2]" displayFolder="" count="0" memberValueDatatype="130" unbalanced="0"/>
    <cacheHierarchy uniqueName="[Table2].[Year of Birth]" caption="Year of Birth" attribute="1" defaultMemberUniqueName="[Table2].[Year of Birth].[All]" allUniqueName="[Table2].[Year of Birth].[All]" dimensionUniqueName="[Table2]" displayFolder="" count="0" memberValueDatatype="20" unbalanced="0"/>
    <cacheHierarchy uniqueName="[Table2].[Month of Loan Application]" caption="Month of Loan Application" attribute="1" defaultMemberUniqueName="[Table2].[Month of Loan Application].[All]" allUniqueName="[Table2].[Month of Loan Application].[All]" dimensionUniqueName="[Table2]" displayFolder="" count="0" memberValueDatatype="20" unbalanced="0"/>
    <cacheHierarchy uniqueName="[Table2].[Age of customer]" caption="Age of customer" attribute="1" defaultMemberUniqueName="[Table2].[Age of customer].[All]" allUniqueName="[Table2].[Age of customer].[All]" dimensionUniqueName="[Table2]" displayFolder="" count="0" memberValueDatatype="20" unbalanced="0"/>
    <cacheHierarchy uniqueName="[Table2].[Credit Score Range]" caption="Credit Score Range" attribute="1" defaultMemberUniqueName="[Table2].[Credit Score Range].[All]" allUniqueName="[Table2].[Credit Score Range].[All]" dimensionUniqueName="[Table2]" displayFolder="" count="2" memberValueDatatype="130" unbalanced="0">
      <fieldsUsage count="2">
        <fieldUsage x="-1"/>
        <fieldUsage x="0"/>
      </fieldsUsage>
    </cacheHierarchy>
    <cacheHierarchy uniqueName="[Table2].[Risk Category]" caption="Risk Category" attribute="1" defaultMemberUniqueName="[Table2].[Risk Category].[All]" allUniqueName="[Table2].[Risk Category].[All]" dimensionUniqueName="[Table2]" displayFolder="" count="0" memberValueDatatype="130" unbalanced="0"/>
    <cacheHierarchy uniqueName="[Table2].[Loan Application Date (Month)]" caption="Loan Application Date (Month)" attribute="1" defaultMemberUniqueName="[Table2].[Loan Application Date (Month)].[All]" allUniqueName="[Table2].[Loan Application Date (Month)].[All]" dimensionUniqueName="[Table2]" displayFolder="" count="2" memberValueDatatype="130" unbalanced="0"/>
    <cacheHierarchy uniqueName="[Table2].[Loan Application Date (Month Index)]" caption="Loan Application Date (Month Index)" attribute="1" defaultMemberUniqueName="[Table2].[Loan Application Date (Month Index)].[All]" allUniqueName="[Table2].[Loan Applica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17"/>
        </ext>
      </extLst>
    </cacheHierarchy>
    <cacheHierarchy uniqueName="[Measures].[Sum of New Loan Application amount]" caption="Sum of New Loan Application amount" measure="1" displayFolder="" measureGroup="Table2" count="0" hidden="1">
      <extLst>
        <ext xmlns:x15="http://schemas.microsoft.com/office/spreadsheetml/2010/11/main" uri="{B97F6D7D-B522-45F9-BDA1-12C45D357490}">
          <x15:cacheHierarchy aggregatedColumn="25"/>
        </ext>
      </extLst>
    </cacheHierarchy>
    <cacheHierarchy uniqueName="[Measures].[Count of Credit Score Range]" caption="Count of Credit Score Range" measure="1" displayFolder="" measureGroup="Table2" count="0" oneField="1" hidden="1">
      <fieldsUsage count="1">
        <fieldUsage x="1"/>
      </fieldsUsage>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pivotCacheId="15464806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priya Vijaykumar" refreshedDate="46092.719986458331" backgroundQuery="1" createdVersion="8" refreshedVersion="8" minRefreshableVersion="3" recordCount="0" supportSubquery="1" supportAdvancedDrill="1" xr:uid="{03A8739A-3974-4D21-90FF-56E45B3ED2F9}">
  <cacheSource type="external" connectionId="1">
    <extLst>
      <ext xmlns:x14="http://schemas.microsoft.com/office/spreadsheetml/2009/9/main" uri="{F057638F-6D5F-4e77-A914-E7F072B9BCA8}">
        <x14:sourceConnection name="ThisWorkbookDataModel"/>
      </ext>
    </extLst>
  </cacheSource>
  <cacheFields count="2">
    <cacheField name="[Table2].[Department].[Department]" caption="Department" numFmtId="0" hierarchy="19" level="1">
      <sharedItems count="6">
        <s v="Finance"/>
        <s v="Growth"/>
        <s v="Marketing"/>
        <s v="Operation"/>
        <s v="Sales"/>
        <s v="Strategy"/>
      </sharedItems>
    </cacheField>
    <cacheField name="[Measures].[Sum of New Loan Application amount]" caption="Sum of New Loan Application amount" numFmtId="0" hierarchy="39" level="32767"/>
  </cacheFields>
  <cacheHierarchies count="41">
    <cacheHierarchy uniqueName="[Table1].[Loan Application Date]" caption="Loan Application Date" attribute="1" time="1" defaultMemberUniqueName="[Table1].[Loan Application Date].[All]" allUniqueName="[Table1].[Loan Application 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20" unbalanced="0"/>
    <cacheHierarchy uniqueName="[Table1].[Department - Designation]" caption="Department - Designation" attribute="1" defaultMemberUniqueName="[Table1].[Department - Designation].[All]" allUniqueName="[Table1].[Department - Design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esignation]" caption="Designation" attribute="1" defaultMemberUniqueName="[Table1].[Designation].[All]" allUniqueName="[Table1].[Designation].[All]" dimensionUniqueName="[Table1]" displayFolder="" count="0" memberValueDatatype="130" unbalanced="0"/>
    <cacheHierarchy uniqueName="[Table1].[Credit Score]" caption="Credit Score" attribute="1" defaultMemberUniqueName="[Table1].[Credit Score].[All]" allUniqueName="[Table1].[Credit Score].[All]" dimensionUniqueName="[Table1]" displayFolder="" count="0" memberValueDatatype="20" unbalanced="0"/>
    <cacheHierarchy uniqueName="[Table1].[Past Loans]" caption="Past Loans" attribute="1" defaultMemberUniqueName="[Table1].[Past Loans].[All]" allUniqueName="[Table1].[Past Loans].[All]" dimensionUniqueName="[Table1]" displayFolder="" count="0" memberValueDatatype="20" unbalanced="0"/>
    <cacheHierarchy uniqueName="[Table1].[Emi Defaults]" caption="Emi Defaults" attribute="1" defaultMemberUniqueName="[Table1].[Emi Defaults].[All]" allUniqueName="[Table1].[Emi Defaults].[All]" dimensionUniqueName="[Table1]" displayFolder="" count="0" memberValueDatatype="20" unbalanced="0"/>
    <cacheHierarchy uniqueName="[Table1].[Date of Birth]" caption="Date of Birth" attribute="1" time="1" defaultMemberUniqueName="[Table1].[Date of Birth].[All]" allUniqueName="[Table1].[Date of Birth].[All]" dimensionUniqueName="[Table1]" displayFolder="" count="0" memberValueDatatype="7" unbalanced="0"/>
    <cacheHierarchy uniqueName="[Table1].[New Loan Application amount]" caption="New Loan Application amount" attribute="1" defaultMemberUniqueName="[Table1].[New Loan Application amount].[All]" allUniqueName="[Table1].[New Loan Application amount].[All]" dimensionUniqueName="[Table1]" displayFolder="" count="0" memberValueDatatype="20" unbalanced="0"/>
    <cacheHierarchy uniqueName="[Table1].[Loan Type]" caption="Loan Type" attribute="1" defaultMemberUniqueName="[Table1].[Loan Type].[All]" allUniqueName="[Table1].[Loan Type].[All]" dimensionUniqueName="[Table1]" displayFolder="" count="2" memberValueDatatype="130" unbalanced="0"/>
    <cacheHierarchy uniqueName="[Table1].[Year of Birth]" caption="Year of Birth" attribute="1" defaultMemberUniqueName="[Table1].[Year of Birth].[All]" allUniqueName="[Table1].[Year of Birth].[All]" dimensionUniqueName="[Table1]" displayFolder="" count="0" memberValueDatatype="20" unbalanced="0"/>
    <cacheHierarchy uniqueName="[Table1].[Month of Loan Application]" caption="Month of Loan Application" attribute="1" defaultMemberUniqueName="[Table1].[Month of Loan Application].[All]" allUniqueName="[Table1].[Month of Loan Application].[All]" dimensionUniqueName="[Table1]" displayFolder="" count="0" memberValueDatatype="20" unbalanced="0"/>
    <cacheHierarchy uniqueName="[Table1].[Age of customer]" caption="Age of customer" attribute="1" defaultMemberUniqueName="[Table1].[Age of customer].[All]" allUniqueName="[Table1].[Age of customer].[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Risk Category]" caption="Risk Category" attribute="1" defaultMemberUniqueName="[Table1].[Risk Category].[All]" allUniqueName="[Table1].[Risk Category].[All]" dimensionUniqueName="[Table1]" displayFolder="" count="0" memberValueDatatype="130" unbalanced="0"/>
    <cacheHierarchy uniqueName="[Table2].[Loan Application Date]" caption="Loan Application Date" attribute="1" time="1" defaultMemberUniqueName="[Table2].[Loan Application Date].[All]" allUniqueName="[Table2].[Loan Application Date].[All]" dimensionUniqueName="[Table2]" displayFolder="" count="0" memberValueDatatype="7" unbalanced="0"/>
    <cacheHierarchy uniqueName="[Table2].[CustomerID]" caption="CustomerID" attribute="1" defaultMemberUniqueName="[Table2].[CustomerID].[All]" allUniqueName="[Table2].[CustomerID].[All]" dimensionUniqueName="[Table2]" displayFolder="" count="0" memberValueDatatype="20" unbalanced="0"/>
    <cacheHierarchy uniqueName="[Table2].[Department - Designation]" caption="Department - Designation" attribute="1" defaultMemberUniqueName="[Table2].[Department - Designation].[All]" allUniqueName="[Table2].[Department - Designation].[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0"/>
      </fieldsUsage>
    </cacheHierarchy>
    <cacheHierarchy uniqueName="[Table2].[Designation]" caption="Designation" attribute="1" defaultMemberUniqueName="[Table2].[Designation].[All]" allUniqueName="[Table2].[Designation].[All]" dimensionUniqueName="[Table2]" displayFolder="" count="0" memberValueDatatype="130" unbalanced="0"/>
    <cacheHierarchy uniqueName="[Table2].[Credit Score]" caption="Credit Score" attribute="1" defaultMemberUniqueName="[Table2].[Credit Score].[All]" allUniqueName="[Table2].[Credit Score].[All]" dimensionUniqueName="[Table2]" displayFolder="" count="0" memberValueDatatype="20" unbalanced="0"/>
    <cacheHierarchy uniqueName="[Table2].[Past Loans]" caption="Past Loans" attribute="1" defaultMemberUniqueName="[Table2].[Past Loans].[All]" allUniqueName="[Table2].[Past Loans].[All]" dimensionUniqueName="[Table2]" displayFolder="" count="0" memberValueDatatype="20" unbalanced="0"/>
    <cacheHierarchy uniqueName="[Table2].[Emi Defaults]" caption="Emi Defaults" attribute="1" defaultMemberUniqueName="[Table2].[Emi Defaults].[All]" allUniqueName="[Table2].[Emi Defaults].[All]" dimensionUniqueName="[Table2]" displayFolder="" count="0" memberValueDatatype="20" unbalanced="0"/>
    <cacheHierarchy uniqueName="[Table2].[Date of Birth]" caption="Date of Birth" attribute="1" time="1" defaultMemberUniqueName="[Table2].[Date of Birth].[All]" allUniqueName="[Table2].[Date of Birth].[All]" dimensionUniqueName="[Table2]" displayFolder="" count="0" memberValueDatatype="7" unbalanced="0"/>
    <cacheHierarchy uniqueName="[Table2].[New Loan Application amount]" caption="New Loan Application amount" attribute="1" defaultMemberUniqueName="[Table2].[New Loan Application amount].[All]" allUniqueName="[Table2].[New Loan Application amount].[All]" dimensionUniqueName="[Table2]" displayFolder="" count="0" memberValueDatatype="20" unbalanced="0"/>
    <cacheHierarchy uniqueName="[Table2].[Loan Type]" caption="Loan Type" attribute="1" defaultMemberUniqueName="[Table2].[Loan Type].[All]" allUniqueName="[Table2].[Loan Type].[All]" dimensionUniqueName="[Table2]" displayFolder="" count="0" memberValueDatatype="130" unbalanced="0"/>
    <cacheHierarchy uniqueName="[Table2].[Year of Birth]" caption="Year of Birth" attribute="1" defaultMemberUniqueName="[Table2].[Year of Birth].[All]" allUniqueName="[Table2].[Year of Birth].[All]" dimensionUniqueName="[Table2]" displayFolder="" count="0" memberValueDatatype="20" unbalanced="0"/>
    <cacheHierarchy uniqueName="[Table2].[Month of Loan Application]" caption="Month of Loan Application" attribute="1" defaultMemberUniqueName="[Table2].[Month of Loan Application].[All]" allUniqueName="[Table2].[Month of Loan Application].[All]" dimensionUniqueName="[Table2]" displayFolder="" count="0" memberValueDatatype="20" unbalanced="0"/>
    <cacheHierarchy uniqueName="[Table2].[Age of customer]" caption="Age of customer" attribute="1" defaultMemberUniqueName="[Table2].[Age of customer].[All]" allUniqueName="[Table2].[Age of customer].[All]" dimensionUniqueName="[Table2]" displayFolder="" count="0" memberValueDatatype="20" unbalanced="0"/>
    <cacheHierarchy uniqueName="[Table2].[Credit Score Range]" caption="Credit Score Range" attribute="1" defaultMemberUniqueName="[Table2].[Credit Score Range].[All]" allUniqueName="[Table2].[Credit Score Range].[All]" dimensionUniqueName="[Table2]" displayFolder="" count="0" memberValueDatatype="130" unbalanced="0"/>
    <cacheHierarchy uniqueName="[Table2].[Risk Category]" caption="Risk Category" attribute="1" defaultMemberUniqueName="[Table2].[Risk Category].[All]" allUniqueName="[Table2].[Risk Category].[All]" dimensionUniqueName="[Table2]" displayFolder="" count="0" memberValueDatatype="130" unbalanced="0"/>
    <cacheHierarchy uniqueName="[Table2].[Loan Application Date (Month)]" caption="Loan Application Date (Month)" attribute="1" defaultMemberUniqueName="[Table2].[Loan Application Date (Month)].[All]" allUniqueName="[Table2].[Loan Application Date (Month)].[All]" dimensionUniqueName="[Table2]" displayFolder="" count="2" memberValueDatatype="130" unbalanced="0"/>
    <cacheHierarchy uniqueName="[Table2].[Loan Application Date (Month Index)]" caption="Loan Application Date (Month Index)" attribute="1" defaultMemberUniqueName="[Table2].[Loan Application Date (Month Index)].[All]" allUniqueName="[Table2].[Loan Applica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17"/>
        </ext>
      </extLst>
    </cacheHierarchy>
    <cacheHierarchy uniqueName="[Measures].[Sum of New Loan Application amount]" caption="Sum of New Loan Application amount" measure="1" displayFolder="" measureGroup="Table2"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redit Score Range]" caption="Count of Credit Score Range" measure="1" displayFolder="" measureGroup="Table2"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pivotCacheId="18615332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priya Vijaykumar" refreshedDate="46092.719987152777" backgroundQuery="1" createdVersion="8" refreshedVersion="8" minRefreshableVersion="3" recordCount="0" supportSubquery="1" supportAdvancedDrill="1" xr:uid="{5B169A1D-E2F1-426A-AA5C-5D29178F188F}">
  <cacheSource type="external" connectionId="1">
    <extLst>
      <ext xmlns:x14="http://schemas.microsoft.com/office/spreadsheetml/2009/9/main" uri="{F057638F-6D5F-4e77-A914-E7F072B9BCA8}">
        <x14:sourceConnection name="ThisWorkbookDataModel"/>
      </ext>
    </extLst>
  </cacheSource>
  <cacheFields count="2">
    <cacheField name="[Table2].[Loan Application Date (Month)].[Loan Application Date (Month)]" caption="Loan Application Date (Month)" numFmtId="0" hierarchy="32" level="1">
      <sharedItems count="12">
        <s v="Jan"/>
        <s v="Feb"/>
        <s v="Mar"/>
        <s v="Apr"/>
        <s v="May"/>
        <s v="Jun"/>
        <s v="Jul"/>
        <s v="Aug"/>
        <s v="Sep"/>
        <s v="Oct"/>
        <s v="Nov"/>
        <s v="Dec"/>
      </sharedItems>
    </cacheField>
    <cacheField name="[Measures].[Sum of New Loan Application amount]" caption="Sum of New Loan Application amount" numFmtId="0" hierarchy="39" level="32767"/>
  </cacheFields>
  <cacheHierarchies count="41">
    <cacheHierarchy uniqueName="[Table1].[Loan Application Date]" caption="Loan Application Date" attribute="1" time="1" defaultMemberUniqueName="[Table1].[Loan Application Date].[All]" allUniqueName="[Table1].[Loan Application 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20" unbalanced="0"/>
    <cacheHierarchy uniqueName="[Table1].[Department - Designation]" caption="Department - Designation" attribute="1" defaultMemberUniqueName="[Table1].[Department - Designation].[All]" allUniqueName="[Table1].[Department - Design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esignation]" caption="Designation" attribute="1" defaultMemberUniqueName="[Table1].[Designation].[All]" allUniqueName="[Table1].[Designation].[All]" dimensionUniqueName="[Table1]" displayFolder="" count="0" memberValueDatatype="130" unbalanced="0"/>
    <cacheHierarchy uniqueName="[Table1].[Credit Score]" caption="Credit Score" attribute="1" defaultMemberUniqueName="[Table1].[Credit Score].[All]" allUniqueName="[Table1].[Credit Score].[All]" dimensionUniqueName="[Table1]" displayFolder="" count="0" memberValueDatatype="20" unbalanced="0"/>
    <cacheHierarchy uniqueName="[Table1].[Past Loans]" caption="Past Loans" attribute="1" defaultMemberUniqueName="[Table1].[Past Loans].[All]" allUniqueName="[Table1].[Past Loans].[All]" dimensionUniqueName="[Table1]" displayFolder="" count="0" memberValueDatatype="20" unbalanced="0"/>
    <cacheHierarchy uniqueName="[Table1].[Emi Defaults]" caption="Emi Defaults" attribute="1" defaultMemberUniqueName="[Table1].[Emi Defaults].[All]" allUniqueName="[Table1].[Emi Defaults].[All]" dimensionUniqueName="[Table1]" displayFolder="" count="0" memberValueDatatype="20" unbalanced="0"/>
    <cacheHierarchy uniqueName="[Table1].[Date of Birth]" caption="Date of Birth" attribute="1" time="1" defaultMemberUniqueName="[Table1].[Date of Birth].[All]" allUniqueName="[Table1].[Date of Birth].[All]" dimensionUniqueName="[Table1]" displayFolder="" count="0" memberValueDatatype="7" unbalanced="0"/>
    <cacheHierarchy uniqueName="[Table1].[New Loan Application amount]" caption="New Loan Application amount" attribute="1" defaultMemberUniqueName="[Table1].[New Loan Application amount].[All]" allUniqueName="[Table1].[New Loan Application amount].[All]" dimensionUniqueName="[Table1]" displayFolder="" count="0" memberValueDatatype="20" unbalanced="0"/>
    <cacheHierarchy uniqueName="[Table1].[Loan Type]" caption="Loan Type" attribute="1" defaultMemberUniqueName="[Table1].[Loan Type].[All]" allUniqueName="[Table1].[Loan Type].[All]" dimensionUniqueName="[Table1]" displayFolder="" count="2" memberValueDatatype="130" unbalanced="0"/>
    <cacheHierarchy uniqueName="[Table1].[Year of Birth]" caption="Year of Birth" attribute="1" defaultMemberUniqueName="[Table1].[Year of Birth].[All]" allUniqueName="[Table1].[Year of Birth].[All]" dimensionUniqueName="[Table1]" displayFolder="" count="0" memberValueDatatype="20" unbalanced="0"/>
    <cacheHierarchy uniqueName="[Table1].[Month of Loan Application]" caption="Month of Loan Application" attribute="1" defaultMemberUniqueName="[Table1].[Month of Loan Application].[All]" allUniqueName="[Table1].[Month of Loan Application].[All]" dimensionUniqueName="[Table1]" displayFolder="" count="0" memberValueDatatype="20" unbalanced="0"/>
    <cacheHierarchy uniqueName="[Table1].[Age of customer]" caption="Age of customer" attribute="1" defaultMemberUniqueName="[Table1].[Age of customer].[All]" allUniqueName="[Table1].[Age of customer].[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Risk Category]" caption="Risk Category" attribute="1" defaultMemberUniqueName="[Table1].[Risk Category].[All]" allUniqueName="[Table1].[Risk Category].[All]" dimensionUniqueName="[Table1]" displayFolder="" count="0" memberValueDatatype="130" unbalanced="0"/>
    <cacheHierarchy uniqueName="[Table2].[Loan Application Date]" caption="Loan Application Date" attribute="1" time="1" defaultMemberUniqueName="[Table2].[Loan Application Date].[All]" allUniqueName="[Table2].[Loan Application Date].[All]" dimensionUniqueName="[Table2]" displayFolder="" count="0" memberValueDatatype="7" unbalanced="0"/>
    <cacheHierarchy uniqueName="[Table2].[CustomerID]" caption="CustomerID" attribute="1" defaultMemberUniqueName="[Table2].[CustomerID].[All]" allUniqueName="[Table2].[CustomerID].[All]" dimensionUniqueName="[Table2]" displayFolder="" count="0" memberValueDatatype="20" unbalanced="0"/>
    <cacheHierarchy uniqueName="[Table2].[Department - Designation]" caption="Department - Designation" attribute="1" defaultMemberUniqueName="[Table2].[Department - Designation].[All]" allUniqueName="[Table2].[Department - Designation].[All]" dimensionUniqueName="[Table2]"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Designation]" caption="Designation" attribute="1" defaultMemberUniqueName="[Table2].[Designation].[All]" allUniqueName="[Table2].[Designation].[All]" dimensionUniqueName="[Table2]" displayFolder="" count="0" memberValueDatatype="130" unbalanced="0"/>
    <cacheHierarchy uniqueName="[Table2].[Credit Score]" caption="Credit Score" attribute="1" defaultMemberUniqueName="[Table2].[Credit Score].[All]" allUniqueName="[Table2].[Credit Score].[All]" dimensionUniqueName="[Table2]" displayFolder="" count="0" memberValueDatatype="20" unbalanced="0"/>
    <cacheHierarchy uniqueName="[Table2].[Past Loans]" caption="Past Loans" attribute="1" defaultMemberUniqueName="[Table2].[Past Loans].[All]" allUniqueName="[Table2].[Past Loans].[All]" dimensionUniqueName="[Table2]" displayFolder="" count="0" memberValueDatatype="20" unbalanced="0"/>
    <cacheHierarchy uniqueName="[Table2].[Emi Defaults]" caption="Emi Defaults" attribute="1" defaultMemberUniqueName="[Table2].[Emi Defaults].[All]" allUniqueName="[Table2].[Emi Defaults].[All]" dimensionUniqueName="[Table2]" displayFolder="" count="0" memberValueDatatype="20" unbalanced="0"/>
    <cacheHierarchy uniqueName="[Table2].[Date of Birth]" caption="Date of Birth" attribute="1" time="1" defaultMemberUniqueName="[Table2].[Date of Birth].[All]" allUniqueName="[Table2].[Date of Birth].[All]" dimensionUniqueName="[Table2]" displayFolder="" count="0" memberValueDatatype="7" unbalanced="0"/>
    <cacheHierarchy uniqueName="[Table2].[New Loan Application amount]" caption="New Loan Application amount" attribute="1" defaultMemberUniqueName="[Table2].[New Loan Application amount].[All]" allUniqueName="[Table2].[New Loan Application amount].[All]" dimensionUniqueName="[Table2]" displayFolder="" count="0" memberValueDatatype="20" unbalanced="0"/>
    <cacheHierarchy uniqueName="[Table2].[Loan Type]" caption="Loan Type" attribute="1" defaultMemberUniqueName="[Table2].[Loan Type].[All]" allUniqueName="[Table2].[Loan Type].[All]" dimensionUniqueName="[Table2]" displayFolder="" count="0" memberValueDatatype="130" unbalanced="0"/>
    <cacheHierarchy uniqueName="[Table2].[Year of Birth]" caption="Year of Birth" attribute="1" defaultMemberUniqueName="[Table2].[Year of Birth].[All]" allUniqueName="[Table2].[Year of Birth].[All]" dimensionUniqueName="[Table2]" displayFolder="" count="0" memberValueDatatype="20" unbalanced="0"/>
    <cacheHierarchy uniqueName="[Table2].[Month of Loan Application]" caption="Month of Loan Application" attribute="1" defaultMemberUniqueName="[Table2].[Month of Loan Application].[All]" allUniqueName="[Table2].[Month of Loan Application].[All]" dimensionUniqueName="[Table2]" displayFolder="" count="0" memberValueDatatype="20" unbalanced="0"/>
    <cacheHierarchy uniqueName="[Table2].[Age of customer]" caption="Age of customer" attribute="1" defaultMemberUniqueName="[Table2].[Age of customer].[All]" allUniqueName="[Table2].[Age of customer].[All]" dimensionUniqueName="[Table2]" displayFolder="" count="0" memberValueDatatype="20" unbalanced="0"/>
    <cacheHierarchy uniqueName="[Table2].[Credit Score Range]" caption="Credit Score Range" attribute="1" defaultMemberUniqueName="[Table2].[Credit Score Range].[All]" allUniqueName="[Table2].[Credit Score Range].[All]" dimensionUniqueName="[Table2]" displayFolder="" count="0" memberValueDatatype="130" unbalanced="0"/>
    <cacheHierarchy uniqueName="[Table2].[Risk Category]" caption="Risk Category" attribute="1" defaultMemberUniqueName="[Table2].[Risk Category].[All]" allUniqueName="[Table2].[Risk Category].[All]" dimensionUniqueName="[Table2]" displayFolder="" count="0" memberValueDatatype="130" unbalanced="0"/>
    <cacheHierarchy uniqueName="[Table2].[Loan Application Date (Month)]" caption="Loan Application Date (Month)" attribute="1" defaultMemberUniqueName="[Table2].[Loan Application Date (Month)].[All]" allUniqueName="[Table2].[Loan Application Date (Month)].[All]" dimensionUniqueName="[Table2]" displayFolder="" count="2" memberValueDatatype="130" unbalanced="0">
      <fieldsUsage count="2">
        <fieldUsage x="-1"/>
        <fieldUsage x="0"/>
      </fieldsUsage>
    </cacheHierarchy>
    <cacheHierarchy uniqueName="[Table2].[Loan Application Date (Month Index)]" caption="Loan Application Date (Month Index)" attribute="1" defaultMemberUniqueName="[Table2].[Loan Application Date (Month Index)].[All]" allUniqueName="[Table2].[Loan Application 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17"/>
        </ext>
      </extLst>
    </cacheHierarchy>
    <cacheHierarchy uniqueName="[Measures].[Sum of New Loan Application amount]" caption="Sum of New Loan Application amount" measure="1" displayFolder="" measureGroup="Table2"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redit Score Range]" caption="Count of Credit Score Range" measure="1" displayFolder="" measureGroup="Table2"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pivotCacheId="148965606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priya Vijaykumar" refreshedDate="46092.720131712966" backgroundQuery="1" createdVersion="3" refreshedVersion="8" minRefreshableVersion="3" recordCount="0" supportSubquery="1" supportAdvancedDrill="1" xr:uid="{B8846B86-204B-4D2A-ACB5-E685E1078879}">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Measures]" caption="Measures" attribute="1" keyAttribute="1" defaultMemberUniqueName="[Measures].[__No measures defined]" dimensionUniqueName="[Measures]" displayFolder="" measures="1" count="1" memberValueDatatype="130" unbalanced="0"/>
    <cacheHierarchy uniqueName="[Table1].[Loan Application Date]" caption="Loan Application Date" attribute="1" time="1" defaultMemberUniqueName="[Table1].[Loan Application Date].[All]" allUniqueName="[Table1].[Loan Application Date].[All]" dimensionUniqueName="[Table1]" displayFolder="" count="2" memberValueDatatype="7" unbalanced="0"/>
    <cacheHierarchy uniqueName="[Table1].[CustomerID]" caption="CustomerID" attribute="1" defaultMemberUniqueName="[Table1].[CustomerID].[All]" allUniqueName="[Table1].[CustomerID].[All]" dimensionUniqueName="[Table1]" displayFolder="" count="2" memberValueDatatype="20" unbalanced="0"/>
    <cacheHierarchy uniqueName="[Table1].[Department - Designation]" caption="Department - Designation" attribute="1" defaultMemberUniqueName="[Table1].[Department - Designation].[All]" allUniqueName="[Table1].[Department - Designation].[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Designation]" caption="Designation" attribute="1" defaultMemberUniqueName="[Table1].[Designation].[All]" allUniqueName="[Table1].[Designation].[All]" dimensionUniqueName="[Table1]" displayFolder="" count="2" memberValueDatatype="130" unbalanced="0"/>
    <cacheHierarchy uniqueName="[Table1].[Credit Score]" caption="Credit Score" attribute="1" defaultMemberUniqueName="[Table1].[Credit Score].[All]" allUniqueName="[Table1].[Credit Score].[All]" dimensionUniqueName="[Table1]" displayFolder="" count="2" memberValueDatatype="20" unbalanced="0"/>
    <cacheHierarchy uniqueName="[Table1].[Past Loans]" caption="Past Loans" attribute="1" defaultMemberUniqueName="[Table1].[Past Loans].[All]" allUniqueName="[Table1].[Past Loans].[All]" dimensionUniqueName="[Table1]" displayFolder="" count="2" memberValueDatatype="20" unbalanced="0"/>
    <cacheHierarchy uniqueName="[Table1].[Emi Defaults]" caption="Emi Defaults" attribute="1" defaultMemberUniqueName="[Table1].[Emi Defaults].[All]" allUniqueName="[Table1].[Emi Defaults].[All]" dimensionUniqueName="[Table1]" displayFolder="" count="2" memberValueDatatype="20" unbalanced="0"/>
    <cacheHierarchy uniqueName="[Table1].[Date of Birth]" caption="Date of Birth" attribute="1" time="1" defaultMemberUniqueName="[Table1].[Date of Birth].[All]" allUniqueName="[Table1].[Date of Birth].[All]" dimensionUniqueName="[Table1]" displayFolder="" count="2" memberValueDatatype="7" unbalanced="0"/>
    <cacheHierarchy uniqueName="[Table1].[New Loan Application amount]" caption="New Loan Application amount" attribute="1" defaultMemberUniqueName="[Table1].[New Loan Application amount].[All]" allUniqueName="[Table1].[New Loan Application amount].[All]" dimensionUniqueName="[Table1]" displayFolder="" count="2" memberValueDatatype="20" unbalanced="0"/>
    <cacheHierarchy uniqueName="[Table1].[Loan Type]" caption="Loan Type" attribute="1" defaultMemberUniqueName="[Table1].[Loan Type].[All]" allUniqueName="[Table1].[Loan Type].[All]" dimensionUniqueName="[Table1]" displayFolder="" count="2" memberValueDatatype="130" unbalanced="0"/>
    <cacheHierarchy uniqueName="[Table1].[Year of Birth]" caption="Year of Birth" attribute="1" defaultMemberUniqueName="[Table1].[Year of Birth].[All]" allUniqueName="[Table1].[Year of Birth].[All]" dimensionUniqueName="[Table1]" displayFolder="" count="2" memberValueDatatype="20" unbalanced="0"/>
    <cacheHierarchy uniqueName="[Table1].[Month of Loan Application]" caption="Month of Loan Application" attribute="1" defaultMemberUniqueName="[Table1].[Month of Loan Application].[All]" allUniqueName="[Table1].[Month of Loan Application].[All]" dimensionUniqueName="[Table1]" displayFolder="" count="2" memberValueDatatype="20" unbalanced="0"/>
    <cacheHierarchy uniqueName="[Table1].[Age of customer]" caption="Age of customer" attribute="1" defaultMemberUniqueName="[Table1].[Age of customer].[All]" allUniqueName="[Table1].[Age of customer].[All]" dimensionUniqueName="[Table1]" displayFolder="" count="2" memberValueDatatype="20" unbalanced="0"/>
    <cacheHierarchy uniqueName="[Table1].[Credit Score Range]" caption="Credit Score Range" attribute="1" defaultMemberUniqueName="[Table1].[Credit Score Range].[All]" allUniqueName="[Table1].[Credit Score Range].[All]" dimensionUniqueName="[Table1]" displayFolder="" count="2" memberValueDatatype="130" unbalanced="0"/>
    <cacheHierarchy uniqueName="[Table1].[Risk Category]" caption="Risk Category" attribute="1" defaultMemberUniqueName="[Table1].[Risk Category].[All]" allUniqueName="[Table1].[Risk Category].[All]" dimensionUniqueName="[Table1]" displayFolder="" count="2" memberValueDatatype="130" unbalanced="0"/>
    <cacheHierarchy uniqueName="[Table2].[Loan Application Date]" caption="Loan Application Date" attribute="1" time="1" defaultMemberUniqueName="[Table2].[Loan Application Date].[All]" allUniqueName="[Table2].[Loan Application Date].[All]" dimensionUniqueName="[Table2]" displayFolder="" count="2" memberValueDatatype="7" unbalanced="0"/>
    <cacheHierarchy uniqueName="[Table2].[CustomerID]" caption="CustomerID" attribute="1" defaultMemberUniqueName="[Table2].[CustomerID].[All]" allUniqueName="[Table2].[CustomerID].[All]" dimensionUniqueName="[Table2]" displayFolder="" count="2" memberValueDatatype="20" unbalanced="0"/>
    <cacheHierarchy uniqueName="[Table2].[Department - Designation]" caption="Department - Designation" attribute="1" defaultMemberUniqueName="[Table2].[Department - Designation].[All]" allUniqueName="[Table2].[Department - Designation].[All]" dimensionUniqueName="[Table2]" displayFolder="" count="2"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Designation]" caption="Designation" attribute="1" defaultMemberUniqueName="[Table2].[Designation].[All]" allUniqueName="[Table2].[Designation].[All]" dimensionUniqueName="[Table2]" displayFolder="" count="2" memberValueDatatype="130" unbalanced="0"/>
    <cacheHierarchy uniqueName="[Table2].[Credit Score]" caption="Credit Score" attribute="1" defaultMemberUniqueName="[Table2].[Credit Score].[All]" allUniqueName="[Table2].[Credit Score].[All]" dimensionUniqueName="[Table2]" displayFolder="" count="2" memberValueDatatype="20" unbalanced="0"/>
    <cacheHierarchy uniqueName="[Table2].[Past Loans]" caption="Past Loans" attribute="1" defaultMemberUniqueName="[Table2].[Past Loans].[All]" allUniqueName="[Table2].[Past Loans].[All]" dimensionUniqueName="[Table2]" displayFolder="" count="2" memberValueDatatype="20" unbalanced="0"/>
    <cacheHierarchy uniqueName="[Table2].[Emi Defaults]" caption="Emi Defaults" attribute="1" defaultMemberUniqueName="[Table2].[Emi Defaults].[All]" allUniqueName="[Table2].[Emi Defaults].[All]" dimensionUniqueName="[Table2]" displayFolder="" count="2" memberValueDatatype="20" unbalanced="0"/>
    <cacheHierarchy uniqueName="[Table2].[Date of Birth]" caption="Date of Birth" attribute="1" time="1" defaultMemberUniqueName="[Table2].[Date of Birth].[All]" allUniqueName="[Table2].[Date of Birth].[All]" dimensionUniqueName="[Table2]" displayFolder="" count="2" memberValueDatatype="7" unbalanced="0"/>
    <cacheHierarchy uniqueName="[Table2].[New Loan Application amount]" caption="New Loan Application amount" attribute="1" defaultMemberUniqueName="[Table2].[New Loan Application amount].[All]" allUniqueName="[Table2].[New Loan Application amount].[All]" dimensionUniqueName="[Table2]" displayFolder="" count="2" memberValueDatatype="20" unbalanced="0"/>
    <cacheHierarchy uniqueName="[Table2].[Loan Type]" caption="Loan Type" attribute="1" defaultMemberUniqueName="[Table2].[Loan Type].[All]" allUniqueName="[Table2].[Loan Type].[All]" dimensionUniqueName="[Table2]" displayFolder="" count="2" memberValueDatatype="130" unbalanced="0"/>
    <cacheHierarchy uniqueName="[Table2].[Year of Birth]" caption="Year of Birth" attribute="1" defaultMemberUniqueName="[Table2].[Year of Birth].[All]" allUniqueName="[Table2].[Year of Birth].[All]" dimensionUniqueName="[Table2]" displayFolder="" count="2" memberValueDatatype="20" unbalanced="0"/>
    <cacheHierarchy uniqueName="[Table2].[Month of Loan Application]" caption="Month of Loan Application" attribute="1" defaultMemberUniqueName="[Table2].[Month of Loan Application].[All]" allUniqueName="[Table2].[Month of Loan Application].[All]" dimensionUniqueName="[Table2]" displayFolder="" count="2" memberValueDatatype="20" unbalanced="0"/>
    <cacheHierarchy uniqueName="[Table2].[Age of customer]" caption="Age of customer" attribute="1" defaultMemberUniqueName="[Table2].[Age of customer].[All]" allUniqueName="[Table2].[Age of customer].[All]" dimensionUniqueName="[Table2]" displayFolder="" count="2" memberValueDatatype="20" unbalanced="0"/>
    <cacheHierarchy uniqueName="[Table2].[Credit Score Range]" caption="Credit Score Range" attribute="1" defaultMemberUniqueName="[Table2].[Credit Score Range].[All]" allUniqueName="[Table2].[Credit Score Range].[All]" dimensionUniqueName="[Table2]" displayFolder="" count="2" memberValueDatatype="130" unbalanced="0"/>
    <cacheHierarchy uniqueName="[Table2].[Risk Category]" caption="Risk Category" attribute="1" defaultMemberUniqueName="[Table2].[Risk Category].[All]" allUniqueName="[Table2].[Risk Category].[All]" dimensionUniqueName="[Table2]" displayFolder="" count="2" memberValueDatatype="130" unbalanced="0"/>
    <cacheHierarchy uniqueName="[Table2].[Loan Application Date (Month)]" caption="Loan Application Date (Month)" attribute="1" defaultMemberUniqueName="[Table2].[Loan Application Date (Month)].[All]" allUniqueName="[Table2].[Loan Application Date (Month)].[All]" dimensionUniqueName="[Table2]" displayFolder="" count="2" memberValueDatatype="130" unbalanced="0"/>
    <cacheHierarchy uniqueName="[Table2].[Loan Application Date (Month Index)]" caption="Loan Application Date (Month Index)" attribute="1" defaultMemberUniqueName="[Table2].[Loan Application Date (Month Index)].[All]" allUniqueName="[Table2].[Loan Application Date (Month Index)].[All]" dimensionUniqueName="[Table2]" displayFolder="" count="2"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18"/>
        </ext>
      </extLst>
    </cacheHierarchy>
    <cacheHierarchy uniqueName="[Measures].[Sum of New Loan Application amount]" caption="Sum of New Loan Application amount" measure="1" displayFolder="" measureGroup="Table2" count="0" hidden="1">
      <extLst>
        <ext xmlns:x15="http://schemas.microsoft.com/office/spreadsheetml/2010/11/main" uri="{B97F6D7D-B522-45F9-BDA1-12C45D357490}">
          <x15:cacheHierarchy aggregatedColumn="26"/>
        </ext>
      </extLst>
    </cacheHierarchy>
    <cacheHierarchy uniqueName="[Measures].[Count of Credit Score Range]" caption="Count of Credit Score Range" measure="1" displayFolder="" measureGroup="Table2"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pivotCacheId="20606870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d v="2020-08-26T00:00:00"/>
    <n v="91270"/>
    <s v="Marketing - Director"/>
    <s v="Marketing"/>
    <s v="Director"/>
    <n v="700"/>
    <n v="3"/>
    <n v="5"/>
    <d v="1988-10-20T00:00:00"/>
    <n v="724892"/>
    <x v="0"/>
    <n v="1988"/>
    <n v="8"/>
    <n v="38"/>
    <s v="Good"/>
    <s v="Medium Risk"/>
  </r>
  <r>
    <d v="2020-04-24T00:00:00"/>
    <n v="19419"/>
    <s v="Operation - Executive"/>
    <s v="Operation"/>
    <s v="Executive"/>
    <n v="738"/>
    <n v="1"/>
    <n v="10"/>
    <d v="1990-05-16T00:00:00"/>
    <n v="619419"/>
    <x v="0"/>
    <n v="1990"/>
    <n v="4"/>
    <n v="36"/>
    <s v="Good"/>
    <s v="High Risk"/>
  </r>
  <r>
    <d v="2020-09-25T00:00:00"/>
    <n v="33678"/>
    <s v="Marketing - Executive"/>
    <s v="Marketing"/>
    <s v="Executive"/>
    <n v="797"/>
    <n v="5"/>
    <n v="9"/>
    <d v="1992-01-14T00:00:00"/>
    <n v="546715"/>
    <x v="0"/>
    <n v="1992"/>
    <n v="9"/>
    <n v="34"/>
    <s v="Excellent"/>
    <s v="High Risk"/>
  </r>
  <r>
    <d v="2020-07-20T00:00:00"/>
    <n v="66356"/>
    <s v="Growth - Manager"/>
    <s v="Growth"/>
    <s v="Manager"/>
    <n v="798"/>
    <n v="1"/>
    <n v="3"/>
    <d v="1986-09-25T00:00:00"/>
    <n v="591212"/>
    <x v="1"/>
    <n v="1986"/>
    <n v="7"/>
    <n v="40"/>
    <s v="Excellent"/>
    <s v="Medium Risk"/>
  </r>
  <r>
    <d v="2020-01-17T00:00:00"/>
    <n v="85241"/>
    <s v="Marketing - Manager"/>
    <s v="Marketing"/>
    <s v="Manager"/>
    <n v="712"/>
    <n v="2"/>
    <n v="2"/>
    <d v="1993-02-19T00:00:00"/>
    <n v="853015"/>
    <x v="0"/>
    <n v="1993"/>
    <n v="1"/>
    <n v="33"/>
    <s v="Good"/>
    <s v="Medium Risk"/>
  </r>
  <r>
    <d v="2020-06-15T00:00:00"/>
    <n v="83733"/>
    <s v="Operation - Manager"/>
    <s v="Operation"/>
    <s v="Manager"/>
    <n v="783"/>
    <n v="4"/>
    <n v="3"/>
    <d v="1984-08-17T00:00:00"/>
    <n v="873595"/>
    <x v="2"/>
    <n v="1984"/>
    <n v="6"/>
    <n v="42"/>
    <s v="Excellent"/>
    <s v="Medium Risk"/>
  </r>
  <r>
    <d v="2020-03-29T00:00:00"/>
    <n v="40255"/>
    <s v="Strategy - Executive"/>
    <s v="Strategy"/>
    <s v="Executive"/>
    <n v="725"/>
    <n v="1"/>
    <n v="5"/>
    <d v="1983-04-14T00:00:00"/>
    <n v="779732"/>
    <x v="2"/>
    <n v="1983"/>
    <n v="3"/>
    <n v="43"/>
    <s v="Good"/>
    <s v="Medium Risk"/>
  </r>
  <r>
    <d v="2020-08-20T00:00:00"/>
    <n v="23150"/>
    <s v="Marketing - Intern"/>
    <s v="Marketing"/>
    <s v="Intern"/>
    <n v="795"/>
    <n v="3"/>
    <n v="1"/>
    <d v="1992-04-02T00:00:00"/>
    <n v="827502"/>
    <x v="0"/>
    <n v="1992"/>
    <n v="8"/>
    <n v="34"/>
    <s v="Excellent"/>
    <s v="Low Risk"/>
  </r>
  <r>
    <d v="2020-04-05T00:00:00"/>
    <n v="61923"/>
    <s v="Strategy - Intern"/>
    <s v="Strategy"/>
    <s v="Intern"/>
    <n v="730"/>
    <n v="4"/>
    <n v="2"/>
    <d v="1994-06-07T00:00:00"/>
    <n v="939272"/>
    <x v="0"/>
    <n v="1994"/>
    <n v="4"/>
    <n v="32"/>
    <s v="Good"/>
    <s v="Medium Risk"/>
  </r>
  <r>
    <d v="2020-05-01T00:00:00"/>
    <n v="32314"/>
    <s v="Sales - Manager"/>
    <s v="Sales"/>
    <s v="Manager"/>
    <n v="711"/>
    <n v="5"/>
    <n v="4"/>
    <d v="1989-08-27T00:00:00"/>
    <n v="748267"/>
    <x v="0"/>
    <n v="1989"/>
    <n v="5"/>
    <n v="37"/>
    <s v="Good"/>
    <s v="Medium Risk"/>
  </r>
  <r>
    <d v="2020-11-23T00:00:00"/>
    <n v="51904"/>
    <s v="Marketing - Executive"/>
    <s v="Marketing"/>
    <s v="Executive"/>
    <n v="718"/>
    <n v="4"/>
    <n v="10"/>
    <d v="1991-05-10T00:00:00"/>
    <n v="845409"/>
    <x v="0"/>
    <n v="1991"/>
    <n v="11"/>
    <n v="35"/>
    <s v="Good"/>
    <s v="High Risk"/>
  </r>
  <r>
    <d v="2020-05-26T00:00:00"/>
    <n v="10949"/>
    <s v="Strategy - Manager"/>
    <s v="Strategy"/>
    <s v="Manager"/>
    <n v="701"/>
    <n v="5"/>
    <n v="4"/>
    <d v="1990-12-04T00:00:00"/>
    <n v="855796"/>
    <x v="0"/>
    <n v="1990"/>
    <n v="5"/>
    <n v="36"/>
    <s v="Good"/>
    <s v="Medium Risk"/>
  </r>
  <r>
    <d v="2020-02-04T00:00:00"/>
    <n v="42544"/>
    <s v="Operation - Intern"/>
    <s v="Operation"/>
    <s v="Intern"/>
    <n v="776"/>
    <n v="2"/>
    <n v="3"/>
    <d v="1988-09-12T00:00:00"/>
    <n v="558415"/>
    <x v="1"/>
    <n v="1988"/>
    <n v="2"/>
    <n v="38"/>
    <s v="Excellent"/>
    <s v="Medium Risk"/>
  </r>
  <r>
    <d v="2020-08-29T00:00:00"/>
    <n v="10892"/>
    <s v="Operation - Manager"/>
    <s v="Operation"/>
    <s v="Manager"/>
    <n v="719"/>
    <n v="2"/>
    <n v="3"/>
    <d v="1986-08-16T00:00:00"/>
    <n v="832131"/>
    <x v="1"/>
    <n v="1986"/>
    <n v="8"/>
    <n v="40"/>
    <s v="Good"/>
    <s v="Medium Risk"/>
  </r>
  <r>
    <d v="2020-03-11T00:00:00"/>
    <n v="11082"/>
    <s v="Growth - Director"/>
    <s v="Growth"/>
    <s v="Director"/>
    <n v="789"/>
    <n v="2"/>
    <n v="4"/>
    <d v="1992-08-05T00:00:00"/>
    <n v="729265"/>
    <x v="0"/>
    <n v="1992"/>
    <n v="3"/>
    <n v="34"/>
    <s v="Excellent"/>
    <s v="Medium Risk"/>
  </r>
  <r>
    <d v="2020-01-07T00:00:00"/>
    <n v="23890"/>
    <s v="Sales - Director"/>
    <s v="Sales"/>
    <s v="Director"/>
    <n v="800"/>
    <n v="1"/>
    <n v="3"/>
    <d v="1992-12-16T00:00:00"/>
    <n v="689012"/>
    <x v="2"/>
    <n v="1992"/>
    <n v="1"/>
    <n v="34"/>
    <s v="Excellent"/>
    <s v="Medium Risk"/>
  </r>
  <r>
    <d v="2020-06-03T00:00:00"/>
    <n v="60179"/>
    <s v="Strategy - Intern"/>
    <s v="Strategy"/>
    <s v="Intern"/>
    <n v="799"/>
    <n v="5"/>
    <n v="1"/>
    <d v="1992-01-31T00:00:00"/>
    <n v="520227"/>
    <x v="0"/>
    <n v="1992"/>
    <n v="6"/>
    <n v="34"/>
    <s v="Excellent"/>
    <s v="Low Risk"/>
  </r>
  <r>
    <d v="2020-04-13T00:00:00"/>
    <n v="99876"/>
    <s v="Marketing - Manager"/>
    <s v="Marketing"/>
    <s v="Manager"/>
    <n v="734"/>
    <n v="2"/>
    <n v="9"/>
    <d v="1980-02-22T00:00:00"/>
    <n v="751406"/>
    <x v="2"/>
    <n v="1980"/>
    <n v="4"/>
    <n v="46"/>
    <s v="Good"/>
    <s v="High Risk"/>
  </r>
  <r>
    <d v="2020-08-15T00:00:00"/>
    <n v="35086"/>
    <s v="Operation - Director"/>
    <s v="Operation"/>
    <s v="Director"/>
    <n v="745"/>
    <n v="5"/>
    <n v="7"/>
    <d v="1991-08-12T00:00:00"/>
    <n v="960724"/>
    <x v="2"/>
    <n v="1991"/>
    <n v="8"/>
    <n v="35"/>
    <s v="Good"/>
    <s v="High Risk"/>
  </r>
  <r>
    <d v="2020-05-11T00:00:00"/>
    <n v="45939"/>
    <s v="Growth - Director"/>
    <s v="Growth"/>
    <s v="Director"/>
    <n v="700"/>
    <n v="3"/>
    <n v="6"/>
    <d v="1988-09-20T00:00:00"/>
    <n v="593047"/>
    <x v="2"/>
    <n v="1988"/>
    <n v="5"/>
    <n v="38"/>
    <s v="Good"/>
    <s v="High Risk"/>
  </r>
  <r>
    <d v="2020-02-07T00:00:00"/>
    <n v="43592"/>
    <s v="Strategy - Executive"/>
    <s v="Strategy"/>
    <s v="Executive"/>
    <n v="731"/>
    <n v="5"/>
    <n v="5"/>
    <d v="1990-05-31T00:00:00"/>
    <n v="712524"/>
    <x v="2"/>
    <n v="1990"/>
    <n v="2"/>
    <n v="36"/>
    <s v="Good"/>
    <s v="Medium Risk"/>
  </r>
  <r>
    <d v="2020-03-02T00:00:00"/>
    <n v="77140"/>
    <s v="Marketing - Intern"/>
    <s v="Marketing"/>
    <s v="Intern"/>
    <n v="783"/>
    <n v="3"/>
    <n v="7"/>
    <d v="1984-07-18T00:00:00"/>
    <n v="562825"/>
    <x v="1"/>
    <n v="1984"/>
    <n v="3"/>
    <n v="42"/>
    <s v="Excellent"/>
    <s v="High Risk"/>
  </r>
  <r>
    <d v="2020-07-30T00:00:00"/>
    <n v="67126"/>
    <s v="Marketing - Executive"/>
    <s v="Marketing"/>
    <s v="Executive"/>
    <n v="787"/>
    <n v="1"/>
    <n v="10"/>
    <d v="1987-04-17T00:00:00"/>
    <n v="625401"/>
    <x v="1"/>
    <n v="1987"/>
    <n v="7"/>
    <n v="39"/>
    <s v="Excellent"/>
    <s v="High Risk"/>
  </r>
  <r>
    <d v="2020-04-26T00:00:00"/>
    <n v="19794"/>
    <s v="Finance - Intern"/>
    <s v="Finance"/>
    <s v="Intern"/>
    <n v="726"/>
    <n v="1"/>
    <n v="2"/>
    <d v="1985-12-17T00:00:00"/>
    <n v="850151"/>
    <x v="2"/>
    <n v="1985"/>
    <n v="4"/>
    <n v="41"/>
    <s v="Good"/>
    <s v="Medium Risk"/>
  </r>
  <r>
    <d v="2020-09-07T00:00:00"/>
    <n v="65225"/>
    <s v="Sales - Manager"/>
    <s v="Sales"/>
    <s v="Manager"/>
    <n v="733"/>
    <n v="2"/>
    <n v="6"/>
    <d v="1980-10-25T00:00:00"/>
    <n v="944492"/>
    <x v="0"/>
    <n v="1980"/>
    <n v="9"/>
    <n v="46"/>
    <s v="Good"/>
    <s v="High Risk"/>
  </r>
  <r>
    <d v="2020-10-28T00:00:00"/>
    <n v="94260"/>
    <s v="Growth - Director"/>
    <s v="Growth"/>
    <s v="Director"/>
    <n v="752"/>
    <n v="3"/>
    <n v="7"/>
    <d v="1990-05-14T00:00:00"/>
    <n v="780278"/>
    <x v="2"/>
    <n v="1990"/>
    <n v="10"/>
    <n v="36"/>
    <s v="Excellent"/>
    <s v="High Risk"/>
  </r>
  <r>
    <d v="2020-11-10T00:00:00"/>
    <n v="53504"/>
    <s v="Finance - Executive"/>
    <s v="Finance"/>
    <s v="Executive"/>
    <n v="721"/>
    <n v="3"/>
    <n v="3"/>
    <d v="1994-05-29T00:00:00"/>
    <n v="543448"/>
    <x v="1"/>
    <n v="1994"/>
    <n v="11"/>
    <n v="32"/>
    <s v="Good"/>
    <s v="Medium Risk"/>
  </r>
  <r>
    <d v="2020-01-03T00:00:00"/>
    <n v="44329"/>
    <s v="Sales - Executive"/>
    <s v="Sales"/>
    <s v="Executive"/>
    <n v="713"/>
    <n v="5"/>
    <n v="7"/>
    <d v="1980-02-24T00:00:00"/>
    <n v="939519"/>
    <x v="2"/>
    <n v="1980"/>
    <n v="1"/>
    <n v="46"/>
    <s v="Good"/>
    <s v="High Risk"/>
  </r>
  <r>
    <d v="2020-10-31T00:00:00"/>
    <n v="45312"/>
    <s v="Sales - Executive"/>
    <s v="Sales"/>
    <s v="Executive"/>
    <n v="753"/>
    <n v="2"/>
    <n v="6"/>
    <d v="1986-05-21T00:00:00"/>
    <n v="709857"/>
    <x v="0"/>
    <n v="1986"/>
    <n v="10"/>
    <n v="40"/>
    <s v="Excellent"/>
    <s v="High Risk"/>
  </r>
  <r>
    <d v="2020-05-08T00:00:00"/>
    <n v="67449"/>
    <s v="Sales - Director"/>
    <s v="Sales"/>
    <s v="Director"/>
    <n v="739"/>
    <n v="3"/>
    <n v="8"/>
    <d v="1986-03-15T00:00:00"/>
    <n v="531838"/>
    <x v="1"/>
    <n v="1986"/>
    <n v="5"/>
    <n v="40"/>
    <s v="Good"/>
    <s v="High Risk"/>
  </r>
  <r>
    <d v="2020-03-04T00:00:00"/>
    <n v="17977"/>
    <s v="Strategy - Executive"/>
    <s v="Strategy"/>
    <s v="Executive"/>
    <n v="735"/>
    <n v="2"/>
    <n v="2"/>
    <d v="1994-11-05T00:00:00"/>
    <n v="653325"/>
    <x v="1"/>
    <n v="1994"/>
    <n v="3"/>
    <n v="32"/>
    <s v="Good"/>
    <s v="Medium Risk"/>
  </r>
  <r>
    <d v="2020-04-08T00:00:00"/>
    <n v="89671"/>
    <s v="Strategy - Manager"/>
    <s v="Strategy"/>
    <s v="Manager"/>
    <n v="728"/>
    <n v="1"/>
    <n v="6"/>
    <d v="1983-11-22T00:00:00"/>
    <n v="818354"/>
    <x v="1"/>
    <n v="1983"/>
    <n v="4"/>
    <n v="43"/>
    <s v="Good"/>
    <s v="High Risk"/>
  </r>
  <r>
    <d v="2020-12-10T00:00:00"/>
    <n v="38589"/>
    <s v="Operation - Executive"/>
    <s v="Operation"/>
    <s v="Executive"/>
    <n v="779"/>
    <n v="4"/>
    <n v="10"/>
    <d v="1983-08-22T00:00:00"/>
    <n v="614492"/>
    <x v="0"/>
    <n v="1983"/>
    <n v="12"/>
    <n v="43"/>
    <s v="Excellent"/>
    <s v="High Risk"/>
  </r>
  <r>
    <d v="2020-10-31T00:00:00"/>
    <n v="16060"/>
    <s v="Sales - Executive"/>
    <s v="Sales"/>
    <s v="Executive"/>
    <n v="751"/>
    <n v="3"/>
    <n v="3"/>
    <d v="1989-03-31T00:00:00"/>
    <n v="983519"/>
    <x v="0"/>
    <n v="1989"/>
    <n v="10"/>
    <n v="37"/>
    <s v="Excellent"/>
    <s v="Medium Risk"/>
  </r>
  <r>
    <d v="2020-02-07T00:00:00"/>
    <n v="86698"/>
    <s v="Strategy - Intern"/>
    <s v="Strategy"/>
    <s v="Intern"/>
    <n v="739"/>
    <n v="2"/>
    <n v="3"/>
    <d v="1986-01-13T00:00:00"/>
    <n v="961148"/>
    <x v="0"/>
    <n v="1986"/>
    <n v="2"/>
    <n v="40"/>
    <s v="Good"/>
    <s v="Medium Risk"/>
  </r>
  <r>
    <d v="2020-01-27T00:00:00"/>
    <n v="83729"/>
    <s v="Sales - Director"/>
    <s v="Sales"/>
    <s v="Director"/>
    <n v="797"/>
    <n v="2"/>
    <n v="2"/>
    <d v="1989-11-14T00:00:00"/>
    <n v="734953"/>
    <x v="1"/>
    <n v="1989"/>
    <n v="1"/>
    <n v="37"/>
    <s v="Excellent"/>
    <s v="Low Risk"/>
  </r>
  <r>
    <d v="2020-10-15T00:00:00"/>
    <n v="69797"/>
    <s v="Strategy - Manager"/>
    <s v="Strategy"/>
    <s v="Manager"/>
    <n v="763"/>
    <n v="5"/>
    <n v="10"/>
    <d v="1987-06-17T00:00:00"/>
    <n v="577102"/>
    <x v="2"/>
    <n v="1987"/>
    <n v="10"/>
    <n v="39"/>
    <s v="Excellent"/>
    <s v="High Risk"/>
  </r>
  <r>
    <d v="2020-10-19T00:00:00"/>
    <n v="93072"/>
    <s v="Sales - Manager"/>
    <s v="Sales"/>
    <s v="Manager"/>
    <n v="706"/>
    <n v="3"/>
    <n v="10"/>
    <d v="1991-07-19T00:00:00"/>
    <n v="847226"/>
    <x v="0"/>
    <n v="1991"/>
    <n v="10"/>
    <n v="35"/>
    <s v="Good"/>
    <s v="High Risk"/>
  </r>
  <r>
    <d v="2020-07-10T00:00:00"/>
    <n v="78383"/>
    <s v="Marketing - Manager"/>
    <s v="Marketing"/>
    <s v="Manager"/>
    <n v="743"/>
    <n v="4"/>
    <n v="8"/>
    <d v="1994-08-13T00:00:00"/>
    <n v="580035"/>
    <x v="2"/>
    <n v="1994"/>
    <n v="7"/>
    <n v="32"/>
    <s v="Good"/>
    <s v="High Risk"/>
  </r>
  <r>
    <d v="2020-11-21T00:00:00"/>
    <n v="68415"/>
    <s v="Finance - Director"/>
    <s v="Finance"/>
    <s v="Director"/>
    <n v="709"/>
    <n v="4"/>
    <n v="3"/>
    <d v="1990-02-24T00:00:00"/>
    <n v="749893"/>
    <x v="2"/>
    <n v="1990"/>
    <n v="11"/>
    <n v="36"/>
    <s v="Good"/>
    <s v="Medium Risk"/>
  </r>
  <r>
    <d v="2020-01-06T00:00:00"/>
    <n v="52910"/>
    <s v="Growth - Intern"/>
    <s v="Growth"/>
    <s v="Intern"/>
    <n v="732"/>
    <n v="1"/>
    <n v="7"/>
    <d v="1986-09-02T00:00:00"/>
    <n v="664298"/>
    <x v="2"/>
    <n v="1986"/>
    <n v="1"/>
    <n v="40"/>
    <s v="Good"/>
    <s v="High Risk"/>
  </r>
  <r>
    <d v="2020-03-14T00:00:00"/>
    <n v="20581"/>
    <s v="Sales - Executive"/>
    <s v="Sales"/>
    <s v="Executive"/>
    <n v="720"/>
    <n v="5"/>
    <n v="4"/>
    <d v="1994-02-19T00:00:00"/>
    <n v="530989"/>
    <x v="0"/>
    <n v="1994"/>
    <n v="3"/>
    <n v="32"/>
    <s v="Good"/>
    <s v="Medium Risk"/>
  </r>
  <r>
    <d v="2020-08-08T00:00:00"/>
    <n v="30426"/>
    <s v="Finance - Director"/>
    <s v="Finance"/>
    <s v="Director"/>
    <n v="708"/>
    <n v="3"/>
    <n v="2"/>
    <d v="1982-06-11T00:00:00"/>
    <n v="592934"/>
    <x v="0"/>
    <n v="1982"/>
    <n v="8"/>
    <n v="44"/>
    <s v="Good"/>
    <s v="Medium Risk"/>
  </r>
  <r>
    <d v="2020-01-19T00:00:00"/>
    <n v="49292"/>
    <s v="Strategy - Intern"/>
    <s v="Strategy"/>
    <s v="Intern"/>
    <n v="780"/>
    <n v="5"/>
    <n v="8"/>
    <d v="1980-03-31T00:00:00"/>
    <n v="977284"/>
    <x v="0"/>
    <n v="1980"/>
    <n v="1"/>
    <n v="46"/>
    <s v="Excellent"/>
    <s v="High Risk"/>
  </r>
  <r>
    <d v="2020-09-05T00:00:00"/>
    <n v="94448"/>
    <s v="Sales - Manager"/>
    <s v="Sales"/>
    <s v="Manager"/>
    <n v="745"/>
    <n v="2"/>
    <n v="7"/>
    <d v="1987-09-02T00:00:00"/>
    <n v="972108"/>
    <x v="2"/>
    <n v="1987"/>
    <n v="9"/>
    <n v="39"/>
    <s v="Good"/>
    <s v="High Risk"/>
  </r>
  <r>
    <d v="2020-02-29T00:00:00"/>
    <n v="22500"/>
    <s v="Strategy - Intern"/>
    <s v="Strategy"/>
    <s v="Intern"/>
    <n v="770"/>
    <n v="2"/>
    <n v="2"/>
    <d v="1984-11-14T00:00:00"/>
    <n v="825108"/>
    <x v="1"/>
    <n v="1984"/>
    <n v="2"/>
    <n v="42"/>
    <s v="Excellent"/>
    <s v="Low Risk"/>
  </r>
  <r>
    <d v="2020-09-01T00:00:00"/>
    <n v="47899"/>
    <s v="Strategy - Manager"/>
    <s v="Strategy"/>
    <s v="Manager"/>
    <n v="730"/>
    <n v="3"/>
    <n v="7"/>
    <d v="1993-01-25T00:00:00"/>
    <n v="987840"/>
    <x v="0"/>
    <n v="1993"/>
    <n v="9"/>
    <n v="33"/>
    <s v="Good"/>
    <s v="High Risk"/>
  </r>
  <r>
    <d v="2020-04-14T00:00:00"/>
    <n v="75076"/>
    <s v="Growth - Intern"/>
    <s v="Growth"/>
    <s v="Intern"/>
    <n v="784"/>
    <n v="2"/>
    <n v="4"/>
    <d v="1993-02-28T00:00:00"/>
    <n v="663661"/>
    <x v="2"/>
    <n v="1993"/>
    <n v="4"/>
    <n v="33"/>
    <s v="Excellent"/>
    <s v="Medium Risk"/>
  </r>
  <r>
    <d v="2020-02-22T00:00:00"/>
    <n v="56315"/>
    <s v="Marketing - Director"/>
    <s v="Marketing"/>
    <s v="Director"/>
    <n v="764"/>
    <n v="4"/>
    <n v="9"/>
    <d v="1980-01-15T00:00:00"/>
    <n v="777563"/>
    <x v="1"/>
    <n v="1980"/>
    <n v="2"/>
    <n v="46"/>
    <s v="Excellent"/>
    <s v="High Risk"/>
  </r>
  <r>
    <d v="2020-02-16T00:00:00"/>
    <n v="92530"/>
    <s v="Marketing - Director"/>
    <s v="Marketing"/>
    <s v="Director"/>
    <n v="745"/>
    <n v="5"/>
    <n v="5"/>
    <d v="1989-12-02T00:00:00"/>
    <n v="707004"/>
    <x v="2"/>
    <n v="1989"/>
    <n v="2"/>
    <n v="37"/>
    <s v="Good"/>
    <s v="Medium Risk"/>
  </r>
  <r>
    <d v="2020-07-19T00:00:00"/>
    <n v="57609"/>
    <s v="Strategy - Manager"/>
    <s v="Strategy"/>
    <s v="Manager"/>
    <n v="725"/>
    <n v="2"/>
    <n v="7"/>
    <d v="1983-01-15T00:00:00"/>
    <n v="631296"/>
    <x v="2"/>
    <n v="1983"/>
    <n v="7"/>
    <n v="43"/>
    <s v="Good"/>
    <s v="High Risk"/>
  </r>
  <r>
    <d v="2020-11-07T00:00:00"/>
    <n v="27949"/>
    <s v="Growth - Manager"/>
    <s v="Growth"/>
    <s v="Manager"/>
    <n v="766"/>
    <n v="3"/>
    <n v="9"/>
    <d v="1989-11-03T00:00:00"/>
    <n v="839227"/>
    <x v="1"/>
    <n v="1989"/>
    <n v="11"/>
    <n v="37"/>
    <s v="Excellent"/>
    <s v="High Risk"/>
  </r>
  <r>
    <d v="2020-10-08T00:00:00"/>
    <n v="40974"/>
    <s v="Operation - Director"/>
    <s v="Operation"/>
    <s v="Director"/>
    <n v="766"/>
    <n v="3"/>
    <n v="1"/>
    <d v="1990-05-07T00:00:00"/>
    <n v="824832"/>
    <x v="2"/>
    <n v="1990"/>
    <n v="10"/>
    <n v="36"/>
    <s v="Excellent"/>
    <s v="Low Risk"/>
  </r>
  <r>
    <d v="2020-02-21T00:00:00"/>
    <n v="13714"/>
    <s v="Sales - Intern"/>
    <s v="Sales"/>
    <s v="Intern"/>
    <n v="764"/>
    <n v="1"/>
    <n v="2"/>
    <d v="1981-02-16T00:00:00"/>
    <n v="723543"/>
    <x v="2"/>
    <n v="1981"/>
    <n v="2"/>
    <n v="45"/>
    <s v="Excellent"/>
    <s v="Low Risk"/>
  </r>
  <r>
    <d v="2020-04-12T00:00:00"/>
    <n v="97726"/>
    <s v="Strategy - Director"/>
    <s v="Strategy"/>
    <s v="Director"/>
    <n v="764"/>
    <n v="5"/>
    <n v="5"/>
    <d v="1994-03-14T00:00:00"/>
    <n v="590718"/>
    <x v="0"/>
    <n v="1994"/>
    <n v="4"/>
    <n v="32"/>
    <s v="Excellent"/>
    <s v="Medium Risk"/>
  </r>
  <r>
    <d v="2020-09-12T00:00:00"/>
    <n v="47573"/>
    <s v="Finance - Manager"/>
    <s v="Finance"/>
    <s v="Manager"/>
    <n v="713"/>
    <n v="5"/>
    <n v="2"/>
    <d v="1990-09-18T00:00:00"/>
    <n v="594633"/>
    <x v="2"/>
    <n v="1990"/>
    <n v="9"/>
    <n v="36"/>
    <s v="Good"/>
    <s v="Medium Risk"/>
  </r>
  <r>
    <d v="2020-03-26T00:00:00"/>
    <n v="74884"/>
    <s v="Marketing - Director"/>
    <s v="Marketing"/>
    <s v="Director"/>
    <n v="747"/>
    <n v="3"/>
    <n v="1"/>
    <d v="1988-11-26T00:00:00"/>
    <n v="593509"/>
    <x v="1"/>
    <n v="1988"/>
    <n v="3"/>
    <n v="38"/>
    <s v="Good"/>
    <s v="Medium Risk"/>
  </r>
  <r>
    <d v="2020-02-09T00:00:00"/>
    <n v="76428"/>
    <s v="Growth - Intern"/>
    <s v="Growth"/>
    <s v="Intern"/>
    <n v="765"/>
    <n v="5"/>
    <n v="7"/>
    <d v="1981-09-09T00:00:00"/>
    <n v="783116"/>
    <x v="2"/>
    <n v="1981"/>
    <n v="2"/>
    <n v="45"/>
    <s v="Excellent"/>
    <s v="High Risk"/>
  </r>
  <r>
    <d v="2020-07-12T00:00:00"/>
    <n v="50387"/>
    <s v="Growth - Manager"/>
    <s v="Growth"/>
    <s v="Manager"/>
    <n v="730"/>
    <n v="3"/>
    <n v="10"/>
    <d v="1985-02-18T00:00:00"/>
    <n v="529032"/>
    <x v="1"/>
    <n v="1985"/>
    <n v="7"/>
    <n v="41"/>
    <s v="Good"/>
    <s v="High Risk"/>
  </r>
  <r>
    <d v="2020-09-16T00:00:00"/>
    <n v="12937"/>
    <s v="Growth - Director"/>
    <s v="Growth"/>
    <s v="Director"/>
    <n v="793"/>
    <n v="4"/>
    <n v="4"/>
    <d v="1980-07-14T00:00:00"/>
    <n v="872565"/>
    <x v="0"/>
    <n v="1980"/>
    <n v="9"/>
    <n v="46"/>
    <s v="Excellent"/>
    <s v="Medium Risk"/>
  </r>
  <r>
    <d v="2020-06-18T00:00:00"/>
    <n v="15616"/>
    <s v="Finance - Executive"/>
    <s v="Finance"/>
    <s v="Executive"/>
    <n v="744"/>
    <n v="4"/>
    <n v="6"/>
    <d v="1986-04-25T00:00:00"/>
    <n v="920076"/>
    <x v="1"/>
    <n v="1986"/>
    <n v="6"/>
    <n v="40"/>
    <s v="Good"/>
    <s v="High Risk"/>
  </r>
  <r>
    <d v="2020-03-13T00:00:00"/>
    <n v="72192"/>
    <s v="Operation - Director"/>
    <s v="Operation"/>
    <s v="Director"/>
    <n v="721"/>
    <n v="4"/>
    <n v="10"/>
    <d v="1984-03-04T00:00:00"/>
    <n v="550092"/>
    <x v="1"/>
    <n v="1984"/>
    <n v="3"/>
    <n v="42"/>
    <s v="Good"/>
    <s v="High Risk"/>
  </r>
  <r>
    <d v="2020-01-20T00:00:00"/>
    <n v="49278"/>
    <s v="Operation - Executive"/>
    <s v="Operation"/>
    <s v="Executive"/>
    <n v="766"/>
    <n v="4"/>
    <n v="5"/>
    <d v="1989-06-29T00:00:00"/>
    <n v="930726"/>
    <x v="1"/>
    <n v="1989"/>
    <n v="1"/>
    <n v="37"/>
    <s v="Excellent"/>
    <s v="Medium Risk"/>
  </r>
  <r>
    <d v="2020-04-16T00:00:00"/>
    <n v="11412"/>
    <s v="Finance - Manager"/>
    <s v="Finance"/>
    <s v="Manager"/>
    <n v="728"/>
    <n v="2"/>
    <n v="1"/>
    <d v="1992-03-10T00:00:00"/>
    <n v="991788"/>
    <x v="2"/>
    <n v="1992"/>
    <n v="4"/>
    <n v="34"/>
    <s v="Good"/>
    <s v="Medium Risk"/>
  </r>
  <r>
    <d v="2020-05-14T00:00:00"/>
    <n v="20769"/>
    <s v="Marketing - Intern"/>
    <s v="Marketing"/>
    <s v="Intern"/>
    <n v="738"/>
    <n v="1"/>
    <n v="10"/>
    <d v="1981-10-30T00:00:00"/>
    <n v="976010"/>
    <x v="1"/>
    <n v="1981"/>
    <n v="5"/>
    <n v="45"/>
    <s v="Good"/>
    <s v="High Risk"/>
  </r>
  <r>
    <d v="2020-11-09T00:00:00"/>
    <n v="74837"/>
    <s v="Strategy - Intern"/>
    <s v="Strategy"/>
    <s v="Intern"/>
    <n v="743"/>
    <n v="4"/>
    <n v="9"/>
    <d v="1983-10-15T00:00:00"/>
    <n v="902767"/>
    <x v="2"/>
    <n v="1983"/>
    <n v="11"/>
    <n v="43"/>
    <s v="Good"/>
    <s v="High Risk"/>
  </r>
  <r>
    <d v="2020-06-01T00:00:00"/>
    <n v="58946"/>
    <s v="Sales - Intern"/>
    <s v="Sales"/>
    <s v="Intern"/>
    <n v="746"/>
    <n v="1"/>
    <n v="10"/>
    <d v="1994-03-20T00:00:00"/>
    <n v="608505"/>
    <x v="1"/>
    <n v="1994"/>
    <n v="6"/>
    <n v="32"/>
    <s v="Good"/>
    <s v="High Risk"/>
  </r>
  <r>
    <d v="2020-09-01T00:00:00"/>
    <n v="55374"/>
    <s v="Strategy - Manager"/>
    <s v="Strategy"/>
    <s v="Manager"/>
    <n v="732"/>
    <n v="5"/>
    <n v="4"/>
    <d v="1983-12-21T00:00:00"/>
    <n v="628484"/>
    <x v="2"/>
    <n v="1983"/>
    <n v="9"/>
    <n v="43"/>
    <s v="Good"/>
    <s v="Medium Risk"/>
  </r>
  <r>
    <d v="2020-06-01T00:00:00"/>
    <n v="86884"/>
    <s v="Sales - Director"/>
    <s v="Sales"/>
    <s v="Director"/>
    <n v="757"/>
    <n v="4"/>
    <n v="4"/>
    <d v="1980-01-31T00:00:00"/>
    <n v="768611"/>
    <x v="2"/>
    <n v="1980"/>
    <n v="6"/>
    <n v="46"/>
    <s v="Excellent"/>
    <s v="Medium Risk"/>
  </r>
  <r>
    <d v="2020-01-20T00:00:00"/>
    <n v="77116"/>
    <s v="Growth - Director"/>
    <s v="Growth"/>
    <s v="Director"/>
    <n v="733"/>
    <n v="5"/>
    <n v="7"/>
    <d v="1986-04-21T00:00:00"/>
    <n v="931758"/>
    <x v="0"/>
    <n v="1986"/>
    <n v="1"/>
    <n v="40"/>
    <s v="Good"/>
    <s v="High Risk"/>
  </r>
  <r>
    <d v="2020-04-04T00:00:00"/>
    <n v="54328"/>
    <s v="Sales - Manager"/>
    <s v="Sales"/>
    <s v="Manager"/>
    <n v="774"/>
    <n v="1"/>
    <n v="5"/>
    <d v="1991-08-06T00:00:00"/>
    <n v="768131"/>
    <x v="2"/>
    <n v="1991"/>
    <n v="4"/>
    <n v="35"/>
    <s v="Excellent"/>
    <s v="Medium Risk"/>
  </r>
  <r>
    <d v="2020-06-08T00:00:00"/>
    <n v="63547"/>
    <s v="Operation - Intern"/>
    <s v="Operation"/>
    <s v="Intern"/>
    <n v="724"/>
    <n v="5"/>
    <n v="8"/>
    <d v="1981-08-08T00:00:00"/>
    <n v="512571"/>
    <x v="1"/>
    <n v="1981"/>
    <n v="6"/>
    <n v="45"/>
    <s v="Good"/>
    <s v="High Risk"/>
  </r>
  <r>
    <d v="2020-09-07T00:00:00"/>
    <n v="56877"/>
    <s v="Sales - Intern"/>
    <s v="Sales"/>
    <s v="Intern"/>
    <n v="790"/>
    <n v="5"/>
    <n v="2"/>
    <d v="1990-06-20T00:00:00"/>
    <n v="512991"/>
    <x v="1"/>
    <n v="1990"/>
    <n v="9"/>
    <n v="36"/>
    <s v="Excellent"/>
    <s v="Low Risk"/>
  </r>
  <r>
    <d v="2020-11-17T00:00:00"/>
    <n v="66242"/>
    <s v="Finance - Manager"/>
    <s v="Finance"/>
    <s v="Manager"/>
    <n v="748"/>
    <n v="3"/>
    <n v="5"/>
    <d v="1987-03-25T00:00:00"/>
    <n v="601028"/>
    <x v="0"/>
    <n v="1987"/>
    <n v="11"/>
    <n v="39"/>
    <s v="Good"/>
    <s v="Medium Risk"/>
  </r>
  <r>
    <d v="2020-02-07T00:00:00"/>
    <n v="74992"/>
    <s v="Finance - Intern"/>
    <s v="Finance"/>
    <s v="Intern"/>
    <n v="731"/>
    <n v="1"/>
    <n v="5"/>
    <d v="1980-12-03T00:00:00"/>
    <n v="558284"/>
    <x v="1"/>
    <n v="1980"/>
    <n v="2"/>
    <n v="46"/>
    <s v="Good"/>
    <s v="Medium Risk"/>
  </r>
  <r>
    <d v="2020-02-18T00:00:00"/>
    <n v="48915"/>
    <s v="Finance - Executive"/>
    <s v="Finance"/>
    <s v="Executive"/>
    <n v="773"/>
    <n v="4"/>
    <n v="3"/>
    <d v="1991-08-03T00:00:00"/>
    <n v="597560"/>
    <x v="2"/>
    <n v="1991"/>
    <n v="2"/>
    <n v="35"/>
    <s v="Excellent"/>
    <s v="Medium Risk"/>
  </r>
  <r>
    <d v="2020-09-26T00:00:00"/>
    <n v="83579"/>
    <s v="Strategy - Executive"/>
    <s v="Strategy"/>
    <s v="Executive"/>
    <n v="734"/>
    <n v="2"/>
    <n v="5"/>
    <d v="1983-04-14T00:00:00"/>
    <n v="619497"/>
    <x v="2"/>
    <n v="1983"/>
    <n v="9"/>
    <n v="43"/>
    <s v="Good"/>
    <s v="Medium Risk"/>
  </r>
  <r>
    <d v="2020-09-14T00:00:00"/>
    <n v="48472"/>
    <s v="Finance - Manager"/>
    <s v="Finance"/>
    <s v="Manager"/>
    <n v="771"/>
    <n v="1"/>
    <n v="10"/>
    <d v="1990-08-28T00:00:00"/>
    <n v="662102"/>
    <x v="2"/>
    <n v="1990"/>
    <n v="9"/>
    <n v="36"/>
    <s v="Excellent"/>
    <s v="High Risk"/>
  </r>
  <r>
    <d v="2020-08-03T00:00:00"/>
    <n v="19947"/>
    <s v="Strategy - Director"/>
    <s v="Strategy"/>
    <s v="Director"/>
    <n v="746"/>
    <n v="2"/>
    <n v="9"/>
    <d v="1982-03-14T00:00:00"/>
    <n v="709243"/>
    <x v="0"/>
    <n v="1982"/>
    <n v="8"/>
    <n v="44"/>
    <s v="Good"/>
    <s v="High Risk"/>
  </r>
  <r>
    <d v="2020-02-11T00:00:00"/>
    <n v="10383"/>
    <s v="Sales - Director"/>
    <s v="Sales"/>
    <s v="Director"/>
    <n v="716"/>
    <n v="1"/>
    <n v="2"/>
    <d v="1982-06-19T00:00:00"/>
    <n v="877440"/>
    <x v="1"/>
    <n v="1982"/>
    <n v="2"/>
    <n v="44"/>
    <s v="Good"/>
    <s v="Medium Risk"/>
  </r>
  <r>
    <d v="2020-02-19T00:00:00"/>
    <n v="62651"/>
    <s v="Growth - Manager"/>
    <s v="Growth"/>
    <s v="Manager"/>
    <n v="764"/>
    <n v="1"/>
    <n v="4"/>
    <d v="1990-05-15T00:00:00"/>
    <n v="647124"/>
    <x v="2"/>
    <n v="1990"/>
    <n v="2"/>
    <n v="36"/>
    <s v="Excellent"/>
    <s v="Medium Risk"/>
  </r>
  <r>
    <d v="2020-08-24T00:00:00"/>
    <n v="55660"/>
    <s v="Marketing - Intern"/>
    <s v="Marketing"/>
    <s v="Intern"/>
    <n v="748"/>
    <n v="3"/>
    <n v="10"/>
    <d v="1988-01-03T00:00:00"/>
    <n v="664233"/>
    <x v="2"/>
    <n v="1988"/>
    <n v="8"/>
    <n v="38"/>
    <s v="Good"/>
    <s v="High Risk"/>
  </r>
  <r>
    <d v="2020-05-12T00:00:00"/>
    <n v="89724"/>
    <s v="Operation - Director"/>
    <s v="Operation"/>
    <s v="Director"/>
    <n v="715"/>
    <n v="2"/>
    <n v="2"/>
    <d v="1981-05-21T00:00:00"/>
    <n v="846857"/>
    <x v="2"/>
    <n v="1981"/>
    <n v="5"/>
    <n v="45"/>
    <s v="Good"/>
    <s v="Medium Risk"/>
  </r>
  <r>
    <d v="2020-06-16T00:00:00"/>
    <n v="69086"/>
    <s v="Growth - Director"/>
    <s v="Growth"/>
    <s v="Director"/>
    <n v="716"/>
    <n v="2"/>
    <n v="6"/>
    <d v="1980-10-27T00:00:00"/>
    <n v="901072"/>
    <x v="1"/>
    <n v="1980"/>
    <n v="6"/>
    <n v="46"/>
    <s v="Good"/>
    <s v="High Risk"/>
  </r>
  <r>
    <d v="2020-09-28T00:00:00"/>
    <n v="69952"/>
    <s v="Strategy - Executive"/>
    <s v="Strategy"/>
    <s v="Executive"/>
    <n v="744"/>
    <n v="4"/>
    <n v="4"/>
    <d v="1981-10-29T00:00:00"/>
    <n v="545673"/>
    <x v="1"/>
    <n v="1981"/>
    <n v="9"/>
    <n v="45"/>
    <s v="Good"/>
    <s v="Medium Risk"/>
  </r>
  <r>
    <d v="2020-07-17T00:00:00"/>
    <n v="45582"/>
    <s v="Strategy - Director"/>
    <s v="Strategy"/>
    <s v="Director"/>
    <n v="768"/>
    <n v="1"/>
    <n v="5"/>
    <d v="1983-06-12T00:00:00"/>
    <n v="845330"/>
    <x v="0"/>
    <n v="1983"/>
    <n v="7"/>
    <n v="43"/>
    <s v="Excellent"/>
    <s v="Medium Risk"/>
  </r>
  <r>
    <d v="2020-04-01T00:00:00"/>
    <n v="17457"/>
    <s v="Strategy - Intern"/>
    <s v="Strategy"/>
    <s v="Intern"/>
    <n v="708"/>
    <n v="4"/>
    <n v="8"/>
    <d v="1982-08-12T00:00:00"/>
    <n v="958340"/>
    <x v="1"/>
    <n v="1982"/>
    <n v="4"/>
    <n v="44"/>
    <s v="Good"/>
    <s v="High Risk"/>
  </r>
  <r>
    <d v="2020-04-03T00:00:00"/>
    <n v="56499"/>
    <s v="Operation - Executive"/>
    <s v="Operation"/>
    <s v="Executive"/>
    <n v="720"/>
    <n v="3"/>
    <n v="5"/>
    <d v="1992-02-20T00:00:00"/>
    <n v="528167"/>
    <x v="1"/>
    <n v="1992"/>
    <n v="4"/>
    <n v="34"/>
    <s v="Good"/>
    <s v="Medium Risk"/>
  </r>
  <r>
    <d v="2020-01-30T00:00:00"/>
    <n v="88555"/>
    <s v="Marketing - Manager"/>
    <s v="Marketing"/>
    <s v="Manager"/>
    <n v="782"/>
    <n v="4"/>
    <n v="4"/>
    <d v="1992-11-03T00:00:00"/>
    <n v="994288"/>
    <x v="2"/>
    <n v="1992"/>
    <n v="1"/>
    <n v="34"/>
    <s v="Excellent"/>
    <s v="Medium Risk"/>
  </r>
  <r>
    <d v="2020-07-26T00:00:00"/>
    <n v="59300"/>
    <s v="Operation - Executive"/>
    <s v="Operation"/>
    <s v="Executive"/>
    <n v="719"/>
    <n v="5"/>
    <n v="2"/>
    <d v="1994-02-22T00:00:00"/>
    <n v="748452"/>
    <x v="0"/>
    <n v="1994"/>
    <n v="7"/>
    <n v="32"/>
    <s v="Good"/>
    <s v="Medium Risk"/>
  </r>
  <r>
    <d v="2020-01-08T00:00:00"/>
    <n v="32811"/>
    <s v="Strategy - Intern"/>
    <s v="Strategy"/>
    <s v="Intern"/>
    <n v="744"/>
    <n v="1"/>
    <n v="2"/>
    <d v="1988-03-13T00:00:00"/>
    <n v="810772"/>
    <x v="0"/>
    <n v="1988"/>
    <n v="1"/>
    <n v="38"/>
    <s v="Good"/>
    <s v="Medium Risk"/>
  </r>
  <r>
    <d v="2020-01-27T00:00:00"/>
    <n v="57864"/>
    <s v="Finance - Intern"/>
    <s v="Finance"/>
    <s v="Intern"/>
    <n v="722"/>
    <n v="2"/>
    <n v="10"/>
    <d v="1987-06-05T00:00:00"/>
    <n v="869126"/>
    <x v="1"/>
    <n v="1987"/>
    <n v="1"/>
    <n v="39"/>
    <s v="Good"/>
    <s v="High Risk"/>
  </r>
  <r>
    <d v="2020-10-25T00:00:00"/>
    <n v="42296"/>
    <s v="Finance - Director"/>
    <s v="Finance"/>
    <s v="Director"/>
    <n v="779"/>
    <n v="4"/>
    <n v="9"/>
    <d v="1994-07-14T00:00:00"/>
    <n v="949497"/>
    <x v="1"/>
    <n v="1994"/>
    <n v="10"/>
    <n v="32"/>
    <s v="Excellent"/>
    <s v="High Risk"/>
  </r>
  <r>
    <d v="2020-06-03T00:00:00"/>
    <n v="36555"/>
    <s v="Growth - Intern"/>
    <s v="Growth"/>
    <s v="Intern"/>
    <n v="729"/>
    <n v="4"/>
    <n v="3"/>
    <d v="1987-03-23T00:00:00"/>
    <n v="532713"/>
    <x v="2"/>
    <n v="1987"/>
    <n v="6"/>
    <n v="39"/>
    <s v="Good"/>
    <s v="Medium Risk"/>
  </r>
  <r>
    <d v="2020-07-24T00:00:00"/>
    <n v="54605"/>
    <s v="Sales - Director"/>
    <s v="Sales"/>
    <s v="Director"/>
    <n v="722"/>
    <n v="1"/>
    <n v="4"/>
    <d v="1980-01-24T00:00:00"/>
    <n v="535651"/>
    <x v="0"/>
    <n v="1980"/>
    <n v="7"/>
    <n v="46"/>
    <s v="Good"/>
    <s v="Medium Risk"/>
  </r>
  <r>
    <d v="2020-09-27T00:00:00"/>
    <n v="49521"/>
    <s v="Sales - Manager"/>
    <s v="Sales"/>
    <s v="Manager"/>
    <n v="708"/>
    <n v="5"/>
    <n v="7"/>
    <d v="1992-09-30T00:00:00"/>
    <n v="884550"/>
    <x v="1"/>
    <n v="1992"/>
    <n v="9"/>
    <n v="34"/>
    <s v="Good"/>
    <s v="High Risk"/>
  </r>
  <r>
    <d v="2020-04-16T00:00:00"/>
    <n v="54156"/>
    <s v="Strategy - Manager"/>
    <s v="Strategy"/>
    <s v="Manager"/>
    <n v="774"/>
    <n v="5"/>
    <n v="2"/>
    <d v="1981-07-05T00:00:00"/>
    <n v="513087"/>
    <x v="2"/>
    <n v="1981"/>
    <n v="4"/>
    <n v="45"/>
    <s v="Excellent"/>
    <s v="Low Risk"/>
  </r>
  <r>
    <d v="2020-09-03T00:00:00"/>
    <n v="10717"/>
    <s v="Marketing - Director"/>
    <s v="Marketing"/>
    <s v="Director"/>
    <n v="745"/>
    <n v="5"/>
    <n v="6"/>
    <d v="1989-08-07T00:00:00"/>
    <n v="690906"/>
    <x v="2"/>
    <n v="1989"/>
    <n v="9"/>
    <n v="37"/>
    <s v="Good"/>
    <s v="High Risk"/>
  </r>
  <r>
    <d v="2020-03-04T00:00:00"/>
    <n v="97072"/>
    <s v="Finance - Executive"/>
    <s v="Finance"/>
    <s v="Executive"/>
    <n v="745"/>
    <n v="4"/>
    <n v="3"/>
    <d v="1981-04-26T00:00:00"/>
    <n v="636392"/>
    <x v="1"/>
    <n v="1981"/>
    <n v="3"/>
    <n v="45"/>
    <s v="Good"/>
    <s v="Medium Risk"/>
  </r>
  <r>
    <d v="2020-09-10T00:00:00"/>
    <n v="46597"/>
    <s v="Finance - Director"/>
    <s v="Finance"/>
    <s v="Director"/>
    <n v="769"/>
    <n v="1"/>
    <n v="10"/>
    <d v="1993-08-09T00:00:00"/>
    <n v="965467"/>
    <x v="1"/>
    <n v="1993"/>
    <n v="9"/>
    <n v="33"/>
    <s v="Excellent"/>
    <s v="High Risk"/>
  </r>
  <r>
    <d v="2020-01-05T00:00:00"/>
    <n v="66429"/>
    <s v="Sales - Executive"/>
    <s v="Sales"/>
    <s v="Executive"/>
    <n v="795"/>
    <n v="4"/>
    <n v="5"/>
    <d v="1990-05-30T00:00:00"/>
    <n v="818286"/>
    <x v="0"/>
    <n v="1990"/>
    <n v="1"/>
    <n v="36"/>
    <s v="Excellent"/>
    <s v="Medium Risk"/>
  </r>
  <r>
    <d v="2020-07-18T00:00:00"/>
    <n v="28804"/>
    <s v="Operation - Director"/>
    <s v="Operation"/>
    <s v="Director"/>
    <n v="706"/>
    <n v="1"/>
    <n v="6"/>
    <d v="1992-05-23T00:00:00"/>
    <n v="820800"/>
    <x v="1"/>
    <n v="1992"/>
    <n v="7"/>
    <n v="34"/>
    <s v="Good"/>
    <s v="High Risk"/>
  </r>
  <r>
    <d v="2020-07-06T00:00:00"/>
    <n v="48253"/>
    <s v="Sales - Executive"/>
    <s v="Sales"/>
    <s v="Executive"/>
    <n v="761"/>
    <n v="1"/>
    <n v="6"/>
    <d v="1984-09-13T00:00:00"/>
    <n v="541102"/>
    <x v="0"/>
    <n v="1984"/>
    <n v="7"/>
    <n v="42"/>
    <s v="Excellent"/>
    <s v="High Risk"/>
  </r>
  <r>
    <d v="2020-05-07T00:00:00"/>
    <n v="58888"/>
    <s v="Strategy - Director"/>
    <s v="Strategy"/>
    <s v="Director"/>
    <n v="753"/>
    <n v="1"/>
    <n v="1"/>
    <d v="1993-08-10T00:00:00"/>
    <n v="760241"/>
    <x v="2"/>
    <n v="1993"/>
    <n v="5"/>
    <n v="33"/>
    <s v="Excellent"/>
    <s v="Low Risk"/>
  </r>
  <r>
    <d v="2020-07-02T00:00:00"/>
    <n v="99278"/>
    <s v="Growth - Intern"/>
    <s v="Growth"/>
    <s v="Intern"/>
    <n v="771"/>
    <n v="3"/>
    <n v="3"/>
    <d v="1993-11-06T00:00:00"/>
    <n v="973518"/>
    <x v="1"/>
    <n v="1993"/>
    <n v="7"/>
    <n v="33"/>
    <s v="Excellent"/>
    <s v="Medium Risk"/>
  </r>
  <r>
    <d v="2020-05-08T00:00:00"/>
    <n v="67882"/>
    <s v="Strategy - Executive"/>
    <s v="Strategy"/>
    <s v="Executive"/>
    <n v="762"/>
    <n v="3"/>
    <n v="6"/>
    <d v="1985-10-30T00:00:00"/>
    <n v="916078"/>
    <x v="2"/>
    <n v="1985"/>
    <n v="5"/>
    <n v="41"/>
    <s v="Excellent"/>
    <s v="High Risk"/>
  </r>
  <r>
    <d v="2020-05-17T00:00:00"/>
    <n v="12249"/>
    <s v="Sales - Manager"/>
    <s v="Sales"/>
    <s v="Manager"/>
    <n v="722"/>
    <n v="1"/>
    <n v="4"/>
    <d v="1987-12-12T00:00:00"/>
    <n v="518896"/>
    <x v="2"/>
    <n v="1987"/>
    <n v="5"/>
    <n v="39"/>
    <s v="Good"/>
    <s v="Medium Risk"/>
  </r>
  <r>
    <d v="2020-08-08T00:00:00"/>
    <n v="29846"/>
    <s v="Sales - Director"/>
    <s v="Sales"/>
    <s v="Director"/>
    <n v="771"/>
    <n v="4"/>
    <n v="8"/>
    <d v="1984-09-29T00:00:00"/>
    <n v="789241"/>
    <x v="2"/>
    <n v="1984"/>
    <n v="8"/>
    <n v="42"/>
    <s v="Excellent"/>
    <s v="High Risk"/>
  </r>
  <r>
    <d v="2020-02-28T00:00:00"/>
    <n v="63308"/>
    <s v="Growth - Manager"/>
    <s v="Growth"/>
    <s v="Manager"/>
    <n v="784"/>
    <n v="2"/>
    <n v="1"/>
    <d v="1993-04-13T00:00:00"/>
    <n v="535794"/>
    <x v="1"/>
    <n v="1993"/>
    <n v="2"/>
    <n v="33"/>
    <s v="Excellent"/>
    <s v="Low Risk"/>
  </r>
  <r>
    <d v="2020-12-03T00:00:00"/>
    <n v="77364"/>
    <s v="Marketing - Manager"/>
    <s v="Marketing"/>
    <s v="Manager"/>
    <n v="700"/>
    <n v="2"/>
    <n v="5"/>
    <d v="1986-07-18T00:00:00"/>
    <n v="859981"/>
    <x v="0"/>
    <n v="1986"/>
    <n v="12"/>
    <n v="40"/>
    <s v="Good"/>
    <s v="Medium Risk"/>
  </r>
  <r>
    <d v="2020-04-06T00:00:00"/>
    <n v="81750"/>
    <s v="Growth - Director"/>
    <s v="Growth"/>
    <s v="Director"/>
    <n v="741"/>
    <n v="4"/>
    <n v="2"/>
    <d v="1988-06-29T00:00:00"/>
    <n v="650549"/>
    <x v="2"/>
    <n v="1988"/>
    <n v="4"/>
    <n v="38"/>
    <s v="Good"/>
    <s v="Medium Risk"/>
  </r>
  <r>
    <d v="2020-03-09T00:00:00"/>
    <n v="99508"/>
    <s v="Marketing - Director"/>
    <s v="Marketing"/>
    <s v="Director"/>
    <n v="727"/>
    <n v="5"/>
    <n v="6"/>
    <d v="1985-07-29T00:00:00"/>
    <n v="742478"/>
    <x v="2"/>
    <n v="1985"/>
    <n v="3"/>
    <n v="41"/>
    <s v="Good"/>
    <s v="High Risk"/>
  </r>
  <r>
    <d v="2020-01-04T00:00:00"/>
    <n v="80762"/>
    <s v="Operation - Executive"/>
    <s v="Operation"/>
    <s v="Executive"/>
    <n v="721"/>
    <n v="1"/>
    <n v="9"/>
    <d v="1987-02-02T00:00:00"/>
    <n v="967982"/>
    <x v="0"/>
    <n v="1987"/>
    <n v="1"/>
    <n v="39"/>
    <s v="Good"/>
    <s v="High Risk"/>
  </r>
  <r>
    <d v="2020-10-22T00:00:00"/>
    <n v="33666"/>
    <s v="Operation - Intern"/>
    <s v="Operation"/>
    <s v="Intern"/>
    <n v="720"/>
    <n v="3"/>
    <n v="3"/>
    <d v="1991-02-25T00:00:00"/>
    <n v="698801"/>
    <x v="0"/>
    <n v="1991"/>
    <n v="10"/>
    <n v="35"/>
    <s v="Good"/>
    <s v="Medium Risk"/>
  </r>
  <r>
    <d v="2020-02-14T00:00:00"/>
    <n v="89694"/>
    <s v="Sales - Director"/>
    <s v="Sales"/>
    <s v="Director"/>
    <n v="744"/>
    <n v="1"/>
    <n v="6"/>
    <d v="1983-01-21T00:00:00"/>
    <n v="657372"/>
    <x v="0"/>
    <n v="1983"/>
    <n v="2"/>
    <n v="43"/>
    <s v="Good"/>
    <s v="High Risk"/>
  </r>
  <r>
    <d v="2020-05-01T00:00:00"/>
    <n v="29920"/>
    <s v="Growth - Intern"/>
    <s v="Growth"/>
    <s v="Intern"/>
    <n v="741"/>
    <n v="4"/>
    <n v="5"/>
    <d v="1981-12-25T00:00:00"/>
    <n v="732457"/>
    <x v="1"/>
    <n v="1981"/>
    <n v="5"/>
    <n v="45"/>
    <s v="Good"/>
    <s v="Medium Risk"/>
  </r>
  <r>
    <d v="2020-01-14T00:00:00"/>
    <n v="32451"/>
    <s v="Operation - Executive"/>
    <s v="Operation"/>
    <s v="Executive"/>
    <n v="733"/>
    <n v="1"/>
    <n v="5"/>
    <d v="1980-07-09T00:00:00"/>
    <n v="794281"/>
    <x v="0"/>
    <n v="1980"/>
    <n v="1"/>
    <n v="46"/>
    <s v="Good"/>
    <s v="Medium Risk"/>
  </r>
  <r>
    <d v="2020-04-27T00:00:00"/>
    <n v="99963"/>
    <s v="Strategy - Executive"/>
    <s v="Strategy"/>
    <s v="Executive"/>
    <n v="794"/>
    <n v="1"/>
    <n v="5"/>
    <d v="1988-08-13T00:00:00"/>
    <n v="946851"/>
    <x v="2"/>
    <n v="1988"/>
    <n v="4"/>
    <n v="38"/>
    <s v="Excellent"/>
    <s v="Medium Risk"/>
  </r>
  <r>
    <d v="2020-11-12T00:00:00"/>
    <n v="37171"/>
    <s v="Finance - Director"/>
    <s v="Finance"/>
    <s v="Director"/>
    <n v="765"/>
    <n v="3"/>
    <n v="3"/>
    <d v="1981-09-10T00:00:00"/>
    <n v="889827"/>
    <x v="0"/>
    <n v="1981"/>
    <n v="11"/>
    <n v="45"/>
    <s v="Excellent"/>
    <s v="Medium Risk"/>
  </r>
  <r>
    <d v="2020-10-20T00:00:00"/>
    <n v="87310"/>
    <s v="Operation - Director"/>
    <s v="Operation"/>
    <s v="Director"/>
    <n v="783"/>
    <n v="2"/>
    <n v="3"/>
    <d v="1986-11-30T00:00:00"/>
    <n v="807124"/>
    <x v="0"/>
    <n v="1986"/>
    <n v="10"/>
    <n v="40"/>
    <s v="Excellent"/>
    <s v="Medium Risk"/>
  </r>
  <r>
    <d v="2020-11-29T00:00:00"/>
    <n v="96889"/>
    <s v="Marketing - Executive"/>
    <s v="Marketing"/>
    <s v="Executive"/>
    <n v="708"/>
    <n v="3"/>
    <n v="10"/>
    <d v="1981-07-26T00:00:00"/>
    <n v="689583"/>
    <x v="0"/>
    <n v="1981"/>
    <n v="11"/>
    <n v="45"/>
    <s v="Good"/>
    <s v="High Risk"/>
  </r>
  <r>
    <d v="2020-10-09T00:00:00"/>
    <n v="10493"/>
    <s v="Growth - Director"/>
    <s v="Growth"/>
    <s v="Director"/>
    <n v="773"/>
    <n v="5"/>
    <n v="3"/>
    <d v="1982-08-16T00:00:00"/>
    <n v="581795"/>
    <x v="1"/>
    <n v="1982"/>
    <n v="10"/>
    <n v="44"/>
    <s v="Excellent"/>
    <s v="Medium Risk"/>
  </r>
  <r>
    <d v="2020-01-10T00:00:00"/>
    <n v="80302"/>
    <s v="Growth - Intern"/>
    <s v="Growth"/>
    <s v="Intern"/>
    <n v="725"/>
    <n v="1"/>
    <n v="9"/>
    <d v="1993-03-03T00:00:00"/>
    <n v="833731"/>
    <x v="2"/>
    <n v="1993"/>
    <n v="1"/>
    <n v="33"/>
    <s v="Good"/>
    <s v="High Risk"/>
  </r>
  <r>
    <d v="2020-11-11T00:00:00"/>
    <n v="88284"/>
    <s v="Marketing - Executive"/>
    <s v="Marketing"/>
    <s v="Executive"/>
    <n v="800"/>
    <n v="1"/>
    <n v="4"/>
    <d v="1984-12-11T00:00:00"/>
    <n v="752765"/>
    <x v="2"/>
    <n v="1984"/>
    <n v="11"/>
    <n v="42"/>
    <s v="Excellent"/>
    <s v="Medium Risk"/>
  </r>
  <r>
    <d v="2020-06-13T00:00:00"/>
    <n v="12151"/>
    <s v="Marketing - Intern"/>
    <s v="Marketing"/>
    <s v="Intern"/>
    <n v="787"/>
    <n v="4"/>
    <n v="9"/>
    <d v="1985-10-17T00:00:00"/>
    <n v="703384"/>
    <x v="0"/>
    <n v="1985"/>
    <n v="6"/>
    <n v="41"/>
    <s v="Excellent"/>
    <s v="High Risk"/>
  </r>
  <r>
    <d v="2020-08-20T00:00:00"/>
    <n v="82581"/>
    <s v="Marketing - Manager"/>
    <s v="Marketing"/>
    <s v="Manager"/>
    <n v="755"/>
    <n v="2"/>
    <n v="6"/>
    <d v="1994-12-28T00:00:00"/>
    <n v="660009"/>
    <x v="1"/>
    <n v="1994"/>
    <n v="8"/>
    <n v="32"/>
    <s v="Excellent"/>
    <s v="High Risk"/>
  </r>
  <r>
    <d v="2020-01-09T00:00:00"/>
    <n v="38948"/>
    <s v="Strategy - Executive"/>
    <s v="Strategy"/>
    <s v="Executive"/>
    <n v="734"/>
    <n v="1"/>
    <n v="4"/>
    <d v="1980-05-04T00:00:00"/>
    <n v="973182"/>
    <x v="2"/>
    <n v="1980"/>
    <n v="1"/>
    <n v="46"/>
    <s v="Good"/>
    <s v="Medium Risk"/>
  </r>
  <r>
    <d v="2020-07-02T00:00:00"/>
    <n v="18273"/>
    <s v="Marketing - Manager"/>
    <s v="Marketing"/>
    <s v="Manager"/>
    <n v="716"/>
    <n v="1"/>
    <n v="8"/>
    <d v="1985-03-28T00:00:00"/>
    <n v="856616"/>
    <x v="2"/>
    <n v="1985"/>
    <n v="7"/>
    <n v="41"/>
    <s v="Good"/>
    <s v="High Risk"/>
  </r>
  <r>
    <d v="2020-07-02T00:00:00"/>
    <n v="24463"/>
    <s v="Marketing - Executive"/>
    <s v="Marketing"/>
    <s v="Executive"/>
    <n v="758"/>
    <n v="4"/>
    <n v="3"/>
    <d v="1991-03-15T00:00:00"/>
    <n v="606785"/>
    <x v="0"/>
    <n v="1991"/>
    <n v="7"/>
    <n v="35"/>
    <s v="Excellent"/>
    <s v="Medium Risk"/>
  </r>
  <r>
    <d v="2020-01-03T00:00:00"/>
    <n v="95176"/>
    <s v="Growth - Executive"/>
    <s v="Growth"/>
    <s v="Executive"/>
    <n v="708"/>
    <n v="3"/>
    <n v="7"/>
    <d v="1994-08-28T00:00:00"/>
    <n v="703577"/>
    <x v="2"/>
    <n v="1994"/>
    <n v="1"/>
    <n v="32"/>
    <s v="Good"/>
    <s v="High Risk"/>
  </r>
  <r>
    <d v="2020-02-13T00:00:00"/>
    <n v="39558"/>
    <s v="Operation - Executive"/>
    <s v="Operation"/>
    <s v="Executive"/>
    <n v="766"/>
    <n v="3"/>
    <n v="4"/>
    <d v="1991-04-22T00:00:00"/>
    <n v="948975"/>
    <x v="0"/>
    <n v="1991"/>
    <n v="2"/>
    <n v="35"/>
    <s v="Excellent"/>
    <s v="Medium Risk"/>
  </r>
  <r>
    <d v="2020-01-09T00:00:00"/>
    <n v="93584"/>
    <s v="Strategy - Manager"/>
    <s v="Strategy"/>
    <s v="Manager"/>
    <n v="709"/>
    <n v="3"/>
    <n v="5"/>
    <d v="1988-08-15T00:00:00"/>
    <n v="715479"/>
    <x v="2"/>
    <n v="1988"/>
    <n v="1"/>
    <n v="38"/>
    <s v="Good"/>
    <s v="Medium Risk"/>
  </r>
  <r>
    <d v="2020-09-09T00:00:00"/>
    <n v="38017"/>
    <s v="Growth - Intern"/>
    <s v="Growth"/>
    <s v="Intern"/>
    <n v="721"/>
    <n v="3"/>
    <n v="3"/>
    <d v="1994-01-10T00:00:00"/>
    <n v="559126"/>
    <x v="0"/>
    <n v="1994"/>
    <n v="9"/>
    <n v="32"/>
    <s v="Good"/>
    <s v="Medium Risk"/>
  </r>
  <r>
    <d v="2020-09-01T00:00:00"/>
    <n v="91310"/>
    <s v="Sales - Director"/>
    <s v="Sales"/>
    <s v="Director"/>
    <n v="783"/>
    <n v="4"/>
    <n v="7"/>
    <d v="1981-09-28T00:00:00"/>
    <n v="628975"/>
    <x v="2"/>
    <n v="1981"/>
    <n v="9"/>
    <n v="45"/>
    <s v="Excellent"/>
    <s v="High Risk"/>
  </r>
  <r>
    <d v="2020-09-27T00:00:00"/>
    <n v="75570"/>
    <s v="Sales - Intern"/>
    <s v="Sales"/>
    <s v="Intern"/>
    <n v="724"/>
    <n v="1"/>
    <n v="2"/>
    <d v="1980-07-29T00:00:00"/>
    <n v="724346"/>
    <x v="1"/>
    <n v="1980"/>
    <n v="9"/>
    <n v="46"/>
    <s v="Good"/>
    <s v="Medium Risk"/>
  </r>
  <r>
    <d v="2020-07-28T00:00:00"/>
    <n v="93524"/>
    <s v="Marketing - Director"/>
    <s v="Marketing"/>
    <s v="Director"/>
    <n v="768"/>
    <n v="3"/>
    <n v="5"/>
    <d v="1987-09-08T00:00:00"/>
    <n v="900713"/>
    <x v="1"/>
    <n v="1987"/>
    <n v="7"/>
    <n v="39"/>
    <s v="Excellent"/>
    <s v="Medium Risk"/>
  </r>
  <r>
    <d v="2020-06-21T00:00:00"/>
    <n v="78035"/>
    <s v="Growth - Director"/>
    <s v="Growth"/>
    <s v="Director"/>
    <n v="716"/>
    <n v="2"/>
    <n v="2"/>
    <d v="1988-07-17T00:00:00"/>
    <n v="757731"/>
    <x v="0"/>
    <n v="1988"/>
    <n v="6"/>
    <n v="38"/>
    <s v="Good"/>
    <s v="Medium Risk"/>
  </r>
  <r>
    <d v="2020-10-06T00:00:00"/>
    <n v="90930"/>
    <s v="Sales - Intern"/>
    <s v="Sales"/>
    <s v="Intern"/>
    <n v="742"/>
    <n v="5"/>
    <n v="9"/>
    <d v="1984-10-29T00:00:00"/>
    <n v="862373"/>
    <x v="1"/>
    <n v="1984"/>
    <n v="10"/>
    <n v="42"/>
    <s v="Good"/>
    <s v="High Risk"/>
  </r>
  <r>
    <d v="2020-06-17T00:00:00"/>
    <n v="54049"/>
    <s v="Marketing - Intern"/>
    <s v="Marketing"/>
    <s v="Intern"/>
    <n v="782"/>
    <n v="2"/>
    <n v="5"/>
    <d v="1980-08-18T00:00:00"/>
    <n v="695038"/>
    <x v="1"/>
    <n v="1980"/>
    <n v="6"/>
    <n v="46"/>
    <s v="Excellent"/>
    <s v="Medium Risk"/>
  </r>
  <r>
    <d v="2020-09-23T00:00:00"/>
    <n v="36823"/>
    <s v="Operation - Director"/>
    <s v="Operation"/>
    <s v="Director"/>
    <n v="746"/>
    <n v="4"/>
    <n v="3"/>
    <d v="1983-12-19T00:00:00"/>
    <n v="603569"/>
    <x v="2"/>
    <n v="1983"/>
    <n v="9"/>
    <n v="43"/>
    <s v="Good"/>
    <s v="Medium Risk"/>
  </r>
  <r>
    <d v="2020-04-17T00:00:00"/>
    <n v="84705"/>
    <s v="Growth - Director"/>
    <s v="Growth"/>
    <s v="Director"/>
    <n v="790"/>
    <n v="5"/>
    <n v="3"/>
    <d v="1982-04-01T00:00:00"/>
    <n v="819230"/>
    <x v="0"/>
    <n v="1982"/>
    <n v="4"/>
    <n v="44"/>
    <s v="Excellent"/>
    <s v="Medium Risk"/>
  </r>
  <r>
    <d v="2020-06-28T00:00:00"/>
    <n v="14796"/>
    <s v="Growth - Intern"/>
    <s v="Growth"/>
    <s v="Intern"/>
    <n v="742"/>
    <n v="2"/>
    <n v="8"/>
    <d v="1994-04-22T00:00:00"/>
    <n v="534072"/>
    <x v="2"/>
    <n v="1994"/>
    <n v="6"/>
    <n v="32"/>
    <s v="Good"/>
    <s v="High Risk"/>
  </r>
  <r>
    <d v="2020-06-07T00:00:00"/>
    <n v="49843"/>
    <s v="Growth - Manager"/>
    <s v="Growth"/>
    <s v="Manager"/>
    <n v="733"/>
    <n v="3"/>
    <n v="4"/>
    <d v="1986-01-28T00:00:00"/>
    <n v="911169"/>
    <x v="0"/>
    <n v="1986"/>
    <n v="6"/>
    <n v="40"/>
    <s v="Good"/>
    <s v="Medium Risk"/>
  </r>
  <r>
    <d v="2020-05-19T00:00:00"/>
    <n v="70258"/>
    <s v="Growth - Executive"/>
    <s v="Growth"/>
    <s v="Executive"/>
    <n v="736"/>
    <n v="4"/>
    <n v="7"/>
    <d v="1987-03-14T00:00:00"/>
    <n v="665622"/>
    <x v="1"/>
    <n v="1987"/>
    <n v="5"/>
    <n v="39"/>
    <s v="Good"/>
    <s v="High Risk"/>
  </r>
  <r>
    <d v="2020-03-07T00:00:00"/>
    <n v="53621"/>
    <s v="Finance - Intern"/>
    <s v="Finance"/>
    <s v="Intern"/>
    <n v="747"/>
    <n v="2"/>
    <n v="9"/>
    <d v="1992-04-29T00:00:00"/>
    <n v="746291"/>
    <x v="0"/>
    <n v="1992"/>
    <n v="3"/>
    <n v="34"/>
    <s v="Good"/>
    <s v="High Risk"/>
  </r>
  <r>
    <d v="2020-10-09T00:00:00"/>
    <n v="77593"/>
    <s v="Finance - Director"/>
    <s v="Finance"/>
    <s v="Director"/>
    <n v="762"/>
    <n v="3"/>
    <n v="5"/>
    <d v="1993-02-24T00:00:00"/>
    <n v="759883"/>
    <x v="2"/>
    <n v="1993"/>
    <n v="10"/>
    <n v="33"/>
    <s v="Excellent"/>
    <s v="Medium Risk"/>
  </r>
  <r>
    <d v="2020-02-22T00:00:00"/>
    <n v="84960"/>
    <s v="Sales - Manager"/>
    <s v="Sales"/>
    <s v="Manager"/>
    <n v="732"/>
    <n v="5"/>
    <n v="4"/>
    <d v="1994-05-19T00:00:00"/>
    <n v="737751"/>
    <x v="1"/>
    <n v="1994"/>
    <n v="2"/>
    <n v="32"/>
    <s v="Good"/>
    <s v="Medium Risk"/>
  </r>
  <r>
    <d v="2020-09-16T00:00:00"/>
    <n v="41108"/>
    <s v="Growth - Manager"/>
    <s v="Growth"/>
    <s v="Manager"/>
    <n v="786"/>
    <n v="4"/>
    <n v="8"/>
    <d v="1988-03-02T00:00:00"/>
    <n v="807001"/>
    <x v="0"/>
    <n v="1988"/>
    <n v="9"/>
    <n v="38"/>
    <s v="Excellent"/>
    <s v="High Risk"/>
  </r>
  <r>
    <d v="2020-09-23T00:00:00"/>
    <n v="20898"/>
    <s v="Operation - Executive"/>
    <s v="Operation"/>
    <s v="Executive"/>
    <n v="717"/>
    <n v="4"/>
    <n v="9"/>
    <d v="1993-06-04T00:00:00"/>
    <n v="681201"/>
    <x v="0"/>
    <n v="1993"/>
    <n v="9"/>
    <n v="33"/>
    <s v="Good"/>
    <s v="High Risk"/>
  </r>
  <r>
    <d v="2020-03-07T00:00:00"/>
    <n v="83281"/>
    <s v="Strategy - Executive"/>
    <s v="Strategy"/>
    <s v="Executive"/>
    <n v="709"/>
    <n v="5"/>
    <n v="7"/>
    <d v="1994-03-29T00:00:00"/>
    <n v="740015"/>
    <x v="2"/>
    <n v="1994"/>
    <n v="3"/>
    <n v="32"/>
    <s v="Good"/>
    <s v="High Risk"/>
  </r>
  <r>
    <d v="2020-10-27T00:00:00"/>
    <n v="83373"/>
    <s v="Operation - Executive"/>
    <s v="Operation"/>
    <s v="Executive"/>
    <n v="756"/>
    <n v="2"/>
    <n v="3"/>
    <d v="1992-06-16T00:00:00"/>
    <n v="845107"/>
    <x v="2"/>
    <n v="1992"/>
    <n v="10"/>
    <n v="34"/>
    <s v="Excellent"/>
    <s v="Medium Risk"/>
  </r>
  <r>
    <d v="2020-07-04T00:00:00"/>
    <n v="38470"/>
    <s v="Finance - Executive"/>
    <s v="Finance"/>
    <s v="Executive"/>
    <n v="793"/>
    <n v="4"/>
    <n v="7"/>
    <d v="1984-09-04T00:00:00"/>
    <n v="739435"/>
    <x v="0"/>
    <n v="1984"/>
    <n v="7"/>
    <n v="42"/>
    <s v="Excellent"/>
    <s v="High Risk"/>
  </r>
  <r>
    <d v="2020-06-15T00:00:00"/>
    <n v="30320"/>
    <s v="Marketing - Manager"/>
    <s v="Marketing"/>
    <s v="Manager"/>
    <n v="798"/>
    <n v="2"/>
    <n v="1"/>
    <d v="1985-01-04T00:00:00"/>
    <n v="857830"/>
    <x v="0"/>
    <n v="1985"/>
    <n v="6"/>
    <n v="41"/>
    <s v="Excellent"/>
    <s v="Low Risk"/>
  </r>
  <r>
    <d v="2020-05-25T00:00:00"/>
    <n v="41106"/>
    <s v="Growth - Intern"/>
    <s v="Growth"/>
    <s v="Intern"/>
    <n v="746"/>
    <n v="2"/>
    <n v="3"/>
    <d v="1994-10-07T00:00:00"/>
    <n v="518202"/>
    <x v="2"/>
    <n v="1994"/>
    <n v="5"/>
    <n v="32"/>
    <s v="Good"/>
    <s v="Medium Risk"/>
  </r>
  <r>
    <d v="2020-03-11T00:00:00"/>
    <n v="50298"/>
    <s v="Operation - Director"/>
    <s v="Operation"/>
    <s v="Director"/>
    <n v="755"/>
    <n v="4"/>
    <n v="5"/>
    <d v="1986-01-16T00:00:00"/>
    <n v="722229"/>
    <x v="2"/>
    <n v="1986"/>
    <n v="3"/>
    <n v="40"/>
    <s v="Excellent"/>
    <s v="Medium Risk"/>
  </r>
  <r>
    <d v="2020-03-18T00:00:00"/>
    <n v="18184"/>
    <s v="Marketing - Manager"/>
    <s v="Marketing"/>
    <s v="Manager"/>
    <n v="703"/>
    <n v="4"/>
    <n v="6"/>
    <d v="1983-11-13T00:00:00"/>
    <n v="993598"/>
    <x v="2"/>
    <n v="1983"/>
    <n v="3"/>
    <n v="43"/>
    <s v="Good"/>
    <s v="High Risk"/>
  </r>
  <r>
    <d v="2020-03-24T00:00:00"/>
    <n v="71263"/>
    <s v="Growth - Manager"/>
    <s v="Growth"/>
    <s v="Manager"/>
    <n v="783"/>
    <n v="1"/>
    <n v="8"/>
    <d v="1992-10-04T00:00:00"/>
    <n v="537747"/>
    <x v="2"/>
    <n v="1992"/>
    <n v="3"/>
    <n v="34"/>
    <s v="Excellent"/>
    <s v="High Risk"/>
  </r>
  <r>
    <d v="2020-05-08T00:00:00"/>
    <n v="40508"/>
    <s v="Marketing - Manager"/>
    <s v="Marketing"/>
    <s v="Manager"/>
    <n v="718"/>
    <n v="3"/>
    <n v="1"/>
    <d v="1989-01-24T00:00:00"/>
    <n v="818556"/>
    <x v="2"/>
    <n v="1989"/>
    <n v="5"/>
    <n v="37"/>
    <s v="Good"/>
    <s v="Medium Risk"/>
  </r>
  <r>
    <d v="2020-06-10T00:00:00"/>
    <n v="31054"/>
    <s v="Marketing - Director"/>
    <s v="Marketing"/>
    <s v="Director"/>
    <n v="708"/>
    <n v="4"/>
    <n v="7"/>
    <d v="1984-02-27T00:00:00"/>
    <n v="692252"/>
    <x v="0"/>
    <n v="1984"/>
    <n v="6"/>
    <n v="42"/>
    <s v="Good"/>
    <s v="High Risk"/>
  </r>
  <r>
    <d v="2020-06-18T00:00:00"/>
    <n v="44940"/>
    <s v="Growth - Director"/>
    <s v="Growth"/>
    <s v="Director"/>
    <n v="770"/>
    <n v="5"/>
    <n v="2"/>
    <d v="1992-12-27T00:00:00"/>
    <n v="718232"/>
    <x v="0"/>
    <n v="1992"/>
    <n v="6"/>
    <n v="34"/>
    <s v="Excellent"/>
    <s v="Low Risk"/>
  </r>
  <r>
    <d v="2020-05-21T00:00:00"/>
    <n v="50466"/>
    <s v="Operation - Director"/>
    <s v="Operation"/>
    <s v="Director"/>
    <n v="799"/>
    <n v="5"/>
    <n v="5"/>
    <d v="1992-11-11T00:00:00"/>
    <n v="922183"/>
    <x v="1"/>
    <n v="1992"/>
    <n v="5"/>
    <n v="34"/>
    <s v="Excellent"/>
    <s v="Medium Risk"/>
  </r>
  <r>
    <d v="2020-03-16T00:00:00"/>
    <n v="82889"/>
    <s v="Operation - Intern"/>
    <s v="Operation"/>
    <s v="Intern"/>
    <n v="725"/>
    <n v="4"/>
    <n v="9"/>
    <d v="1986-02-17T00:00:00"/>
    <n v="824112"/>
    <x v="1"/>
    <n v="1986"/>
    <n v="3"/>
    <n v="40"/>
    <s v="Good"/>
    <s v="High Risk"/>
  </r>
  <r>
    <d v="2020-06-01T00:00:00"/>
    <n v="68268"/>
    <s v="Growth - Director"/>
    <s v="Growth"/>
    <s v="Director"/>
    <n v="764"/>
    <n v="5"/>
    <n v="4"/>
    <d v="1987-03-19T00:00:00"/>
    <n v="854960"/>
    <x v="0"/>
    <n v="1987"/>
    <n v="6"/>
    <n v="39"/>
    <s v="Excellent"/>
    <s v="Medium Risk"/>
  </r>
  <r>
    <d v="2020-05-01T00:00:00"/>
    <n v="72362"/>
    <s v="Operation - Director"/>
    <s v="Operation"/>
    <s v="Director"/>
    <n v="711"/>
    <n v="5"/>
    <n v="8"/>
    <d v="1988-10-21T00:00:00"/>
    <n v="989356"/>
    <x v="1"/>
    <n v="1988"/>
    <n v="5"/>
    <n v="38"/>
    <s v="Good"/>
    <s v="High Risk"/>
  </r>
  <r>
    <d v="2020-07-25T00:00:00"/>
    <n v="10986"/>
    <s v="Sales - Manager"/>
    <s v="Sales"/>
    <s v="Manager"/>
    <n v="789"/>
    <n v="4"/>
    <n v="7"/>
    <d v="1980-10-09T00:00:00"/>
    <n v="868700"/>
    <x v="2"/>
    <n v="1980"/>
    <n v="7"/>
    <n v="46"/>
    <s v="Excellent"/>
    <s v="High Risk"/>
  </r>
  <r>
    <d v="2020-06-21T00:00:00"/>
    <n v="80405"/>
    <s v="Operation - Executive"/>
    <s v="Operation"/>
    <s v="Executive"/>
    <n v="723"/>
    <n v="2"/>
    <n v="8"/>
    <d v="1982-11-13T00:00:00"/>
    <n v="654491"/>
    <x v="1"/>
    <n v="1982"/>
    <n v="6"/>
    <n v="44"/>
    <s v="Good"/>
    <s v="High Risk"/>
  </r>
  <r>
    <d v="2020-10-24T00:00:00"/>
    <n v="40834"/>
    <s v="Finance - Intern"/>
    <s v="Finance"/>
    <s v="Intern"/>
    <n v="708"/>
    <n v="1"/>
    <n v="5"/>
    <d v="1994-04-04T00:00:00"/>
    <n v="936156"/>
    <x v="0"/>
    <n v="1994"/>
    <n v="10"/>
    <n v="32"/>
    <s v="Good"/>
    <s v="Medium Risk"/>
  </r>
  <r>
    <d v="2020-06-20T00:00:00"/>
    <n v="61276"/>
    <s v="Growth - Director"/>
    <s v="Growth"/>
    <s v="Director"/>
    <n v="796"/>
    <n v="2"/>
    <n v="2"/>
    <d v="1983-09-12T00:00:00"/>
    <n v="902760"/>
    <x v="1"/>
    <n v="1983"/>
    <n v="6"/>
    <n v="43"/>
    <s v="Excellent"/>
    <s v="Low Risk"/>
  </r>
  <r>
    <d v="2020-02-17T00:00:00"/>
    <n v="64597"/>
    <s v="Sales - Director"/>
    <s v="Sales"/>
    <s v="Director"/>
    <n v="727"/>
    <n v="3"/>
    <n v="5"/>
    <d v="1989-04-18T00:00:00"/>
    <n v="759509"/>
    <x v="2"/>
    <n v="1989"/>
    <n v="2"/>
    <n v="37"/>
    <s v="Good"/>
    <s v="Medium Risk"/>
  </r>
  <r>
    <d v="2020-06-21T00:00:00"/>
    <n v="20325"/>
    <s v="Marketing - Executive"/>
    <s v="Marketing"/>
    <s v="Executive"/>
    <n v="754"/>
    <n v="3"/>
    <n v="4"/>
    <d v="1984-01-25T00:00:00"/>
    <n v="553520"/>
    <x v="0"/>
    <n v="1984"/>
    <n v="6"/>
    <n v="42"/>
    <s v="Excellent"/>
    <s v="Medium Risk"/>
  </r>
  <r>
    <d v="2020-02-02T00:00:00"/>
    <n v="69249"/>
    <s v="Sales - Director"/>
    <s v="Sales"/>
    <s v="Director"/>
    <n v="757"/>
    <n v="2"/>
    <n v="3"/>
    <d v="1988-02-08T00:00:00"/>
    <n v="929923"/>
    <x v="2"/>
    <n v="1988"/>
    <n v="2"/>
    <n v="38"/>
    <s v="Excellent"/>
    <s v="Medium Risk"/>
  </r>
  <r>
    <d v="2020-09-05T00:00:00"/>
    <n v="44270"/>
    <s v="Strategy - Intern"/>
    <s v="Strategy"/>
    <s v="Intern"/>
    <n v="775"/>
    <n v="1"/>
    <n v="5"/>
    <d v="1986-02-07T00:00:00"/>
    <n v="788221"/>
    <x v="2"/>
    <n v="1986"/>
    <n v="9"/>
    <n v="40"/>
    <s v="Excellent"/>
    <s v="Medium Risk"/>
  </r>
  <r>
    <d v="2020-04-09T00:00:00"/>
    <n v="11550"/>
    <s v="Marketing - Director"/>
    <s v="Marketing"/>
    <s v="Director"/>
    <n v="729"/>
    <n v="3"/>
    <n v="4"/>
    <d v="1990-11-12T00:00:00"/>
    <n v="767387"/>
    <x v="1"/>
    <n v="1990"/>
    <n v="4"/>
    <n v="36"/>
    <s v="Good"/>
    <s v="Medium Risk"/>
  </r>
  <r>
    <d v="2020-04-04T00:00:00"/>
    <n v="43241"/>
    <s v="Marketing - Executive"/>
    <s v="Marketing"/>
    <s v="Executive"/>
    <n v="719"/>
    <n v="4"/>
    <n v="7"/>
    <d v="1984-08-22T00:00:00"/>
    <n v="898213"/>
    <x v="2"/>
    <n v="1984"/>
    <n v="4"/>
    <n v="42"/>
    <s v="Good"/>
    <s v="High Risk"/>
  </r>
  <r>
    <d v="2020-07-23T00:00:00"/>
    <n v="29545"/>
    <s v="Finance - Manager"/>
    <s v="Finance"/>
    <s v="Manager"/>
    <n v="766"/>
    <n v="3"/>
    <n v="10"/>
    <d v="1987-09-13T00:00:00"/>
    <n v="843659"/>
    <x v="0"/>
    <n v="1987"/>
    <n v="7"/>
    <n v="39"/>
    <s v="Excellent"/>
    <s v="High Risk"/>
  </r>
  <r>
    <d v="2020-07-06T00:00:00"/>
    <n v="72884"/>
    <s v="Marketing - Executive"/>
    <s v="Marketing"/>
    <s v="Executive"/>
    <n v="747"/>
    <n v="4"/>
    <n v="2"/>
    <d v="1988-10-14T00:00:00"/>
    <n v="901188"/>
    <x v="0"/>
    <n v="1988"/>
    <n v="7"/>
    <n v="38"/>
    <s v="Good"/>
    <s v="Medium Risk"/>
  </r>
  <r>
    <d v="2020-05-26T00:00:00"/>
    <n v="13475"/>
    <s v="Finance - Director"/>
    <s v="Finance"/>
    <s v="Director"/>
    <n v="800"/>
    <n v="5"/>
    <n v="3"/>
    <d v="1980-01-30T00:00:00"/>
    <n v="578868"/>
    <x v="2"/>
    <n v="1980"/>
    <n v="5"/>
    <n v="46"/>
    <s v="Excellent"/>
    <s v="Medium Risk"/>
  </r>
  <r>
    <d v="2020-07-31T00:00:00"/>
    <n v="63362"/>
    <s v="Sales - Manager"/>
    <s v="Sales"/>
    <s v="Manager"/>
    <n v="724"/>
    <n v="5"/>
    <n v="2"/>
    <d v="1993-05-02T00:00:00"/>
    <n v="891505"/>
    <x v="2"/>
    <n v="1993"/>
    <n v="7"/>
    <n v="33"/>
    <s v="Good"/>
    <s v="Medium Risk"/>
  </r>
  <r>
    <d v="2020-02-09T00:00:00"/>
    <n v="92047"/>
    <s v="Finance - Intern"/>
    <s v="Finance"/>
    <s v="Intern"/>
    <n v="738"/>
    <n v="4"/>
    <n v="8"/>
    <d v="1988-01-07T00:00:00"/>
    <n v="891901"/>
    <x v="1"/>
    <n v="1988"/>
    <n v="2"/>
    <n v="38"/>
    <s v="Good"/>
    <s v="High Risk"/>
  </r>
  <r>
    <d v="2020-07-30T00:00:00"/>
    <n v="56119"/>
    <s v="Marketing - Manager"/>
    <s v="Marketing"/>
    <s v="Manager"/>
    <n v="729"/>
    <n v="3"/>
    <n v="10"/>
    <d v="1990-02-15T00:00:00"/>
    <n v="801976"/>
    <x v="0"/>
    <n v="1990"/>
    <n v="7"/>
    <n v="36"/>
    <s v="Good"/>
    <s v="High Risk"/>
  </r>
  <r>
    <d v="2020-08-07T00:00:00"/>
    <n v="79806"/>
    <s v="Sales - Intern"/>
    <s v="Sales"/>
    <s v="Intern"/>
    <n v="760"/>
    <n v="3"/>
    <n v="8"/>
    <d v="1987-09-06T00:00:00"/>
    <n v="603480"/>
    <x v="2"/>
    <n v="1987"/>
    <n v="8"/>
    <n v="39"/>
    <s v="Excellent"/>
    <s v="High Risk"/>
  </r>
  <r>
    <d v="2020-01-20T00:00:00"/>
    <n v="63927"/>
    <s v="Finance - Manager"/>
    <s v="Finance"/>
    <s v="Manager"/>
    <n v="740"/>
    <n v="5"/>
    <n v="5"/>
    <d v="1991-04-11T00:00:00"/>
    <n v="689555"/>
    <x v="1"/>
    <n v="1991"/>
    <n v="1"/>
    <n v="35"/>
    <s v="Good"/>
    <s v="Medium Risk"/>
  </r>
  <r>
    <d v="2020-11-02T00:00:00"/>
    <n v="73461"/>
    <s v="Operation - Executive"/>
    <s v="Operation"/>
    <s v="Executive"/>
    <n v="763"/>
    <n v="4"/>
    <n v="10"/>
    <d v="1992-09-10T00:00:00"/>
    <n v="675486"/>
    <x v="2"/>
    <n v="1992"/>
    <n v="11"/>
    <n v="34"/>
    <s v="Excellent"/>
    <s v="High Risk"/>
  </r>
  <r>
    <d v="2020-05-07T00:00:00"/>
    <n v="53939"/>
    <s v="Operation - Manager"/>
    <s v="Operation"/>
    <s v="Manager"/>
    <n v="729"/>
    <n v="5"/>
    <n v="4"/>
    <d v="1989-01-29T00:00:00"/>
    <n v="839023"/>
    <x v="2"/>
    <n v="1989"/>
    <n v="5"/>
    <n v="37"/>
    <s v="Good"/>
    <s v="Medium Risk"/>
  </r>
  <r>
    <d v="2020-05-02T00:00:00"/>
    <n v="67752"/>
    <s v="Growth - Executive"/>
    <s v="Growth"/>
    <s v="Executive"/>
    <n v="743"/>
    <n v="3"/>
    <n v="9"/>
    <d v="1980-12-18T00:00:00"/>
    <n v="917829"/>
    <x v="0"/>
    <n v="1980"/>
    <n v="5"/>
    <n v="46"/>
    <s v="Good"/>
    <s v="High Risk"/>
  </r>
  <r>
    <d v="2020-03-04T00:00:00"/>
    <n v="98469"/>
    <s v="Operation - Manager"/>
    <s v="Operation"/>
    <s v="Manager"/>
    <n v="796"/>
    <n v="4"/>
    <n v="1"/>
    <d v="1991-04-13T00:00:00"/>
    <n v="861547"/>
    <x v="0"/>
    <n v="1991"/>
    <n v="3"/>
    <n v="35"/>
    <s v="Excellent"/>
    <s v="Low Risk"/>
  </r>
  <r>
    <d v="2020-10-29T00:00:00"/>
    <n v="96055"/>
    <s v="Operation - Executive"/>
    <s v="Operation"/>
    <s v="Executive"/>
    <n v="744"/>
    <n v="2"/>
    <n v="2"/>
    <d v="1985-06-02T00:00:00"/>
    <n v="664025"/>
    <x v="1"/>
    <n v="1985"/>
    <n v="10"/>
    <n v="41"/>
    <s v="Good"/>
    <s v="Medium Risk"/>
  </r>
  <r>
    <d v="2020-11-08T00:00:00"/>
    <n v="22022"/>
    <s v="Finance - Intern"/>
    <s v="Finance"/>
    <s v="Intern"/>
    <n v="733"/>
    <n v="1"/>
    <n v="3"/>
    <d v="1985-07-24T00:00:00"/>
    <n v="846070"/>
    <x v="1"/>
    <n v="1985"/>
    <n v="11"/>
    <n v="41"/>
    <s v="Good"/>
    <s v="Medium Risk"/>
  </r>
  <r>
    <d v="2020-04-25T00:00:00"/>
    <n v="41378"/>
    <s v="Operation - Manager"/>
    <s v="Operation"/>
    <s v="Manager"/>
    <n v="786"/>
    <n v="1"/>
    <n v="7"/>
    <d v="1987-09-17T00:00:00"/>
    <n v="878397"/>
    <x v="1"/>
    <n v="1987"/>
    <n v="4"/>
    <n v="39"/>
    <s v="Excellent"/>
    <s v="High Risk"/>
  </r>
  <r>
    <d v="2020-02-06T00:00:00"/>
    <n v="86426"/>
    <s v="Operation - Manager"/>
    <s v="Operation"/>
    <s v="Manager"/>
    <n v="705"/>
    <n v="2"/>
    <n v="3"/>
    <d v="1982-07-18T00:00:00"/>
    <n v="748370"/>
    <x v="0"/>
    <n v="1982"/>
    <n v="2"/>
    <n v="44"/>
    <s v="Good"/>
    <s v="Medium Risk"/>
  </r>
  <r>
    <d v="2020-07-04T00:00:00"/>
    <n v="82232"/>
    <s v="Finance - Executive"/>
    <s v="Finance"/>
    <s v="Executive"/>
    <n v="779"/>
    <n v="1"/>
    <n v="7"/>
    <d v="1991-12-28T00:00:00"/>
    <n v="906582"/>
    <x v="1"/>
    <n v="1991"/>
    <n v="7"/>
    <n v="35"/>
    <s v="Excellent"/>
    <s v="High Risk"/>
  </r>
  <r>
    <d v="2020-06-05T00:00:00"/>
    <n v="79140"/>
    <s v="Sales - Manager"/>
    <s v="Sales"/>
    <s v="Manager"/>
    <n v="728"/>
    <n v="5"/>
    <n v="1"/>
    <d v="1983-10-01T00:00:00"/>
    <n v="613530"/>
    <x v="2"/>
    <n v="1983"/>
    <n v="6"/>
    <n v="43"/>
    <s v="Good"/>
    <s v="Medium Risk"/>
  </r>
  <r>
    <d v="2020-02-29T00:00:00"/>
    <n v="69241"/>
    <s v="Operation - Executive"/>
    <s v="Operation"/>
    <s v="Executive"/>
    <n v="724"/>
    <n v="2"/>
    <n v="9"/>
    <d v="1990-08-28T00:00:00"/>
    <n v="719344"/>
    <x v="1"/>
    <n v="1990"/>
    <n v="2"/>
    <n v="36"/>
    <s v="Good"/>
    <s v="High Risk"/>
  </r>
  <r>
    <d v="2020-09-17T00:00:00"/>
    <n v="19458"/>
    <s v="Sales - Executive"/>
    <s v="Sales"/>
    <s v="Executive"/>
    <n v="743"/>
    <n v="2"/>
    <n v="8"/>
    <d v="1989-02-16T00:00:00"/>
    <n v="722962"/>
    <x v="2"/>
    <n v="1989"/>
    <n v="9"/>
    <n v="37"/>
    <s v="Good"/>
    <s v="High Risk"/>
  </r>
  <r>
    <d v="2020-07-14T00:00:00"/>
    <n v="77604"/>
    <s v="Operation - Manager"/>
    <s v="Operation"/>
    <s v="Manager"/>
    <n v="724"/>
    <n v="1"/>
    <n v="4"/>
    <d v="1992-06-26T00:00:00"/>
    <n v="749530"/>
    <x v="2"/>
    <n v="1992"/>
    <n v="7"/>
    <n v="34"/>
    <s v="Good"/>
    <s v="Medium Risk"/>
  </r>
  <r>
    <d v="2020-05-14T00:00:00"/>
    <n v="84072"/>
    <s v="Sales - Executive"/>
    <s v="Sales"/>
    <s v="Executive"/>
    <n v="766"/>
    <n v="4"/>
    <n v="5"/>
    <d v="1989-03-13T00:00:00"/>
    <n v="788515"/>
    <x v="0"/>
    <n v="1989"/>
    <n v="5"/>
    <n v="37"/>
    <s v="Excellent"/>
    <s v="Medium Risk"/>
  </r>
  <r>
    <d v="2020-12-10T00:00:00"/>
    <n v="16009"/>
    <s v="Growth - Intern"/>
    <s v="Growth"/>
    <s v="Intern"/>
    <n v="729"/>
    <n v="3"/>
    <n v="9"/>
    <d v="1989-04-23T00:00:00"/>
    <n v="526025"/>
    <x v="0"/>
    <n v="1989"/>
    <n v="12"/>
    <n v="37"/>
    <s v="Good"/>
    <s v="High Risk"/>
  </r>
  <r>
    <d v="2020-02-03T00:00:00"/>
    <n v="85826"/>
    <s v="Growth - Intern"/>
    <s v="Growth"/>
    <s v="Intern"/>
    <n v="754"/>
    <n v="5"/>
    <n v="1"/>
    <d v="1980-03-08T00:00:00"/>
    <n v="747215"/>
    <x v="1"/>
    <n v="1980"/>
    <n v="2"/>
    <n v="46"/>
    <s v="Excellent"/>
    <s v="Low Risk"/>
  </r>
  <r>
    <d v="2020-11-30T00:00:00"/>
    <n v="36067"/>
    <s v="Marketing - Director"/>
    <s v="Marketing"/>
    <s v="Director"/>
    <n v="724"/>
    <n v="2"/>
    <n v="6"/>
    <d v="1985-06-06T00:00:00"/>
    <n v="874441"/>
    <x v="2"/>
    <n v="1985"/>
    <n v="11"/>
    <n v="41"/>
    <s v="Good"/>
    <s v="High Risk"/>
  </r>
  <r>
    <d v="2020-07-10T00:00:00"/>
    <n v="66036"/>
    <s v="Finance - Intern"/>
    <s v="Finance"/>
    <s v="Intern"/>
    <n v="792"/>
    <n v="4"/>
    <n v="7"/>
    <d v="1987-01-18T00:00:00"/>
    <n v="679361"/>
    <x v="2"/>
    <n v="1987"/>
    <n v="7"/>
    <n v="39"/>
    <s v="Excellent"/>
    <s v="High Risk"/>
  </r>
  <r>
    <d v="2020-10-16T00:00:00"/>
    <n v="41046"/>
    <s v="Growth - Executive"/>
    <s v="Growth"/>
    <s v="Executive"/>
    <n v="734"/>
    <n v="2"/>
    <n v="1"/>
    <d v="1987-07-23T00:00:00"/>
    <n v="509458"/>
    <x v="2"/>
    <n v="1987"/>
    <n v="10"/>
    <n v="39"/>
    <s v="Good"/>
    <s v="Medium Risk"/>
  </r>
  <r>
    <d v="2020-01-12T00:00:00"/>
    <n v="64623"/>
    <s v="Finance - Executive"/>
    <s v="Finance"/>
    <s v="Executive"/>
    <n v="759"/>
    <n v="1"/>
    <n v="1"/>
    <d v="1986-11-01T00:00:00"/>
    <n v="874108"/>
    <x v="0"/>
    <n v="1986"/>
    <n v="1"/>
    <n v="40"/>
    <s v="Excellent"/>
    <s v="Low Risk"/>
  </r>
  <r>
    <d v="2020-09-17T00:00:00"/>
    <n v="51441"/>
    <s v="Growth - Manager"/>
    <s v="Growth"/>
    <s v="Manager"/>
    <n v="762"/>
    <n v="4"/>
    <n v="6"/>
    <d v="1993-04-18T00:00:00"/>
    <n v="957814"/>
    <x v="0"/>
    <n v="1993"/>
    <n v="9"/>
    <n v="33"/>
    <s v="Excellent"/>
    <s v="High Risk"/>
  </r>
  <r>
    <d v="2020-09-19T00:00:00"/>
    <n v="92190"/>
    <s v="Strategy - Intern"/>
    <s v="Strategy"/>
    <s v="Intern"/>
    <n v="734"/>
    <n v="4"/>
    <n v="10"/>
    <d v="1985-07-19T00:00:00"/>
    <n v="587194"/>
    <x v="0"/>
    <n v="1985"/>
    <n v="9"/>
    <n v="41"/>
    <s v="Good"/>
    <s v="High Risk"/>
  </r>
  <r>
    <d v="2020-12-01T00:00:00"/>
    <n v="47213"/>
    <s v="Marketing - Director"/>
    <s v="Marketing"/>
    <s v="Director"/>
    <n v="751"/>
    <n v="3"/>
    <n v="8"/>
    <d v="1986-01-10T00:00:00"/>
    <n v="695601"/>
    <x v="1"/>
    <n v="1986"/>
    <n v="12"/>
    <n v="40"/>
    <s v="Excellent"/>
    <s v="High Risk"/>
  </r>
  <r>
    <d v="2020-10-23T00:00:00"/>
    <n v="40265"/>
    <s v="Marketing - Director"/>
    <s v="Marketing"/>
    <s v="Director"/>
    <n v="711"/>
    <n v="5"/>
    <n v="6"/>
    <d v="1992-11-09T00:00:00"/>
    <n v="514501"/>
    <x v="0"/>
    <n v="1992"/>
    <n v="10"/>
    <n v="34"/>
    <s v="Good"/>
    <s v="High Risk"/>
  </r>
  <r>
    <d v="2020-10-21T00:00:00"/>
    <n v="49338"/>
    <s v="Operation - Executive"/>
    <s v="Operation"/>
    <s v="Executive"/>
    <n v="746"/>
    <n v="4"/>
    <n v="7"/>
    <d v="1993-04-02T00:00:00"/>
    <n v="809272"/>
    <x v="2"/>
    <n v="1993"/>
    <n v="10"/>
    <n v="33"/>
    <s v="Good"/>
    <s v="High Risk"/>
  </r>
  <r>
    <d v="2020-08-17T00:00:00"/>
    <n v="58998"/>
    <s v="Finance - Executive"/>
    <s v="Finance"/>
    <s v="Executive"/>
    <n v="772"/>
    <n v="2"/>
    <n v="7"/>
    <d v="1984-10-18T00:00:00"/>
    <n v="663270"/>
    <x v="1"/>
    <n v="1984"/>
    <n v="8"/>
    <n v="42"/>
    <s v="Excellent"/>
    <s v="High Risk"/>
  </r>
  <r>
    <d v="2020-01-03T00:00:00"/>
    <n v="71341"/>
    <s v="Sales - Intern"/>
    <s v="Sales"/>
    <s v="Intern"/>
    <n v="700"/>
    <n v="4"/>
    <n v="8"/>
    <d v="1990-08-11T00:00:00"/>
    <n v="548429"/>
    <x v="1"/>
    <n v="1990"/>
    <n v="1"/>
    <n v="36"/>
    <s v="Good"/>
    <s v="High Risk"/>
  </r>
  <r>
    <d v="2020-03-15T00:00:00"/>
    <n v="13310"/>
    <s v="Growth - Director"/>
    <s v="Growth"/>
    <s v="Director"/>
    <n v="750"/>
    <n v="1"/>
    <n v="7"/>
    <d v="1991-03-26T00:00:00"/>
    <n v="878663"/>
    <x v="2"/>
    <n v="1991"/>
    <n v="3"/>
    <n v="35"/>
    <s v="Excellent"/>
    <s v="High Risk"/>
  </r>
  <r>
    <d v="2020-03-27T00:00:00"/>
    <n v="97483"/>
    <s v="Sales - Manager"/>
    <s v="Sales"/>
    <s v="Manager"/>
    <n v="708"/>
    <n v="3"/>
    <n v="5"/>
    <d v="1992-06-06T00:00:00"/>
    <n v="819768"/>
    <x v="2"/>
    <n v="1992"/>
    <n v="3"/>
    <n v="34"/>
    <s v="Good"/>
    <s v="Medium Risk"/>
  </r>
  <r>
    <d v="2020-02-29T00:00:00"/>
    <n v="42773"/>
    <s v="Sales - Executive"/>
    <s v="Sales"/>
    <s v="Executive"/>
    <n v="714"/>
    <n v="1"/>
    <n v="3"/>
    <d v="1986-10-03T00:00:00"/>
    <n v="782564"/>
    <x v="1"/>
    <n v="1986"/>
    <n v="2"/>
    <n v="40"/>
    <s v="Good"/>
    <s v="Medium Risk"/>
  </r>
  <r>
    <d v="2020-06-18T00:00:00"/>
    <n v="47900"/>
    <s v="Finance - Manager"/>
    <s v="Finance"/>
    <s v="Manager"/>
    <n v="713"/>
    <n v="2"/>
    <n v="3"/>
    <d v="1985-10-19T00:00:00"/>
    <n v="789114"/>
    <x v="0"/>
    <n v="1985"/>
    <n v="6"/>
    <n v="41"/>
    <s v="Good"/>
    <s v="Medium Risk"/>
  </r>
  <r>
    <d v="2020-05-01T00:00:00"/>
    <n v="26257"/>
    <s v="Operation - Intern"/>
    <s v="Operation"/>
    <s v="Intern"/>
    <n v="778"/>
    <n v="3"/>
    <n v="4"/>
    <d v="1993-07-17T00:00:00"/>
    <n v="716401"/>
    <x v="2"/>
    <n v="1993"/>
    <n v="5"/>
    <n v="33"/>
    <s v="Excellent"/>
    <s v="Medium Risk"/>
  </r>
  <r>
    <d v="2020-03-25T00:00:00"/>
    <n v="42871"/>
    <s v="Finance - Executive"/>
    <s v="Finance"/>
    <s v="Executive"/>
    <n v="718"/>
    <n v="3"/>
    <n v="7"/>
    <d v="1985-10-11T00:00:00"/>
    <n v="762595"/>
    <x v="1"/>
    <n v="1985"/>
    <n v="3"/>
    <n v="41"/>
    <s v="Good"/>
    <s v="High Risk"/>
  </r>
  <r>
    <d v="2020-08-14T00:00:00"/>
    <n v="56883"/>
    <s v="Strategy - Manager"/>
    <s v="Strategy"/>
    <s v="Manager"/>
    <n v="725"/>
    <n v="2"/>
    <n v="6"/>
    <d v="1986-07-03T00:00:00"/>
    <n v="870920"/>
    <x v="1"/>
    <n v="1986"/>
    <n v="8"/>
    <n v="40"/>
    <s v="Good"/>
    <s v="High Risk"/>
  </r>
  <r>
    <d v="2020-04-06T00:00:00"/>
    <n v="89773"/>
    <s v="Growth - Director"/>
    <s v="Growth"/>
    <s v="Director"/>
    <n v="756"/>
    <n v="3"/>
    <n v="7"/>
    <d v="1988-04-28T00:00:00"/>
    <n v="664462"/>
    <x v="0"/>
    <n v="1988"/>
    <n v="4"/>
    <n v="38"/>
    <s v="Excellent"/>
    <s v="High Risk"/>
  </r>
  <r>
    <d v="2020-06-02T00:00:00"/>
    <n v="52756"/>
    <s v="Operation - Manager"/>
    <s v="Operation"/>
    <s v="Manager"/>
    <n v="710"/>
    <n v="5"/>
    <n v="9"/>
    <d v="1989-08-18T00:00:00"/>
    <n v="801711"/>
    <x v="1"/>
    <n v="1989"/>
    <n v="6"/>
    <n v="37"/>
    <s v="Good"/>
    <s v="High Risk"/>
  </r>
  <r>
    <d v="2020-11-19T00:00:00"/>
    <n v="45544"/>
    <s v="Strategy - Executive"/>
    <s v="Strategy"/>
    <s v="Executive"/>
    <n v="739"/>
    <n v="3"/>
    <n v="8"/>
    <d v="1991-03-29T00:00:00"/>
    <n v="904091"/>
    <x v="1"/>
    <n v="1991"/>
    <n v="11"/>
    <n v="35"/>
    <s v="Good"/>
    <s v="High Risk"/>
  </r>
  <r>
    <d v="2020-09-09T00:00:00"/>
    <n v="87871"/>
    <s v="Marketing - Intern"/>
    <s v="Marketing"/>
    <s v="Intern"/>
    <n v="754"/>
    <n v="5"/>
    <n v="4"/>
    <d v="1983-10-01T00:00:00"/>
    <n v="950799"/>
    <x v="1"/>
    <n v="1983"/>
    <n v="9"/>
    <n v="43"/>
    <s v="Excellent"/>
    <s v="Medium Risk"/>
  </r>
  <r>
    <d v="2020-06-23T00:00:00"/>
    <n v="49718"/>
    <s v="Growth - Executive"/>
    <s v="Growth"/>
    <s v="Executive"/>
    <n v="791"/>
    <n v="3"/>
    <n v="6"/>
    <d v="1992-04-17T00:00:00"/>
    <n v="746853"/>
    <x v="1"/>
    <n v="1992"/>
    <n v="6"/>
    <n v="34"/>
    <s v="Excellent"/>
    <s v="High Risk"/>
  </r>
  <r>
    <d v="2020-07-16T00:00:00"/>
    <n v="95002"/>
    <s v="Sales - Intern"/>
    <s v="Sales"/>
    <s v="Intern"/>
    <n v="768"/>
    <n v="3"/>
    <n v="4"/>
    <d v="1985-02-21T00:00:00"/>
    <n v="804508"/>
    <x v="1"/>
    <n v="1985"/>
    <n v="7"/>
    <n v="41"/>
    <s v="Excellent"/>
    <s v="Medium Risk"/>
  </r>
  <r>
    <d v="2020-01-28T00:00:00"/>
    <n v="33261"/>
    <s v="Growth - Intern"/>
    <s v="Growth"/>
    <s v="Intern"/>
    <n v="767"/>
    <n v="2"/>
    <n v="6"/>
    <d v="1994-12-23T00:00:00"/>
    <n v="590668"/>
    <x v="1"/>
    <n v="1994"/>
    <n v="1"/>
    <n v="32"/>
    <s v="Excellent"/>
    <s v="High Risk"/>
  </r>
  <r>
    <d v="2020-03-04T00:00:00"/>
    <n v="73294"/>
    <s v="Operation - Director"/>
    <s v="Operation"/>
    <s v="Director"/>
    <n v="800"/>
    <n v="5"/>
    <n v="3"/>
    <d v="1992-03-06T00:00:00"/>
    <n v="642085"/>
    <x v="2"/>
    <n v="1992"/>
    <n v="3"/>
    <n v="34"/>
    <s v="Excellent"/>
    <s v="Medium Risk"/>
  </r>
  <r>
    <d v="2020-11-12T00:00:00"/>
    <n v="48447"/>
    <s v="Operation - Intern"/>
    <s v="Operation"/>
    <s v="Intern"/>
    <n v="753"/>
    <n v="2"/>
    <n v="3"/>
    <d v="1984-03-05T00:00:00"/>
    <n v="827902"/>
    <x v="1"/>
    <n v="1984"/>
    <n v="11"/>
    <n v="42"/>
    <s v="Excellent"/>
    <s v="Medium Risk"/>
  </r>
  <r>
    <d v="2020-04-26T00:00:00"/>
    <n v="64135"/>
    <s v="Finance - Executive"/>
    <s v="Finance"/>
    <s v="Executive"/>
    <n v="707"/>
    <n v="5"/>
    <n v="2"/>
    <d v="1983-05-29T00:00:00"/>
    <n v="926909"/>
    <x v="2"/>
    <n v="1983"/>
    <n v="4"/>
    <n v="43"/>
    <s v="Good"/>
    <s v="Medium Risk"/>
  </r>
  <r>
    <d v="2020-09-08T00:00:00"/>
    <n v="75746"/>
    <s v="Marketing - Executive"/>
    <s v="Marketing"/>
    <s v="Executive"/>
    <n v="725"/>
    <n v="4"/>
    <n v="8"/>
    <d v="1983-03-13T00:00:00"/>
    <n v="932068"/>
    <x v="0"/>
    <n v="1983"/>
    <n v="9"/>
    <n v="43"/>
    <s v="Good"/>
    <s v="High Risk"/>
  </r>
  <r>
    <d v="2020-11-13T00:00:00"/>
    <n v="59661"/>
    <s v="Finance - Director"/>
    <s v="Finance"/>
    <s v="Director"/>
    <n v="743"/>
    <n v="2"/>
    <n v="1"/>
    <d v="1988-07-25T00:00:00"/>
    <n v="680509"/>
    <x v="0"/>
    <n v="1988"/>
    <n v="11"/>
    <n v="38"/>
    <s v="Good"/>
    <s v="Medium Risk"/>
  </r>
  <r>
    <d v="2020-02-24T00:00:00"/>
    <n v="13915"/>
    <s v="Sales - Director"/>
    <s v="Sales"/>
    <s v="Director"/>
    <n v="712"/>
    <n v="2"/>
    <n v="7"/>
    <d v="1980-06-20T00:00:00"/>
    <n v="532527"/>
    <x v="0"/>
    <n v="1980"/>
    <n v="2"/>
    <n v="46"/>
    <s v="Good"/>
    <s v="High Risk"/>
  </r>
  <r>
    <d v="2020-02-13T00:00:00"/>
    <n v="86610"/>
    <s v="Sales - Manager"/>
    <s v="Sales"/>
    <s v="Manager"/>
    <n v="727"/>
    <n v="3"/>
    <n v="9"/>
    <d v="1987-11-22T00:00:00"/>
    <n v="828115"/>
    <x v="0"/>
    <n v="1987"/>
    <n v="2"/>
    <n v="39"/>
    <s v="Good"/>
    <s v="High Risk"/>
  </r>
  <r>
    <d v="2020-09-21T00:00:00"/>
    <n v="57481"/>
    <s v="Marketing - Executive"/>
    <s v="Marketing"/>
    <s v="Executive"/>
    <n v="798"/>
    <n v="2"/>
    <n v="5"/>
    <d v="1983-04-06T00:00:00"/>
    <n v="964222"/>
    <x v="1"/>
    <n v="1983"/>
    <n v="9"/>
    <n v="43"/>
    <s v="Excellent"/>
    <s v="Medium Risk"/>
  </r>
  <r>
    <d v="2020-08-01T00:00:00"/>
    <n v="78269"/>
    <s v="Finance - Executive"/>
    <s v="Finance"/>
    <s v="Executive"/>
    <n v="728"/>
    <n v="5"/>
    <n v="3"/>
    <d v="1981-06-30T00:00:00"/>
    <n v="626846"/>
    <x v="2"/>
    <n v="1981"/>
    <n v="8"/>
    <n v="45"/>
    <s v="Good"/>
    <s v="Medium Risk"/>
  </r>
  <r>
    <d v="2020-01-22T00:00:00"/>
    <n v="18296"/>
    <s v="Marketing - Executive"/>
    <s v="Marketing"/>
    <s v="Executive"/>
    <n v="706"/>
    <n v="5"/>
    <n v="9"/>
    <d v="1987-07-25T00:00:00"/>
    <n v="689432"/>
    <x v="1"/>
    <n v="1987"/>
    <n v="1"/>
    <n v="39"/>
    <s v="Good"/>
    <s v="High Risk"/>
  </r>
  <r>
    <d v="2020-06-23T00:00:00"/>
    <n v="10540"/>
    <s v="Finance - Executive"/>
    <s v="Finance"/>
    <s v="Executive"/>
    <n v="792"/>
    <n v="1"/>
    <n v="2"/>
    <d v="1983-11-15T00:00:00"/>
    <n v="845416"/>
    <x v="2"/>
    <n v="1983"/>
    <n v="6"/>
    <n v="43"/>
    <s v="Excellent"/>
    <s v="Low Risk"/>
  </r>
  <r>
    <d v="2020-11-30T00:00:00"/>
    <n v="12777"/>
    <s v="Growth - Intern"/>
    <s v="Growth"/>
    <s v="Intern"/>
    <n v="785"/>
    <n v="2"/>
    <n v="2"/>
    <d v="1990-04-26T00:00:00"/>
    <n v="629797"/>
    <x v="0"/>
    <n v="1990"/>
    <n v="11"/>
    <n v="36"/>
    <s v="Excellent"/>
    <s v="Low Risk"/>
  </r>
  <r>
    <d v="2020-09-10T00:00:00"/>
    <n v="38488"/>
    <s v="Strategy - Manager"/>
    <s v="Strategy"/>
    <s v="Manager"/>
    <n v="733"/>
    <n v="5"/>
    <n v="6"/>
    <d v="1993-10-21T00:00:00"/>
    <n v="649924"/>
    <x v="1"/>
    <n v="1993"/>
    <n v="9"/>
    <n v="33"/>
    <s v="Good"/>
    <s v="High Risk"/>
  </r>
  <r>
    <d v="2020-11-30T00:00:00"/>
    <n v="96429"/>
    <s v="Strategy - Director"/>
    <s v="Strategy"/>
    <s v="Director"/>
    <n v="800"/>
    <n v="4"/>
    <n v="10"/>
    <d v="1989-03-26T00:00:00"/>
    <n v="604205"/>
    <x v="2"/>
    <n v="1989"/>
    <n v="11"/>
    <n v="37"/>
    <s v="Excellent"/>
    <s v="High Risk"/>
  </r>
  <r>
    <d v="2020-06-29T00:00:00"/>
    <n v="62361"/>
    <s v="Finance - Manager"/>
    <s v="Finance"/>
    <s v="Manager"/>
    <n v="732"/>
    <n v="2"/>
    <n v="5"/>
    <d v="1986-05-20T00:00:00"/>
    <n v="558654"/>
    <x v="2"/>
    <n v="1986"/>
    <n v="6"/>
    <n v="40"/>
    <s v="Good"/>
    <s v="Medium Risk"/>
  </r>
  <r>
    <d v="2020-08-27T00:00:00"/>
    <n v="58389"/>
    <s v="Finance - Manager"/>
    <s v="Finance"/>
    <s v="Manager"/>
    <n v="734"/>
    <n v="1"/>
    <n v="7"/>
    <d v="1981-01-08T00:00:00"/>
    <n v="694705"/>
    <x v="2"/>
    <n v="1981"/>
    <n v="8"/>
    <n v="45"/>
    <s v="Good"/>
    <s v="High Risk"/>
  </r>
  <r>
    <d v="2020-08-22T00:00:00"/>
    <n v="18563"/>
    <s v="Finance - Executive"/>
    <s v="Finance"/>
    <s v="Executive"/>
    <n v="730"/>
    <n v="2"/>
    <n v="10"/>
    <d v="1987-08-27T00:00:00"/>
    <n v="566400"/>
    <x v="2"/>
    <n v="1987"/>
    <n v="8"/>
    <n v="39"/>
    <s v="Good"/>
    <s v="High Risk"/>
  </r>
  <r>
    <d v="2020-01-12T00:00:00"/>
    <n v="27941"/>
    <s v="Strategy - Manager"/>
    <s v="Strategy"/>
    <s v="Manager"/>
    <n v="729"/>
    <n v="1"/>
    <n v="2"/>
    <d v="1983-02-07T00:00:00"/>
    <n v="566128"/>
    <x v="1"/>
    <n v="1983"/>
    <n v="1"/>
    <n v="43"/>
    <s v="Good"/>
    <s v="Medium Risk"/>
  </r>
  <r>
    <d v="2020-10-04T00:00:00"/>
    <n v="18719"/>
    <s v="Operation - Director"/>
    <s v="Operation"/>
    <s v="Director"/>
    <n v="798"/>
    <n v="5"/>
    <n v="1"/>
    <d v="1986-05-12T00:00:00"/>
    <n v="663937"/>
    <x v="0"/>
    <n v="1986"/>
    <n v="10"/>
    <n v="40"/>
    <s v="Excellent"/>
    <s v="Low Risk"/>
  </r>
  <r>
    <d v="2020-02-12T00:00:00"/>
    <n v="66252"/>
    <s v="Strategy - Director"/>
    <s v="Strategy"/>
    <s v="Director"/>
    <n v="720"/>
    <n v="2"/>
    <n v="1"/>
    <d v="1982-06-26T00:00:00"/>
    <n v="998053"/>
    <x v="1"/>
    <n v="1982"/>
    <n v="2"/>
    <n v="44"/>
    <s v="Good"/>
    <s v="Medium Risk"/>
  </r>
  <r>
    <d v="2020-07-17T00:00:00"/>
    <n v="31301"/>
    <s v="Sales - Manager"/>
    <s v="Sales"/>
    <s v="Manager"/>
    <n v="733"/>
    <n v="1"/>
    <n v="6"/>
    <d v="1993-05-24T00:00:00"/>
    <n v="708004"/>
    <x v="1"/>
    <n v="1993"/>
    <n v="7"/>
    <n v="33"/>
    <s v="Good"/>
    <s v="High Risk"/>
  </r>
  <r>
    <d v="2020-01-01T00:00:00"/>
    <n v="45985"/>
    <s v="Sales - Intern"/>
    <s v="Sales"/>
    <s v="Intern"/>
    <n v="727"/>
    <n v="3"/>
    <n v="2"/>
    <d v="1990-06-29T00:00:00"/>
    <n v="878224"/>
    <x v="1"/>
    <n v="1990"/>
    <n v="1"/>
    <n v="36"/>
    <s v="Good"/>
    <s v="Medium Risk"/>
  </r>
  <r>
    <d v="2020-06-07T00:00:00"/>
    <n v="73036"/>
    <s v="Finance - Director"/>
    <s v="Finance"/>
    <s v="Director"/>
    <n v="756"/>
    <n v="1"/>
    <n v="4"/>
    <d v="1985-10-26T00:00:00"/>
    <n v="522993"/>
    <x v="1"/>
    <n v="1985"/>
    <n v="6"/>
    <n v="41"/>
    <s v="Excellent"/>
    <s v="Medium Risk"/>
  </r>
  <r>
    <d v="2020-03-26T00:00:00"/>
    <n v="87856"/>
    <s v="Finance - Director"/>
    <s v="Finance"/>
    <s v="Director"/>
    <n v="709"/>
    <n v="1"/>
    <n v="6"/>
    <d v="1994-03-12T00:00:00"/>
    <n v="976648"/>
    <x v="2"/>
    <n v="1994"/>
    <n v="3"/>
    <n v="32"/>
    <s v="Good"/>
    <s v="High Risk"/>
  </r>
  <r>
    <d v="2020-09-22T00:00:00"/>
    <n v="13688"/>
    <s v="Growth - Director"/>
    <s v="Growth"/>
    <s v="Director"/>
    <n v="781"/>
    <n v="4"/>
    <n v="10"/>
    <d v="1988-06-20T00:00:00"/>
    <n v="711385"/>
    <x v="2"/>
    <n v="1988"/>
    <n v="9"/>
    <n v="38"/>
    <s v="Excellent"/>
    <s v="High Risk"/>
  </r>
  <r>
    <d v="2020-08-17T00:00:00"/>
    <n v="59416"/>
    <s v="Sales - Intern"/>
    <s v="Sales"/>
    <s v="Intern"/>
    <n v="735"/>
    <n v="1"/>
    <n v="9"/>
    <d v="1988-08-21T00:00:00"/>
    <n v="893259"/>
    <x v="1"/>
    <n v="1988"/>
    <n v="8"/>
    <n v="38"/>
    <s v="Good"/>
    <s v="High Risk"/>
  </r>
  <r>
    <d v="2020-04-27T00:00:00"/>
    <n v="17176"/>
    <s v="Marketing - Intern"/>
    <s v="Marketing"/>
    <s v="Intern"/>
    <n v="774"/>
    <n v="1"/>
    <n v="4"/>
    <d v="1984-01-03T00:00:00"/>
    <n v="700475"/>
    <x v="0"/>
    <n v="1984"/>
    <n v="4"/>
    <n v="42"/>
    <s v="Excellent"/>
    <s v="Medium Risk"/>
  </r>
  <r>
    <d v="2020-11-21T00:00:00"/>
    <n v="48314"/>
    <s v="Marketing - Manager"/>
    <s v="Marketing"/>
    <s v="Manager"/>
    <n v="741"/>
    <n v="2"/>
    <n v="5"/>
    <d v="1989-08-09T00:00:00"/>
    <n v="975582"/>
    <x v="1"/>
    <n v="1989"/>
    <n v="11"/>
    <n v="37"/>
    <s v="Good"/>
    <s v="Medium Risk"/>
  </r>
  <r>
    <d v="2020-10-13T00:00:00"/>
    <n v="40553"/>
    <s v="Growth - Director"/>
    <s v="Growth"/>
    <s v="Director"/>
    <n v="714"/>
    <n v="1"/>
    <n v="9"/>
    <d v="1993-04-05T00:00:00"/>
    <n v="666637"/>
    <x v="2"/>
    <n v="1993"/>
    <n v="10"/>
    <n v="33"/>
    <s v="Good"/>
    <s v="High Risk"/>
  </r>
  <r>
    <d v="2020-07-13T00:00:00"/>
    <n v="92451"/>
    <s v="Growth - Director"/>
    <s v="Growth"/>
    <s v="Director"/>
    <n v="724"/>
    <n v="1"/>
    <n v="6"/>
    <d v="1987-08-18T00:00:00"/>
    <n v="984971"/>
    <x v="0"/>
    <n v="1987"/>
    <n v="7"/>
    <n v="39"/>
    <s v="Good"/>
    <s v="High Risk"/>
  </r>
  <r>
    <d v="2020-11-26T00:00:00"/>
    <n v="93809"/>
    <s v="Strategy - Director"/>
    <s v="Strategy"/>
    <s v="Director"/>
    <n v="756"/>
    <n v="5"/>
    <n v="2"/>
    <d v="1990-01-11T00:00:00"/>
    <n v="717282"/>
    <x v="0"/>
    <n v="1990"/>
    <n v="11"/>
    <n v="36"/>
    <s v="Excellent"/>
    <s v="Low Risk"/>
  </r>
  <r>
    <d v="2020-05-13T00:00:00"/>
    <n v="96468"/>
    <s v="Sales - Manager"/>
    <s v="Sales"/>
    <s v="Manager"/>
    <n v="795"/>
    <n v="5"/>
    <n v="8"/>
    <d v="1994-01-08T00:00:00"/>
    <n v="738818"/>
    <x v="2"/>
    <n v="1994"/>
    <n v="5"/>
    <n v="32"/>
    <s v="Excellent"/>
    <s v="High Risk"/>
  </r>
  <r>
    <d v="2020-11-11T00:00:00"/>
    <n v="94057"/>
    <s v="Growth - Director"/>
    <s v="Growth"/>
    <s v="Director"/>
    <n v="700"/>
    <n v="3"/>
    <n v="2"/>
    <d v="1989-11-20T00:00:00"/>
    <n v="868936"/>
    <x v="1"/>
    <n v="1989"/>
    <n v="11"/>
    <n v="37"/>
    <s v="Good"/>
    <s v="Medium Risk"/>
  </r>
  <r>
    <d v="2020-01-27T00:00:00"/>
    <n v="82883"/>
    <s v="Sales - Executive"/>
    <s v="Sales"/>
    <s v="Executive"/>
    <n v="770"/>
    <n v="4"/>
    <n v="2"/>
    <d v="1991-08-20T00:00:00"/>
    <n v="604217"/>
    <x v="1"/>
    <n v="1991"/>
    <n v="1"/>
    <n v="35"/>
    <s v="Excellent"/>
    <s v="Low Risk"/>
  </r>
  <r>
    <d v="2020-02-21T00:00:00"/>
    <n v="66160"/>
    <s v="Marketing - Director"/>
    <s v="Marketing"/>
    <s v="Director"/>
    <n v="752"/>
    <n v="4"/>
    <n v="10"/>
    <d v="1980-12-17T00:00:00"/>
    <n v="911874"/>
    <x v="2"/>
    <n v="1980"/>
    <n v="2"/>
    <n v="46"/>
    <s v="Excellent"/>
    <s v="High Risk"/>
  </r>
  <r>
    <d v="2020-01-24T00:00:00"/>
    <n v="42358"/>
    <s v="Strategy - Executive"/>
    <s v="Strategy"/>
    <s v="Executive"/>
    <n v="709"/>
    <n v="5"/>
    <n v="8"/>
    <d v="1985-10-25T00:00:00"/>
    <n v="909738"/>
    <x v="0"/>
    <n v="1985"/>
    <n v="1"/>
    <n v="41"/>
    <s v="Good"/>
    <s v="High Risk"/>
  </r>
  <r>
    <d v="2020-01-03T00:00:00"/>
    <n v="29159"/>
    <s v="Finance - Director"/>
    <s v="Finance"/>
    <s v="Director"/>
    <n v="726"/>
    <n v="3"/>
    <n v="5"/>
    <d v="1985-11-24T00:00:00"/>
    <n v="519569"/>
    <x v="1"/>
    <n v="1985"/>
    <n v="1"/>
    <n v="41"/>
    <s v="Good"/>
    <s v="Medium Risk"/>
  </r>
  <r>
    <d v="2020-08-10T00:00:00"/>
    <n v="69415"/>
    <s v="Sales - Intern"/>
    <s v="Sales"/>
    <s v="Intern"/>
    <n v="733"/>
    <n v="1"/>
    <n v="9"/>
    <d v="1983-07-17T00:00:00"/>
    <n v="999312"/>
    <x v="1"/>
    <n v="1983"/>
    <n v="8"/>
    <n v="43"/>
    <s v="Good"/>
    <s v="High Risk"/>
  </r>
  <r>
    <d v="2020-01-01T00:00:00"/>
    <n v="44131"/>
    <s v="Finance - Director"/>
    <s v="Finance"/>
    <s v="Director"/>
    <n v="740"/>
    <n v="4"/>
    <n v="10"/>
    <d v="1981-01-10T00:00:00"/>
    <n v="562764"/>
    <x v="2"/>
    <n v="1981"/>
    <n v="1"/>
    <n v="45"/>
    <s v="Good"/>
    <s v="High Risk"/>
  </r>
  <r>
    <d v="2020-10-22T00:00:00"/>
    <n v="77836"/>
    <s v="Growth - Manager"/>
    <s v="Growth"/>
    <s v="Manager"/>
    <n v="709"/>
    <n v="2"/>
    <n v="4"/>
    <d v="1985-02-23T00:00:00"/>
    <n v="534712"/>
    <x v="0"/>
    <n v="1985"/>
    <n v="10"/>
    <n v="41"/>
    <s v="Good"/>
    <s v="Medium Risk"/>
  </r>
  <r>
    <d v="2020-11-11T00:00:00"/>
    <n v="96059"/>
    <s v="Growth - Director"/>
    <s v="Growth"/>
    <s v="Director"/>
    <n v="710"/>
    <n v="2"/>
    <n v="9"/>
    <d v="1994-12-27T00:00:00"/>
    <n v="694056"/>
    <x v="1"/>
    <n v="1994"/>
    <n v="11"/>
    <n v="32"/>
    <s v="Good"/>
    <s v="High Risk"/>
  </r>
  <r>
    <d v="2020-02-14T00:00:00"/>
    <n v="34538"/>
    <s v="Sales - Director"/>
    <s v="Sales"/>
    <s v="Director"/>
    <n v="765"/>
    <n v="2"/>
    <n v="4"/>
    <d v="1985-11-01T00:00:00"/>
    <n v="903357"/>
    <x v="0"/>
    <n v="1985"/>
    <n v="2"/>
    <n v="41"/>
    <s v="Excellent"/>
    <s v="Medium Risk"/>
  </r>
  <r>
    <d v="2020-12-08T00:00:00"/>
    <n v="92135"/>
    <s v="Growth - Manager"/>
    <s v="Growth"/>
    <s v="Manager"/>
    <n v="756"/>
    <n v="5"/>
    <n v="7"/>
    <d v="1994-05-23T00:00:00"/>
    <n v="832938"/>
    <x v="2"/>
    <n v="1994"/>
    <n v="12"/>
    <n v="32"/>
    <s v="Excellent"/>
    <s v="High Risk"/>
  </r>
  <r>
    <d v="2020-03-30T00:00:00"/>
    <n v="15317"/>
    <s v="Marketing - Executive"/>
    <s v="Marketing"/>
    <s v="Executive"/>
    <n v="759"/>
    <n v="1"/>
    <n v="7"/>
    <d v="1989-12-03T00:00:00"/>
    <n v="662493"/>
    <x v="2"/>
    <n v="1989"/>
    <n v="3"/>
    <n v="37"/>
    <s v="Excellent"/>
    <s v="High Risk"/>
  </r>
  <r>
    <d v="2020-11-30T00:00:00"/>
    <n v="89382"/>
    <s v="Operation - Manager"/>
    <s v="Operation"/>
    <s v="Manager"/>
    <n v="747"/>
    <n v="2"/>
    <n v="3"/>
    <d v="1983-03-18T00:00:00"/>
    <n v="971686"/>
    <x v="1"/>
    <n v="1983"/>
    <n v="11"/>
    <n v="43"/>
    <s v="Good"/>
    <s v="Medium Risk"/>
  </r>
  <r>
    <d v="2020-01-12T00:00:00"/>
    <n v="84716"/>
    <s v="Marketing - Manager"/>
    <s v="Marketing"/>
    <s v="Manager"/>
    <n v="731"/>
    <n v="1"/>
    <n v="8"/>
    <d v="1991-06-20T00:00:00"/>
    <n v="747191"/>
    <x v="1"/>
    <n v="1991"/>
    <n v="1"/>
    <n v="35"/>
    <s v="Good"/>
    <s v="High Risk"/>
  </r>
  <r>
    <d v="2020-12-07T00:00:00"/>
    <n v="79316"/>
    <s v="Strategy - Executive"/>
    <s v="Strategy"/>
    <s v="Executive"/>
    <n v="731"/>
    <n v="2"/>
    <n v="6"/>
    <d v="1989-08-30T00:00:00"/>
    <n v="739629"/>
    <x v="0"/>
    <n v="1989"/>
    <n v="12"/>
    <n v="37"/>
    <s v="Good"/>
    <s v="High Risk"/>
  </r>
  <r>
    <d v="2020-03-16T00:00:00"/>
    <n v="23154"/>
    <s v="Marketing - Director"/>
    <s v="Marketing"/>
    <s v="Director"/>
    <n v="781"/>
    <n v="5"/>
    <n v="1"/>
    <d v="1989-09-17T00:00:00"/>
    <n v="578137"/>
    <x v="1"/>
    <n v="1989"/>
    <n v="3"/>
    <n v="37"/>
    <s v="Excellent"/>
    <s v="Low Risk"/>
  </r>
  <r>
    <d v="2020-04-14T00:00:00"/>
    <n v="64093"/>
    <s v="Marketing - Executive"/>
    <s v="Marketing"/>
    <s v="Executive"/>
    <n v="731"/>
    <n v="5"/>
    <n v="8"/>
    <d v="1993-07-29T00:00:00"/>
    <n v="829772"/>
    <x v="1"/>
    <n v="1993"/>
    <n v="4"/>
    <n v="33"/>
    <s v="Good"/>
    <s v="High Risk"/>
  </r>
  <r>
    <d v="2020-02-14T00:00:00"/>
    <n v="79339"/>
    <s v="Finance - Intern"/>
    <s v="Finance"/>
    <s v="Intern"/>
    <n v="733"/>
    <n v="3"/>
    <n v="8"/>
    <d v="1984-06-02T00:00:00"/>
    <n v="863737"/>
    <x v="2"/>
    <n v="1984"/>
    <n v="2"/>
    <n v="42"/>
    <s v="Good"/>
    <s v="High Risk"/>
  </r>
  <r>
    <d v="2020-08-05T00:00:00"/>
    <n v="87135"/>
    <s v="Finance - Executive"/>
    <s v="Finance"/>
    <s v="Executive"/>
    <n v="750"/>
    <n v="2"/>
    <n v="8"/>
    <d v="1991-01-26T00:00:00"/>
    <n v="970202"/>
    <x v="2"/>
    <n v="1991"/>
    <n v="8"/>
    <n v="35"/>
    <s v="Excellent"/>
    <s v="High Risk"/>
  </r>
  <r>
    <d v="2020-03-30T00:00:00"/>
    <n v="77077"/>
    <s v="Sales - Executive"/>
    <s v="Sales"/>
    <s v="Executive"/>
    <n v="703"/>
    <n v="1"/>
    <n v="2"/>
    <d v="1984-07-17T00:00:00"/>
    <n v="645814"/>
    <x v="0"/>
    <n v="1984"/>
    <n v="3"/>
    <n v="42"/>
    <s v="Good"/>
    <s v="Medium Risk"/>
  </r>
  <r>
    <d v="2020-06-18T00:00:00"/>
    <n v="44930"/>
    <s v="Marketing - Executive"/>
    <s v="Marketing"/>
    <s v="Executive"/>
    <n v="791"/>
    <n v="3"/>
    <n v="6"/>
    <d v="1981-09-18T00:00:00"/>
    <n v="537339"/>
    <x v="0"/>
    <n v="1981"/>
    <n v="6"/>
    <n v="45"/>
    <s v="Excellent"/>
    <s v="High Risk"/>
  </r>
  <r>
    <d v="2020-10-31T00:00:00"/>
    <n v="47921"/>
    <s v="Growth - Executive"/>
    <s v="Growth"/>
    <s v="Executive"/>
    <n v="746"/>
    <n v="1"/>
    <n v="4"/>
    <d v="1988-05-23T00:00:00"/>
    <n v="787731"/>
    <x v="1"/>
    <n v="1988"/>
    <n v="10"/>
    <n v="38"/>
    <s v="Good"/>
    <s v="Medium Risk"/>
  </r>
  <r>
    <d v="2020-05-31T00:00:00"/>
    <n v="56375"/>
    <s v="Growth - Director"/>
    <s v="Growth"/>
    <s v="Director"/>
    <n v="780"/>
    <n v="5"/>
    <n v="4"/>
    <d v="1984-06-19T00:00:00"/>
    <n v="671383"/>
    <x v="0"/>
    <n v="1984"/>
    <n v="5"/>
    <n v="42"/>
    <s v="Excellent"/>
    <s v="Medium Risk"/>
  </r>
  <r>
    <d v="2020-08-20T00:00:00"/>
    <n v="52933"/>
    <s v="Operation - Manager"/>
    <s v="Operation"/>
    <s v="Manager"/>
    <n v="712"/>
    <n v="3"/>
    <n v="6"/>
    <d v="1992-08-29T00:00:00"/>
    <n v="947863"/>
    <x v="2"/>
    <n v="1992"/>
    <n v="8"/>
    <n v="34"/>
    <s v="Good"/>
    <s v="High Risk"/>
  </r>
  <r>
    <d v="2020-08-20T00:00:00"/>
    <n v="86869"/>
    <s v="Marketing - Director"/>
    <s v="Marketing"/>
    <s v="Director"/>
    <n v="744"/>
    <n v="4"/>
    <n v="4"/>
    <d v="1992-02-13T00:00:00"/>
    <n v="790279"/>
    <x v="2"/>
    <n v="1992"/>
    <n v="8"/>
    <n v="34"/>
    <s v="Good"/>
    <s v="Medium Risk"/>
  </r>
  <r>
    <d v="2020-04-14T00:00:00"/>
    <n v="66099"/>
    <s v="Sales - Executive"/>
    <s v="Sales"/>
    <s v="Executive"/>
    <n v="785"/>
    <n v="4"/>
    <n v="2"/>
    <d v="1985-05-30T00:00:00"/>
    <n v="910895"/>
    <x v="1"/>
    <n v="1985"/>
    <n v="4"/>
    <n v="41"/>
    <s v="Excellent"/>
    <s v="Low Risk"/>
  </r>
  <r>
    <d v="2020-12-01T00:00:00"/>
    <n v="86024"/>
    <s v="Operation - Manager"/>
    <s v="Operation"/>
    <s v="Manager"/>
    <n v="715"/>
    <n v="3"/>
    <n v="10"/>
    <d v="1982-09-23T00:00:00"/>
    <n v="866832"/>
    <x v="1"/>
    <n v="1982"/>
    <n v="12"/>
    <n v="44"/>
    <s v="Good"/>
    <s v="High Risk"/>
  </r>
  <r>
    <d v="2020-09-10T00:00:00"/>
    <n v="53822"/>
    <s v="Growth - Intern"/>
    <s v="Growth"/>
    <s v="Intern"/>
    <n v="743"/>
    <n v="1"/>
    <n v="6"/>
    <d v="1994-03-19T00:00:00"/>
    <n v="836120"/>
    <x v="1"/>
    <n v="1994"/>
    <n v="9"/>
    <n v="32"/>
    <s v="Good"/>
    <s v="High Risk"/>
  </r>
  <r>
    <d v="2020-09-23T00:00:00"/>
    <n v="36599"/>
    <s v="Growth - Intern"/>
    <s v="Growth"/>
    <s v="Intern"/>
    <n v="724"/>
    <n v="1"/>
    <n v="1"/>
    <d v="1981-05-23T00:00:00"/>
    <n v="730249"/>
    <x v="2"/>
    <n v="1981"/>
    <n v="9"/>
    <n v="45"/>
    <s v="Good"/>
    <s v="Medium Risk"/>
  </r>
  <r>
    <d v="2020-04-19T00:00:00"/>
    <n v="34987"/>
    <s v="Sales - Intern"/>
    <s v="Sales"/>
    <s v="Intern"/>
    <n v="741"/>
    <n v="2"/>
    <n v="8"/>
    <d v="1989-06-14T00:00:00"/>
    <n v="730232"/>
    <x v="2"/>
    <n v="1989"/>
    <n v="4"/>
    <n v="37"/>
    <s v="Good"/>
    <s v="High Risk"/>
  </r>
  <r>
    <d v="2020-08-13T00:00:00"/>
    <n v="23301"/>
    <s v="Growth - Director"/>
    <s v="Growth"/>
    <s v="Director"/>
    <n v="787"/>
    <n v="3"/>
    <n v="9"/>
    <d v="1987-05-23T00:00:00"/>
    <n v="692055"/>
    <x v="2"/>
    <n v="1987"/>
    <n v="8"/>
    <n v="39"/>
    <s v="Excellent"/>
    <s v="High Risk"/>
  </r>
  <r>
    <d v="2020-05-02T00:00:00"/>
    <n v="59671"/>
    <s v="Sales - Director"/>
    <s v="Sales"/>
    <s v="Director"/>
    <n v="783"/>
    <n v="3"/>
    <n v="4"/>
    <d v="1980-10-27T00:00:00"/>
    <n v="681373"/>
    <x v="0"/>
    <n v="1980"/>
    <n v="5"/>
    <n v="46"/>
    <s v="Excellent"/>
    <s v="Medium Risk"/>
  </r>
  <r>
    <d v="2020-11-14T00:00:00"/>
    <n v="35667"/>
    <s v="Strategy - Manager"/>
    <s v="Strategy"/>
    <s v="Manager"/>
    <n v="769"/>
    <n v="1"/>
    <n v="7"/>
    <d v="1991-10-17T00:00:00"/>
    <n v="609953"/>
    <x v="1"/>
    <n v="1991"/>
    <n v="11"/>
    <n v="35"/>
    <s v="Excellent"/>
    <s v="High Risk"/>
  </r>
  <r>
    <d v="2020-07-15T00:00:00"/>
    <n v="27554"/>
    <s v="Sales - Director"/>
    <s v="Sales"/>
    <s v="Director"/>
    <n v="762"/>
    <n v="1"/>
    <n v="3"/>
    <d v="1980-06-12T00:00:00"/>
    <n v="849306"/>
    <x v="1"/>
    <n v="1980"/>
    <n v="7"/>
    <n v="46"/>
    <s v="Excellent"/>
    <s v="Medium Risk"/>
  </r>
  <r>
    <d v="2020-02-11T00:00:00"/>
    <n v="54403"/>
    <s v="Sales - Manager"/>
    <s v="Sales"/>
    <s v="Manager"/>
    <n v="756"/>
    <n v="5"/>
    <n v="10"/>
    <d v="1984-01-03T00:00:00"/>
    <n v="960479"/>
    <x v="1"/>
    <n v="1984"/>
    <n v="2"/>
    <n v="42"/>
    <s v="Excellent"/>
    <s v="High Risk"/>
  </r>
  <r>
    <d v="2020-04-26T00:00:00"/>
    <n v="82494"/>
    <s v="Growth - Executive"/>
    <s v="Growth"/>
    <s v="Executive"/>
    <n v="793"/>
    <n v="3"/>
    <n v="1"/>
    <d v="1991-10-13T00:00:00"/>
    <n v="817733"/>
    <x v="0"/>
    <n v="1991"/>
    <n v="4"/>
    <n v="35"/>
    <s v="Excellent"/>
    <s v="Low Risk"/>
  </r>
  <r>
    <d v="2020-06-05T00:00:00"/>
    <n v="15362"/>
    <s v="Finance - Manager"/>
    <s v="Finance"/>
    <s v="Manager"/>
    <n v="725"/>
    <n v="5"/>
    <n v="5"/>
    <d v="1985-11-30T00:00:00"/>
    <n v="904232"/>
    <x v="0"/>
    <n v="1985"/>
    <n v="6"/>
    <n v="41"/>
    <s v="Good"/>
    <s v="Medium Risk"/>
  </r>
  <r>
    <d v="2020-07-09T00:00:00"/>
    <n v="45967"/>
    <s v="Operation - Director"/>
    <s v="Operation"/>
    <s v="Director"/>
    <n v="792"/>
    <n v="5"/>
    <n v="5"/>
    <d v="1980-10-06T00:00:00"/>
    <n v="740222"/>
    <x v="1"/>
    <n v="1980"/>
    <n v="7"/>
    <n v="46"/>
    <s v="Excellent"/>
    <s v="Medium Risk"/>
  </r>
  <r>
    <d v="2020-07-31T00:00:00"/>
    <n v="33874"/>
    <s v="Growth - Manager"/>
    <s v="Growth"/>
    <s v="Manager"/>
    <n v="755"/>
    <n v="2"/>
    <n v="1"/>
    <d v="1983-12-12T00:00:00"/>
    <n v="585398"/>
    <x v="1"/>
    <n v="1983"/>
    <n v="7"/>
    <n v="43"/>
    <s v="Excellent"/>
    <s v="Low Risk"/>
  </r>
  <r>
    <d v="2020-08-22T00:00:00"/>
    <n v="85159"/>
    <s v="Finance - Intern"/>
    <s v="Finance"/>
    <s v="Intern"/>
    <n v="785"/>
    <n v="3"/>
    <n v="3"/>
    <d v="1994-10-14T00:00:00"/>
    <n v="829309"/>
    <x v="1"/>
    <n v="1994"/>
    <n v="8"/>
    <n v="32"/>
    <s v="Excellent"/>
    <s v="Medium Risk"/>
  </r>
  <r>
    <d v="2020-02-28T00:00:00"/>
    <n v="62020"/>
    <s v="Finance - Director"/>
    <s v="Finance"/>
    <s v="Director"/>
    <n v="722"/>
    <n v="3"/>
    <n v="2"/>
    <d v="1989-11-16T00:00:00"/>
    <n v="864737"/>
    <x v="0"/>
    <n v="1989"/>
    <n v="2"/>
    <n v="37"/>
    <s v="Good"/>
    <s v="Medium Risk"/>
  </r>
  <r>
    <d v="2020-08-22T00:00:00"/>
    <n v="90439"/>
    <s v="Strategy - Manager"/>
    <s v="Strategy"/>
    <s v="Manager"/>
    <n v="765"/>
    <n v="1"/>
    <n v="1"/>
    <d v="1987-03-23T00:00:00"/>
    <n v="598037"/>
    <x v="2"/>
    <n v="1987"/>
    <n v="8"/>
    <n v="39"/>
    <s v="Excellent"/>
    <s v="Low Risk"/>
  </r>
  <r>
    <d v="2020-02-29T00:00:00"/>
    <n v="79432"/>
    <s v="Operation - Executive"/>
    <s v="Operation"/>
    <s v="Executive"/>
    <n v="719"/>
    <n v="5"/>
    <n v="3"/>
    <d v="1982-09-20T00:00:00"/>
    <n v="891905"/>
    <x v="1"/>
    <n v="1982"/>
    <n v="2"/>
    <n v="44"/>
    <s v="Good"/>
    <s v="Medium Risk"/>
  </r>
  <r>
    <d v="2020-01-18T00:00:00"/>
    <n v="28144"/>
    <s v="Finance - Director"/>
    <s v="Finance"/>
    <s v="Director"/>
    <n v="716"/>
    <n v="1"/>
    <n v="3"/>
    <d v="1982-04-27T00:00:00"/>
    <n v="795488"/>
    <x v="0"/>
    <n v="1982"/>
    <n v="1"/>
    <n v="44"/>
    <s v="Good"/>
    <s v="Medium Risk"/>
  </r>
  <r>
    <d v="2020-10-16T00:00:00"/>
    <n v="49021"/>
    <s v="Finance - Executive"/>
    <s v="Finance"/>
    <s v="Executive"/>
    <n v="751"/>
    <n v="3"/>
    <n v="4"/>
    <d v="1980-03-21T00:00:00"/>
    <n v="755365"/>
    <x v="0"/>
    <n v="1980"/>
    <n v="10"/>
    <n v="46"/>
    <s v="Excellent"/>
    <s v="Medium Risk"/>
  </r>
  <r>
    <d v="2020-01-03T00:00:00"/>
    <n v="82597"/>
    <s v="Marketing - Intern"/>
    <s v="Marketing"/>
    <s v="Intern"/>
    <n v="773"/>
    <n v="2"/>
    <n v="4"/>
    <d v="1993-11-16T00:00:00"/>
    <n v="797216"/>
    <x v="2"/>
    <n v="1993"/>
    <n v="1"/>
    <n v="33"/>
    <s v="Excellent"/>
    <s v="Medium Risk"/>
  </r>
  <r>
    <d v="2020-05-22T00:00:00"/>
    <n v="81380"/>
    <s v="Sales - Executive"/>
    <s v="Sales"/>
    <s v="Executive"/>
    <n v="777"/>
    <n v="2"/>
    <n v="8"/>
    <d v="1980-01-11T00:00:00"/>
    <n v="658555"/>
    <x v="0"/>
    <n v="1980"/>
    <n v="5"/>
    <n v="46"/>
    <s v="Excellent"/>
    <s v="High Risk"/>
  </r>
  <r>
    <d v="2020-07-29T00:00:00"/>
    <n v="49194"/>
    <s v="Operation - Intern"/>
    <s v="Operation"/>
    <s v="Intern"/>
    <n v="757"/>
    <n v="2"/>
    <n v="1"/>
    <d v="1985-10-20T00:00:00"/>
    <n v="573303"/>
    <x v="2"/>
    <n v="1985"/>
    <n v="7"/>
    <n v="41"/>
    <s v="Excellent"/>
    <s v="Low Risk"/>
  </r>
  <r>
    <d v="2020-09-02T00:00:00"/>
    <n v="49005"/>
    <s v="Growth - Director"/>
    <s v="Growth"/>
    <s v="Director"/>
    <n v="755"/>
    <n v="5"/>
    <n v="9"/>
    <d v="1980-06-16T00:00:00"/>
    <n v="763557"/>
    <x v="2"/>
    <n v="1980"/>
    <n v="9"/>
    <n v="46"/>
    <s v="Excellent"/>
    <s v="High Risk"/>
  </r>
  <r>
    <d v="2020-06-19T00:00:00"/>
    <n v="11954"/>
    <s v="Finance - Executive"/>
    <s v="Finance"/>
    <s v="Executive"/>
    <n v="732"/>
    <n v="5"/>
    <n v="4"/>
    <d v="1990-04-17T00:00:00"/>
    <n v="511283"/>
    <x v="2"/>
    <n v="1990"/>
    <n v="6"/>
    <n v="36"/>
    <s v="Good"/>
    <s v="Medium Risk"/>
  </r>
  <r>
    <d v="2020-03-20T00:00:00"/>
    <n v="68852"/>
    <s v="Strategy - Intern"/>
    <s v="Strategy"/>
    <s v="Intern"/>
    <n v="743"/>
    <n v="3"/>
    <n v="1"/>
    <d v="1988-11-08T00:00:00"/>
    <n v="547867"/>
    <x v="2"/>
    <n v="1988"/>
    <n v="3"/>
    <n v="38"/>
    <s v="Good"/>
    <s v="Medium Risk"/>
  </r>
  <r>
    <d v="2020-02-19T00:00:00"/>
    <n v="28748"/>
    <s v="Marketing - Intern"/>
    <s v="Marketing"/>
    <s v="Intern"/>
    <n v="761"/>
    <n v="3"/>
    <n v="4"/>
    <d v="1994-12-24T00:00:00"/>
    <n v="534236"/>
    <x v="1"/>
    <n v="1994"/>
    <n v="2"/>
    <n v="32"/>
    <s v="Excellent"/>
    <s v="Medium Risk"/>
  </r>
  <r>
    <d v="2020-07-22T00:00:00"/>
    <n v="19871"/>
    <s v="Finance - Intern"/>
    <s v="Finance"/>
    <s v="Intern"/>
    <n v="785"/>
    <n v="1"/>
    <n v="4"/>
    <d v="1990-11-05T00:00:00"/>
    <n v="926218"/>
    <x v="2"/>
    <n v="1990"/>
    <n v="7"/>
    <n v="36"/>
    <s v="Excellent"/>
    <s v="Medium Risk"/>
  </r>
  <r>
    <d v="2020-09-06T00:00:00"/>
    <n v="82769"/>
    <s v="Marketing - Executive"/>
    <s v="Marketing"/>
    <s v="Executive"/>
    <n v="772"/>
    <n v="5"/>
    <n v="9"/>
    <d v="1986-12-26T00:00:00"/>
    <n v="996338"/>
    <x v="1"/>
    <n v="1986"/>
    <n v="9"/>
    <n v="40"/>
    <s v="Excellent"/>
    <s v="High Risk"/>
  </r>
  <r>
    <d v="2020-01-03T00:00:00"/>
    <n v="79925"/>
    <s v="Growth - Executive"/>
    <s v="Growth"/>
    <s v="Executive"/>
    <n v="731"/>
    <n v="2"/>
    <n v="9"/>
    <d v="1987-05-21T00:00:00"/>
    <n v="816389"/>
    <x v="0"/>
    <n v="1987"/>
    <n v="1"/>
    <n v="39"/>
    <s v="Good"/>
    <s v="High Risk"/>
  </r>
  <r>
    <d v="2020-04-18T00:00:00"/>
    <n v="37382"/>
    <s v="Sales - Executive"/>
    <s v="Sales"/>
    <s v="Executive"/>
    <n v="720"/>
    <n v="4"/>
    <n v="1"/>
    <d v="1991-03-18T00:00:00"/>
    <n v="610385"/>
    <x v="0"/>
    <n v="1991"/>
    <n v="4"/>
    <n v="35"/>
    <s v="Good"/>
    <s v="Medium Risk"/>
  </r>
  <r>
    <d v="2020-10-26T00:00:00"/>
    <n v="47339"/>
    <s v="Strategy - Executive"/>
    <s v="Strategy"/>
    <s v="Executive"/>
    <n v="775"/>
    <n v="2"/>
    <n v="1"/>
    <d v="1992-02-15T00:00:00"/>
    <n v="722683"/>
    <x v="1"/>
    <n v="1992"/>
    <n v="10"/>
    <n v="34"/>
    <s v="Excellent"/>
    <s v="Low Risk"/>
  </r>
  <r>
    <d v="2020-06-12T00:00:00"/>
    <n v="12361"/>
    <s v="Finance - Director"/>
    <s v="Finance"/>
    <s v="Director"/>
    <n v="732"/>
    <n v="3"/>
    <n v="3"/>
    <d v="1993-01-31T00:00:00"/>
    <n v="581560"/>
    <x v="2"/>
    <n v="1993"/>
    <n v="6"/>
    <n v="33"/>
    <s v="Good"/>
    <s v="Medium Risk"/>
  </r>
  <r>
    <d v="2020-05-31T00:00:00"/>
    <n v="24141"/>
    <s v="Operation - Manager"/>
    <s v="Operation"/>
    <s v="Manager"/>
    <n v="736"/>
    <n v="4"/>
    <n v="10"/>
    <d v="1991-10-17T00:00:00"/>
    <n v="762395"/>
    <x v="2"/>
    <n v="1991"/>
    <n v="5"/>
    <n v="35"/>
    <s v="Good"/>
    <s v="High Risk"/>
  </r>
  <r>
    <d v="2020-01-04T00:00:00"/>
    <n v="12258"/>
    <s v="Growth - Manager"/>
    <s v="Growth"/>
    <s v="Manager"/>
    <n v="724"/>
    <n v="4"/>
    <n v="7"/>
    <d v="1994-08-29T00:00:00"/>
    <n v="799069"/>
    <x v="1"/>
    <n v="1994"/>
    <n v="1"/>
    <n v="32"/>
    <s v="Good"/>
    <s v="High Risk"/>
  </r>
  <r>
    <d v="2020-11-23T00:00:00"/>
    <n v="19675"/>
    <s v="Sales - Executive"/>
    <s v="Sales"/>
    <s v="Executive"/>
    <n v="783"/>
    <n v="4"/>
    <n v="9"/>
    <d v="1989-10-25T00:00:00"/>
    <n v="585265"/>
    <x v="2"/>
    <n v="1989"/>
    <n v="11"/>
    <n v="37"/>
    <s v="Excellent"/>
    <s v="High Risk"/>
  </r>
  <r>
    <d v="2020-08-04T00:00:00"/>
    <n v="77512"/>
    <s v="Marketing - Director"/>
    <s v="Marketing"/>
    <s v="Director"/>
    <n v="720"/>
    <n v="1"/>
    <n v="3"/>
    <d v="1982-05-17T00:00:00"/>
    <n v="597839"/>
    <x v="2"/>
    <n v="1982"/>
    <n v="8"/>
    <n v="44"/>
    <s v="Good"/>
    <s v="Medium Risk"/>
  </r>
  <r>
    <d v="2020-05-25T00:00:00"/>
    <n v="27467"/>
    <s v="Sales - Director"/>
    <s v="Sales"/>
    <s v="Director"/>
    <n v="733"/>
    <n v="5"/>
    <n v="2"/>
    <d v="1990-07-16T00:00:00"/>
    <n v="964664"/>
    <x v="0"/>
    <n v="1990"/>
    <n v="5"/>
    <n v="36"/>
    <s v="Good"/>
    <s v="Medium Risk"/>
  </r>
  <r>
    <d v="2020-04-05T00:00:00"/>
    <n v="44997"/>
    <s v="Finance - Intern"/>
    <s v="Finance"/>
    <s v="Intern"/>
    <n v="767"/>
    <n v="4"/>
    <n v="9"/>
    <d v="1992-01-09T00:00:00"/>
    <n v="857804"/>
    <x v="0"/>
    <n v="1992"/>
    <n v="4"/>
    <n v="34"/>
    <s v="Excellent"/>
    <s v="High Risk"/>
  </r>
  <r>
    <d v="2020-06-08T00:00:00"/>
    <n v="40330"/>
    <s v="Operation - Director"/>
    <s v="Operation"/>
    <s v="Director"/>
    <n v="739"/>
    <n v="5"/>
    <n v="10"/>
    <d v="1993-08-07T00:00:00"/>
    <n v="631521"/>
    <x v="2"/>
    <n v="1993"/>
    <n v="6"/>
    <n v="33"/>
    <s v="Good"/>
    <s v="High Risk"/>
  </r>
  <r>
    <d v="2020-10-01T00:00:00"/>
    <n v="57871"/>
    <s v="Strategy - Executive"/>
    <s v="Strategy"/>
    <s v="Executive"/>
    <n v="728"/>
    <n v="5"/>
    <n v="10"/>
    <d v="1993-09-14T00:00:00"/>
    <n v="534689"/>
    <x v="2"/>
    <n v="1993"/>
    <n v="10"/>
    <n v="33"/>
    <s v="Good"/>
    <s v="High Risk"/>
  </r>
  <r>
    <d v="2020-06-08T00:00:00"/>
    <n v="86532"/>
    <s v="Sales - Director"/>
    <s v="Sales"/>
    <s v="Director"/>
    <n v="742"/>
    <n v="2"/>
    <n v="6"/>
    <d v="1990-03-10T00:00:00"/>
    <n v="551344"/>
    <x v="0"/>
    <n v="1990"/>
    <n v="6"/>
    <n v="36"/>
    <s v="Good"/>
    <s v="High Risk"/>
  </r>
  <r>
    <d v="2020-07-05T00:00:00"/>
    <n v="82026"/>
    <s v="Sales - Manager"/>
    <s v="Sales"/>
    <s v="Manager"/>
    <n v="752"/>
    <n v="1"/>
    <n v="3"/>
    <d v="1984-10-18T00:00:00"/>
    <n v="838633"/>
    <x v="0"/>
    <n v="1984"/>
    <n v="7"/>
    <n v="42"/>
    <s v="Excellent"/>
    <s v="Medium Risk"/>
  </r>
  <r>
    <d v="2020-09-25T00:00:00"/>
    <n v="71150"/>
    <s v="Marketing - Director"/>
    <s v="Marketing"/>
    <s v="Director"/>
    <n v="742"/>
    <n v="4"/>
    <n v="3"/>
    <d v="1987-11-01T00:00:00"/>
    <n v="905242"/>
    <x v="0"/>
    <n v="1987"/>
    <n v="9"/>
    <n v="39"/>
    <s v="Good"/>
    <s v="Medium Risk"/>
  </r>
  <r>
    <d v="2020-02-29T00:00:00"/>
    <n v="55651"/>
    <s v="Marketing - Executive"/>
    <s v="Marketing"/>
    <s v="Executive"/>
    <n v="721"/>
    <n v="5"/>
    <n v="1"/>
    <d v="1981-07-01T00:00:00"/>
    <n v="752313"/>
    <x v="2"/>
    <n v="1981"/>
    <n v="2"/>
    <n v="45"/>
    <s v="Good"/>
    <s v="Medium Risk"/>
  </r>
  <r>
    <d v="2020-09-09T00:00:00"/>
    <n v="29419"/>
    <s v="Growth - Executive"/>
    <s v="Growth"/>
    <s v="Executive"/>
    <n v="762"/>
    <n v="5"/>
    <n v="1"/>
    <d v="1987-04-10T00:00:00"/>
    <n v="649484"/>
    <x v="2"/>
    <n v="1987"/>
    <n v="9"/>
    <n v="39"/>
    <s v="Excellent"/>
    <s v="Low Risk"/>
  </r>
  <r>
    <d v="2020-10-12T00:00:00"/>
    <n v="87846"/>
    <s v="Growth - Executive"/>
    <s v="Growth"/>
    <s v="Executive"/>
    <n v="729"/>
    <n v="1"/>
    <n v="2"/>
    <d v="1986-12-10T00:00:00"/>
    <n v="849580"/>
    <x v="0"/>
    <n v="1986"/>
    <n v="10"/>
    <n v="40"/>
    <s v="Good"/>
    <s v="Medium Risk"/>
  </r>
  <r>
    <d v="2020-02-26T00:00:00"/>
    <n v="15144"/>
    <s v="Finance - Executive"/>
    <s v="Finance"/>
    <s v="Executive"/>
    <n v="718"/>
    <n v="5"/>
    <n v="10"/>
    <d v="1986-06-20T00:00:00"/>
    <n v="881938"/>
    <x v="2"/>
    <n v="1986"/>
    <n v="2"/>
    <n v="40"/>
    <s v="Good"/>
    <s v="High Risk"/>
  </r>
  <r>
    <d v="2020-07-15T00:00:00"/>
    <n v="24511"/>
    <s v="Strategy - Intern"/>
    <s v="Strategy"/>
    <s v="Intern"/>
    <n v="800"/>
    <n v="3"/>
    <n v="7"/>
    <d v="1992-04-02T00:00:00"/>
    <n v="578641"/>
    <x v="0"/>
    <n v="1992"/>
    <n v="7"/>
    <n v="34"/>
    <s v="Excellent"/>
    <s v="High Risk"/>
  </r>
  <r>
    <d v="2020-12-05T00:00:00"/>
    <n v="55987"/>
    <s v="Growth - Intern"/>
    <s v="Growth"/>
    <s v="Intern"/>
    <n v="707"/>
    <n v="3"/>
    <n v="3"/>
    <d v="1988-11-11T00:00:00"/>
    <n v="516908"/>
    <x v="2"/>
    <n v="1988"/>
    <n v="12"/>
    <n v="38"/>
    <s v="Good"/>
    <s v="Medium Risk"/>
  </r>
  <r>
    <d v="2020-12-08T00:00:00"/>
    <n v="68095"/>
    <s v="Operation - Intern"/>
    <s v="Operation"/>
    <s v="Intern"/>
    <n v="789"/>
    <n v="1"/>
    <n v="10"/>
    <d v="1981-11-28T00:00:00"/>
    <n v="600981"/>
    <x v="1"/>
    <n v="1981"/>
    <n v="12"/>
    <n v="45"/>
    <s v="Excellent"/>
    <s v="High Risk"/>
  </r>
  <r>
    <d v="2020-04-14T00:00:00"/>
    <n v="21296"/>
    <s v="Sales - Intern"/>
    <s v="Sales"/>
    <s v="Intern"/>
    <n v="776"/>
    <n v="4"/>
    <n v="6"/>
    <d v="1994-03-01T00:00:00"/>
    <n v="558964"/>
    <x v="1"/>
    <n v="1994"/>
    <n v="4"/>
    <n v="32"/>
    <s v="Excellent"/>
    <s v="High Risk"/>
  </r>
  <r>
    <d v="2020-05-20T00:00:00"/>
    <n v="90928"/>
    <s v="Growth - Manager"/>
    <s v="Growth"/>
    <s v="Manager"/>
    <n v="732"/>
    <n v="4"/>
    <n v="1"/>
    <d v="1990-04-28T00:00:00"/>
    <n v="554305"/>
    <x v="1"/>
    <n v="1990"/>
    <n v="5"/>
    <n v="36"/>
    <s v="Good"/>
    <s v="Medium Risk"/>
  </r>
  <r>
    <d v="2020-01-15T00:00:00"/>
    <n v="37262"/>
    <s v="Finance - Manager"/>
    <s v="Finance"/>
    <s v="Manager"/>
    <n v="724"/>
    <n v="4"/>
    <n v="5"/>
    <d v="1989-01-22T00:00:00"/>
    <n v="937359"/>
    <x v="1"/>
    <n v="1989"/>
    <n v="1"/>
    <n v="37"/>
    <s v="Good"/>
    <s v="Medium Risk"/>
  </r>
  <r>
    <d v="2020-10-15T00:00:00"/>
    <n v="49542"/>
    <s v="Operation - Manager"/>
    <s v="Operation"/>
    <s v="Manager"/>
    <n v="769"/>
    <n v="3"/>
    <n v="3"/>
    <d v="1980-10-09T00:00:00"/>
    <n v="953095"/>
    <x v="1"/>
    <n v="1980"/>
    <n v="10"/>
    <n v="46"/>
    <s v="Excellent"/>
    <s v="Medium Risk"/>
  </r>
  <r>
    <d v="2020-06-13T00:00:00"/>
    <n v="19460"/>
    <s v="Marketing - Manager"/>
    <s v="Marketing"/>
    <s v="Manager"/>
    <n v="711"/>
    <n v="4"/>
    <n v="4"/>
    <d v="1980-06-06T00:00:00"/>
    <n v="832167"/>
    <x v="0"/>
    <n v="1980"/>
    <n v="6"/>
    <n v="46"/>
    <s v="Good"/>
    <s v="Medium Risk"/>
  </r>
  <r>
    <d v="2020-03-06T00:00:00"/>
    <n v="71591"/>
    <s v="Growth - Director"/>
    <s v="Growth"/>
    <s v="Director"/>
    <n v="749"/>
    <n v="3"/>
    <n v="7"/>
    <d v="1983-11-07T00:00:00"/>
    <n v="736748"/>
    <x v="2"/>
    <n v="1983"/>
    <n v="3"/>
    <n v="43"/>
    <s v="Good"/>
    <s v="High Risk"/>
  </r>
  <r>
    <d v="2020-01-17T00:00:00"/>
    <n v="46828"/>
    <s v="Operation - Executive"/>
    <s v="Operation"/>
    <s v="Executive"/>
    <n v="785"/>
    <n v="1"/>
    <n v="2"/>
    <d v="1991-07-03T00:00:00"/>
    <n v="538085"/>
    <x v="0"/>
    <n v="1991"/>
    <n v="1"/>
    <n v="35"/>
    <s v="Excellent"/>
    <s v="Low Risk"/>
  </r>
  <r>
    <d v="2020-02-08T00:00:00"/>
    <n v="11895"/>
    <s v="Operation - Manager"/>
    <s v="Operation"/>
    <s v="Manager"/>
    <n v="759"/>
    <n v="3"/>
    <n v="1"/>
    <d v="1986-06-15T00:00:00"/>
    <n v="822716"/>
    <x v="0"/>
    <n v="1986"/>
    <n v="2"/>
    <n v="40"/>
    <s v="Excellent"/>
    <s v="Low Risk"/>
  </r>
  <r>
    <d v="2020-01-03T00:00:00"/>
    <n v="71328"/>
    <s v="Growth - Director"/>
    <s v="Growth"/>
    <s v="Director"/>
    <n v="708"/>
    <n v="2"/>
    <n v="7"/>
    <d v="1990-03-09T00:00:00"/>
    <n v="763608"/>
    <x v="0"/>
    <n v="1990"/>
    <n v="1"/>
    <n v="36"/>
    <s v="Good"/>
    <s v="High Risk"/>
  </r>
  <r>
    <d v="2020-03-22T00:00:00"/>
    <n v="79650"/>
    <s v="Growth - Director"/>
    <s v="Growth"/>
    <s v="Director"/>
    <n v="745"/>
    <n v="5"/>
    <n v="3"/>
    <d v="1982-09-18T00:00:00"/>
    <n v="651822"/>
    <x v="2"/>
    <n v="1982"/>
    <n v="3"/>
    <n v="44"/>
    <s v="Good"/>
    <s v="Medium Risk"/>
  </r>
  <r>
    <d v="2020-05-21T00:00:00"/>
    <n v="38104"/>
    <s v="Operation - Manager"/>
    <s v="Operation"/>
    <s v="Manager"/>
    <n v="799"/>
    <n v="4"/>
    <n v="2"/>
    <d v="1985-03-11T00:00:00"/>
    <n v="630500"/>
    <x v="1"/>
    <n v="1985"/>
    <n v="5"/>
    <n v="41"/>
    <s v="Excellent"/>
    <s v="Low Risk"/>
  </r>
  <r>
    <d v="2020-09-09T00:00:00"/>
    <n v="54538"/>
    <s v="Marketing - Manager"/>
    <s v="Marketing"/>
    <s v="Manager"/>
    <n v="760"/>
    <n v="1"/>
    <n v="5"/>
    <d v="1980-11-08T00:00:00"/>
    <n v="787402"/>
    <x v="0"/>
    <n v="1980"/>
    <n v="9"/>
    <n v="46"/>
    <s v="Excellent"/>
    <s v="Medium Risk"/>
  </r>
  <r>
    <d v="2020-08-02T00:00:00"/>
    <n v="45379"/>
    <s v="Growth - Director"/>
    <s v="Growth"/>
    <s v="Director"/>
    <n v="760"/>
    <n v="4"/>
    <n v="6"/>
    <d v="1990-10-21T00:00:00"/>
    <n v="978466"/>
    <x v="2"/>
    <n v="1990"/>
    <n v="8"/>
    <n v="36"/>
    <s v="Excellent"/>
    <s v="High Risk"/>
  </r>
  <r>
    <d v="2020-04-17T00:00:00"/>
    <n v="33385"/>
    <s v="Strategy - Intern"/>
    <s v="Strategy"/>
    <s v="Intern"/>
    <n v="784"/>
    <n v="5"/>
    <n v="3"/>
    <d v="1983-01-22T00:00:00"/>
    <n v="968487"/>
    <x v="1"/>
    <n v="1983"/>
    <n v="4"/>
    <n v="43"/>
    <s v="Excellent"/>
    <s v="Medium Risk"/>
  </r>
  <r>
    <d v="2020-04-22T00:00:00"/>
    <n v="60123"/>
    <s v="Finance - Executive"/>
    <s v="Finance"/>
    <s v="Executive"/>
    <n v="717"/>
    <n v="4"/>
    <n v="1"/>
    <d v="1984-11-08T00:00:00"/>
    <n v="809815"/>
    <x v="2"/>
    <n v="1984"/>
    <n v="4"/>
    <n v="42"/>
    <s v="Good"/>
    <s v="Medium Risk"/>
  </r>
  <r>
    <d v="2020-06-26T00:00:00"/>
    <n v="21107"/>
    <s v="Sales - Manager"/>
    <s v="Sales"/>
    <s v="Manager"/>
    <n v="772"/>
    <n v="4"/>
    <n v="3"/>
    <d v="1986-09-15T00:00:00"/>
    <n v="568425"/>
    <x v="2"/>
    <n v="1986"/>
    <n v="6"/>
    <n v="40"/>
    <s v="Excellent"/>
    <s v="Medium Risk"/>
  </r>
  <r>
    <d v="2020-06-28T00:00:00"/>
    <n v="11188"/>
    <s v="Marketing - Manager"/>
    <s v="Marketing"/>
    <s v="Manager"/>
    <n v="737"/>
    <n v="3"/>
    <n v="8"/>
    <d v="1985-07-24T00:00:00"/>
    <n v="726186"/>
    <x v="1"/>
    <n v="1985"/>
    <n v="6"/>
    <n v="41"/>
    <s v="Good"/>
    <s v="High Risk"/>
  </r>
  <r>
    <d v="2020-04-30T00:00:00"/>
    <n v="13164"/>
    <s v="Strategy - Manager"/>
    <s v="Strategy"/>
    <s v="Manager"/>
    <n v="786"/>
    <n v="5"/>
    <n v="8"/>
    <d v="1982-11-08T00:00:00"/>
    <n v="634419"/>
    <x v="0"/>
    <n v="1982"/>
    <n v="4"/>
    <n v="44"/>
    <s v="Excellent"/>
    <s v="High Risk"/>
  </r>
  <r>
    <d v="2020-05-08T00:00:00"/>
    <n v="51995"/>
    <s v="Strategy - Executive"/>
    <s v="Strategy"/>
    <s v="Executive"/>
    <n v="705"/>
    <n v="1"/>
    <n v="10"/>
    <d v="1984-12-29T00:00:00"/>
    <n v="832960"/>
    <x v="2"/>
    <n v="1984"/>
    <n v="5"/>
    <n v="42"/>
    <s v="Good"/>
    <s v="High Risk"/>
  </r>
  <r>
    <d v="2020-07-25T00:00:00"/>
    <n v="30016"/>
    <s v="Growth - Manager"/>
    <s v="Growth"/>
    <s v="Manager"/>
    <n v="788"/>
    <n v="4"/>
    <n v="6"/>
    <d v="1992-11-02T00:00:00"/>
    <n v="818229"/>
    <x v="1"/>
    <n v="1992"/>
    <n v="7"/>
    <n v="34"/>
    <s v="Excellent"/>
    <s v="High Risk"/>
  </r>
  <r>
    <d v="2020-08-11T00:00:00"/>
    <n v="28479"/>
    <s v="Growth - Director"/>
    <s v="Growth"/>
    <s v="Director"/>
    <n v="754"/>
    <n v="2"/>
    <n v="5"/>
    <d v="1984-07-28T00:00:00"/>
    <n v="532656"/>
    <x v="1"/>
    <n v="1984"/>
    <n v="8"/>
    <n v="42"/>
    <s v="Excellent"/>
    <s v="Medium Risk"/>
  </r>
  <r>
    <d v="2020-08-03T00:00:00"/>
    <n v="41874"/>
    <s v="Sales - Manager"/>
    <s v="Sales"/>
    <s v="Manager"/>
    <n v="763"/>
    <n v="5"/>
    <n v="2"/>
    <d v="1980-01-28T00:00:00"/>
    <n v="758974"/>
    <x v="0"/>
    <n v="1980"/>
    <n v="8"/>
    <n v="46"/>
    <s v="Excellent"/>
    <s v="Low Risk"/>
  </r>
  <r>
    <d v="2020-04-28T00:00:00"/>
    <n v="74554"/>
    <s v="Strategy - Executive"/>
    <s v="Strategy"/>
    <s v="Executive"/>
    <n v="789"/>
    <n v="2"/>
    <n v="3"/>
    <d v="1984-08-14T00:00:00"/>
    <n v="810117"/>
    <x v="0"/>
    <n v="1984"/>
    <n v="4"/>
    <n v="42"/>
    <s v="Excellent"/>
    <s v="Medium Risk"/>
  </r>
  <r>
    <d v="2020-05-31T00:00:00"/>
    <n v="61483"/>
    <s v="Sales - Manager"/>
    <s v="Sales"/>
    <s v="Manager"/>
    <n v="780"/>
    <n v="1"/>
    <n v="8"/>
    <d v="1993-03-23T00:00:00"/>
    <n v="559031"/>
    <x v="2"/>
    <n v="1993"/>
    <n v="5"/>
    <n v="33"/>
    <s v="Excellent"/>
    <s v="High Risk"/>
  </r>
  <r>
    <d v="2020-06-23T00:00:00"/>
    <n v="38125"/>
    <s v="Marketing - Director"/>
    <s v="Marketing"/>
    <s v="Director"/>
    <n v="703"/>
    <n v="1"/>
    <n v="9"/>
    <d v="1993-05-06T00:00:00"/>
    <n v="823279"/>
    <x v="2"/>
    <n v="1993"/>
    <n v="6"/>
    <n v="33"/>
    <s v="Good"/>
    <s v="High Risk"/>
  </r>
  <r>
    <d v="2020-06-23T00:00:00"/>
    <n v="20075"/>
    <s v="Finance - Intern"/>
    <s v="Finance"/>
    <s v="Intern"/>
    <n v="751"/>
    <n v="1"/>
    <n v="4"/>
    <d v="1989-07-10T00:00:00"/>
    <n v="686408"/>
    <x v="2"/>
    <n v="1989"/>
    <n v="6"/>
    <n v="37"/>
    <s v="Excellent"/>
    <s v="Medium Risk"/>
  </r>
  <r>
    <d v="2020-04-07T00:00:00"/>
    <n v="34089"/>
    <s v="Finance - Manager"/>
    <s v="Finance"/>
    <s v="Manager"/>
    <n v="758"/>
    <n v="1"/>
    <n v="9"/>
    <d v="1989-12-03T00:00:00"/>
    <n v="504344"/>
    <x v="1"/>
    <n v="1989"/>
    <n v="4"/>
    <n v="37"/>
    <s v="Excellent"/>
    <s v="High Risk"/>
  </r>
  <r>
    <d v="2020-02-18T00:00:00"/>
    <n v="55948"/>
    <s v="Finance - Director"/>
    <s v="Finance"/>
    <s v="Director"/>
    <n v="769"/>
    <n v="3"/>
    <n v="10"/>
    <d v="1985-10-31T00:00:00"/>
    <n v="723968"/>
    <x v="0"/>
    <n v="1985"/>
    <n v="2"/>
    <n v="41"/>
    <s v="Excellent"/>
    <s v="High Risk"/>
  </r>
  <r>
    <d v="2020-05-22T00:00:00"/>
    <n v="68637"/>
    <s v="Strategy - Executive"/>
    <s v="Strategy"/>
    <s v="Executive"/>
    <n v="759"/>
    <n v="5"/>
    <n v="3"/>
    <d v="1990-12-28T00:00:00"/>
    <n v="761551"/>
    <x v="1"/>
    <n v="1990"/>
    <n v="5"/>
    <n v="36"/>
    <s v="Excellent"/>
    <s v="Medium Risk"/>
  </r>
  <r>
    <d v="2020-06-09T00:00:00"/>
    <n v="77021"/>
    <s v="Strategy - Executive"/>
    <s v="Strategy"/>
    <s v="Executive"/>
    <n v="733"/>
    <n v="4"/>
    <n v="10"/>
    <d v="1991-09-19T00:00:00"/>
    <n v="574112"/>
    <x v="2"/>
    <n v="1991"/>
    <n v="6"/>
    <n v="35"/>
    <s v="Good"/>
    <s v="High Risk"/>
  </r>
  <r>
    <d v="2020-05-06T00:00:00"/>
    <n v="66367"/>
    <s v="Sales - Director"/>
    <s v="Sales"/>
    <s v="Director"/>
    <n v="704"/>
    <n v="2"/>
    <n v="7"/>
    <d v="1994-09-26T00:00:00"/>
    <n v="583695"/>
    <x v="1"/>
    <n v="1994"/>
    <n v="5"/>
    <n v="32"/>
    <s v="Good"/>
    <s v="High Risk"/>
  </r>
  <r>
    <d v="2020-04-23T00:00:00"/>
    <n v="41344"/>
    <s v="Growth - Manager"/>
    <s v="Growth"/>
    <s v="Manager"/>
    <n v="744"/>
    <n v="4"/>
    <n v="10"/>
    <d v="1986-07-08T00:00:00"/>
    <n v="538870"/>
    <x v="2"/>
    <n v="1986"/>
    <n v="4"/>
    <n v="40"/>
    <s v="Good"/>
    <s v="High Risk"/>
  </r>
  <r>
    <d v="2020-10-08T00:00:00"/>
    <n v="84420"/>
    <s v="Marketing - Director"/>
    <s v="Marketing"/>
    <s v="Director"/>
    <n v="744"/>
    <n v="4"/>
    <n v="8"/>
    <d v="1994-10-19T00:00:00"/>
    <n v="769396"/>
    <x v="1"/>
    <n v="1994"/>
    <n v="10"/>
    <n v="32"/>
    <s v="Good"/>
    <s v="High Risk"/>
  </r>
  <r>
    <d v="2020-09-04T00:00:00"/>
    <n v="79734"/>
    <s v="Finance - Executive"/>
    <s v="Finance"/>
    <s v="Executive"/>
    <n v="709"/>
    <n v="1"/>
    <n v="1"/>
    <d v="1980-08-11T00:00:00"/>
    <n v="713594"/>
    <x v="1"/>
    <n v="1980"/>
    <n v="9"/>
    <n v="46"/>
    <s v="Good"/>
    <s v="Medium Risk"/>
  </r>
  <r>
    <d v="2020-11-02T00:00:00"/>
    <n v="12675"/>
    <s v="Operation - Intern"/>
    <s v="Operation"/>
    <s v="Intern"/>
    <n v="764"/>
    <n v="5"/>
    <n v="3"/>
    <d v="1987-07-30T00:00:00"/>
    <n v="773457"/>
    <x v="1"/>
    <n v="1987"/>
    <n v="11"/>
    <n v="39"/>
    <s v="Excellent"/>
    <s v="Medium Risk"/>
  </r>
  <r>
    <d v="2020-01-01T00:00:00"/>
    <n v="79116"/>
    <s v="Sales - Director"/>
    <s v="Sales"/>
    <s v="Director"/>
    <n v="766"/>
    <n v="3"/>
    <n v="10"/>
    <d v="1989-07-08T00:00:00"/>
    <n v="856437"/>
    <x v="1"/>
    <n v="1989"/>
    <n v="1"/>
    <n v="37"/>
    <s v="Excellent"/>
    <s v="High Risk"/>
  </r>
  <r>
    <d v="2020-09-08T00:00:00"/>
    <n v="91297"/>
    <s v="Finance - Manager"/>
    <s v="Finance"/>
    <s v="Manager"/>
    <n v="792"/>
    <n v="5"/>
    <n v="8"/>
    <d v="1993-03-05T00:00:00"/>
    <n v="729592"/>
    <x v="0"/>
    <n v="1993"/>
    <n v="9"/>
    <n v="33"/>
    <s v="Excellent"/>
    <s v="High Risk"/>
  </r>
  <r>
    <d v="2020-03-26T00:00:00"/>
    <n v="66835"/>
    <s v="Finance - Manager"/>
    <s v="Finance"/>
    <s v="Manager"/>
    <n v="721"/>
    <n v="5"/>
    <n v="5"/>
    <d v="1983-12-15T00:00:00"/>
    <n v="702123"/>
    <x v="1"/>
    <n v="1983"/>
    <n v="3"/>
    <n v="43"/>
    <s v="Good"/>
    <s v="Medium Risk"/>
  </r>
  <r>
    <d v="2020-12-09T00:00:00"/>
    <n v="85147"/>
    <s v="Growth - Executive"/>
    <s v="Growth"/>
    <s v="Executive"/>
    <n v="798"/>
    <n v="3"/>
    <n v="2"/>
    <d v="1993-10-09T00:00:00"/>
    <n v="623600"/>
    <x v="0"/>
    <n v="1993"/>
    <n v="12"/>
    <n v="33"/>
    <s v="Excellent"/>
    <s v="Low Risk"/>
  </r>
  <r>
    <d v="2020-03-11T00:00:00"/>
    <n v="11262"/>
    <s v="Operation - Manager"/>
    <s v="Operation"/>
    <s v="Manager"/>
    <n v="734"/>
    <n v="2"/>
    <n v="2"/>
    <d v="1980-07-14T00:00:00"/>
    <n v="982748"/>
    <x v="1"/>
    <n v="1980"/>
    <n v="3"/>
    <n v="46"/>
    <s v="Good"/>
    <s v="Medium Risk"/>
  </r>
  <r>
    <d v="2020-06-14T00:00:00"/>
    <n v="40889"/>
    <s v="Operation - Manager"/>
    <s v="Operation"/>
    <s v="Manager"/>
    <n v="749"/>
    <n v="2"/>
    <n v="9"/>
    <d v="1993-04-26T00:00:00"/>
    <n v="615354"/>
    <x v="1"/>
    <n v="1993"/>
    <n v="6"/>
    <n v="33"/>
    <s v="Good"/>
    <s v="High Risk"/>
  </r>
  <r>
    <d v="2020-08-08T00:00:00"/>
    <n v="74690"/>
    <s v="Strategy - Manager"/>
    <s v="Strategy"/>
    <s v="Manager"/>
    <n v="785"/>
    <n v="4"/>
    <n v="9"/>
    <d v="1985-08-31T00:00:00"/>
    <n v="644526"/>
    <x v="0"/>
    <n v="1985"/>
    <n v="8"/>
    <n v="41"/>
    <s v="Excellent"/>
    <s v="High Risk"/>
  </r>
  <r>
    <d v="2020-10-23T00:00:00"/>
    <n v="26821"/>
    <s v="Sales - Executive"/>
    <s v="Sales"/>
    <s v="Executive"/>
    <n v="789"/>
    <n v="3"/>
    <n v="6"/>
    <d v="1981-01-30T00:00:00"/>
    <n v="779848"/>
    <x v="1"/>
    <n v="1981"/>
    <n v="10"/>
    <n v="45"/>
    <s v="Excellent"/>
    <s v="High Risk"/>
  </r>
  <r>
    <d v="2020-11-16T00:00:00"/>
    <n v="51838"/>
    <s v="Marketing - Executive"/>
    <s v="Marketing"/>
    <s v="Executive"/>
    <n v="794"/>
    <n v="1"/>
    <n v="1"/>
    <d v="1992-10-20T00:00:00"/>
    <n v="878956"/>
    <x v="2"/>
    <n v="1992"/>
    <n v="11"/>
    <n v="34"/>
    <s v="Excellent"/>
    <s v="Low Risk"/>
  </r>
  <r>
    <d v="2020-01-10T00:00:00"/>
    <n v="58565"/>
    <s v="Marketing - Executive"/>
    <s v="Marketing"/>
    <s v="Executive"/>
    <n v="754"/>
    <n v="1"/>
    <n v="9"/>
    <d v="1980-07-28T00:00:00"/>
    <n v="961982"/>
    <x v="0"/>
    <n v="1980"/>
    <n v="1"/>
    <n v="46"/>
    <s v="Excellent"/>
    <s v="High Risk"/>
  </r>
  <r>
    <d v="2020-09-05T00:00:00"/>
    <n v="88271"/>
    <s v="Finance - Intern"/>
    <s v="Finance"/>
    <s v="Intern"/>
    <n v="725"/>
    <n v="5"/>
    <n v="7"/>
    <d v="1986-11-05T00:00:00"/>
    <n v="915415"/>
    <x v="2"/>
    <n v="1986"/>
    <n v="9"/>
    <n v="40"/>
    <s v="Good"/>
    <s v="High Risk"/>
  </r>
  <r>
    <d v="2020-01-14T00:00:00"/>
    <n v="38437"/>
    <s v="Operation - Director"/>
    <s v="Operation"/>
    <s v="Director"/>
    <n v="756"/>
    <n v="1"/>
    <n v="3"/>
    <d v="1994-09-03T00:00:00"/>
    <n v="825960"/>
    <x v="2"/>
    <n v="1994"/>
    <n v="1"/>
    <n v="32"/>
    <s v="Excellent"/>
    <s v="Medium Risk"/>
  </r>
  <r>
    <d v="2020-08-26T00:00:00"/>
    <n v="91996"/>
    <s v="Operation - Intern"/>
    <s v="Operation"/>
    <s v="Intern"/>
    <n v="752"/>
    <n v="2"/>
    <n v="6"/>
    <d v="1983-09-10T00:00:00"/>
    <n v="724004"/>
    <x v="2"/>
    <n v="1983"/>
    <n v="8"/>
    <n v="43"/>
    <s v="Excellent"/>
    <s v="High Risk"/>
  </r>
  <r>
    <d v="2020-02-29T00:00:00"/>
    <n v="91200"/>
    <s v="Finance - Manager"/>
    <s v="Finance"/>
    <s v="Manager"/>
    <n v="756"/>
    <n v="3"/>
    <n v="6"/>
    <d v="1994-04-01T00:00:00"/>
    <n v="866470"/>
    <x v="0"/>
    <n v="1994"/>
    <n v="2"/>
    <n v="32"/>
    <s v="Excellent"/>
    <s v="High Risk"/>
  </r>
  <r>
    <d v="2020-04-01T00:00:00"/>
    <n v="10248"/>
    <s v="Growth - Manager"/>
    <s v="Growth"/>
    <s v="Manager"/>
    <n v="731"/>
    <n v="1"/>
    <n v="4"/>
    <d v="1981-07-30T00:00:00"/>
    <n v="905685"/>
    <x v="0"/>
    <n v="1981"/>
    <n v="4"/>
    <n v="45"/>
    <s v="Good"/>
    <s v="Medium Risk"/>
  </r>
  <r>
    <d v="2020-06-22T00:00:00"/>
    <n v="66881"/>
    <s v="Marketing - Intern"/>
    <s v="Marketing"/>
    <s v="Intern"/>
    <n v="785"/>
    <n v="3"/>
    <n v="7"/>
    <d v="1993-08-16T00:00:00"/>
    <n v="991743"/>
    <x v="0"/>
    <n v="1993"/>
    <n v="6"/>
    <n v="33"/>
    <s v="Excellent"/>
    <s v="High Risk"/>
  </r>
  <r>
    <d v="2020-03-24T00:00:00"/>
    <n v="90742"/>
    <s v="Finance - Intern"/>
    <s v="Finance"/>
    <s v="Intern"/>
    <n v="732"/>
    <n v="4"/>
    <n v="5"/>
    <d v="1981-11-26T00:00:00"/>
    <n v="735308"/>
    <x v="1"/>
    <n v="1981"/>
    <n v="3"/>
    <n v="45"/>
    <s v="Good"/>
    <s v="Medium Risk"/>
  </r>
  <r>
    <d v="2020-07-10T00:00:00"/>
    <n v="50565"/>
    <s v="Finance - Director"/>
    <s v="Finance"/>
    <s v="Director"/>
    <n v="752"/>
    <n v="3"/>
    <n v="4"/>
    <d v="1984-03-29T00:00:00"/>
    <n v="762854"/>
    <x v="2"/>
    <n v="1984"/>
    <n v="7"/>
    <n v="42"/>
    <s v="Excellent"/>
    <s v="Medium Risk"/>
  </r>
  <r>
    <d v="2020-09-23T00:00:00"/>
    <n v="67471"/>
    <s v="Marketing - Director"/>
    <s v="Marketing"/>
    <s v="Director"/>
    <n v="781"/>
    <n v="3"/>
    <n v="8"/>
    <d v="1991-02-20T00:00:00"/>
    <n v="902279"/>
    <x v="1"/>
    <n v="1991"/>
    <n v="9"/>
    <n v="35"/>
    <s v="Excellent"/>
    <s v="High Risk"/>
  </r>
  <r>
    <d v="2020-06-14T00:00:00"/>
    <n v="21521"/>
    <s v="Marketing - Executive"/>
    <s v="Marketing"/>
    <s v="Executive"/>
    <n v="773"/>
    <n v="2"/>
    <n v="5"/>
    <d v="1993-08-10T00:00:00"/>
    <n v="988216"/>
    <x v="0"/>
    <n v="1993"/>
    <n v="6"/>
    <n v="33"/>
    <s v="Excellent"/>
    <s v="Medium Risk"/>
  </r>
  <r>
    <d v="2020-10-13T00:00:00"/>
    <n v="38749"/>
    <s v="Sales - Manager"/>
    <s v="Sales"/>
    <s v="Manager"/>
    <n v="753"/>
    <n v="5"/>
    <n v="6"/>
    <d v="1982-11-19T00:00:00"/>
    <n v="817329"/>
    <x v="1"/>
    <n v="1982"/>
    <n v="10"/>
    <n v="44"/>
    <s v="Excellent"/>
    <s v="High Risk"/>
  </r>
  <r>
    <d v="2020-02-05T00:00:00"/>
    <n v="48754"/>
    <s v="Finance - Intern"/>
    <s v="Finance"/>
    <s v="Intern"/>
    <n v="744"/>
    <n v="3"/>
    <n v="2"/>
    <d v="1984-07-24T00:00:00"/>
    <n v="833335"/>
    <x v="2"/>
    <n v="1984"/>
    <n v="2"/>
    <n v="42"/>
    <s v="Good"/>
    <s v="Medium Risk"/>
  </r>
  <r>
    <d v="2020-03-01T00:00:00"/>
    <n v="27621"/>
    <s v="Operation - Intern"/>
    <s v="Operation"/>
    <s v="Intern"/>
    <n v="777"/>
    <n v="3"/>
    <n v="5"/>
    <d v="1989-10-04T00:00:00"/>
    <n v="729603"/>
    <x v="1"/>
    <n v="1989"/>
    <n v="3"/>
    <n v="37"/>
    <s v="Excellent"/>
    <s v="Medium Risk"/>
  </r>
  <r>
    <d v="2020-11-07T00:00:00"/>
    <n v="32301"/>
    <s v="Marketing - Director"/>
    <s v="Marketing"/>
    <s v="Director"/>
    <n v="793"/>
    <n v="2"/>
    <n v="8"/>
    <d v="1985-08-28T00:00:00"/>
    <n v="619071"/>
    <x v="0"/>
    <n v="1985"/>
    <n v="11"/>
    <n v="41"/>
    <s v="Excellent"/>
    <s v="High Risk"/>
  </r>
  <r>
    <d v="2020-10-18T00:00:00"/>
    <n v="17302"/>
    <s v="Strategy - Intern"/>
    <s v="Strategy"/>
    <s v="Intern"/>
    <n v="702"/>
    <n v="4"/>
    <n v="7"/>
    <d v="1992-05-22T00:00:00"/>
    <n v="508208"/>
    <x v="1"/>
    <n v="1992"/>
    <n v="10"/>
    <n v="34"/>
    <s v="Good"/>
    <s v="High Risk"/>
  </r>
  <r>
    <d v="2020-03-18T00:00:00"/>
    <n v="28539"/>
    <s v="Operation - Intern"/>
    <s v="Operation"/>
    <s v="Intern"/>
    <n v="744"/>
    <n v="4"/>
    <n v="3"/>
    <d v="1984-04-29T00:00:00"/>
    <n v="699440"/>
    <x v="1"/>
    <n v="1984"/>
    <n v="3"/>
    <n v="42"/>
    <s v="Good"/>
    <s v="Medium Risk"/>
  </r>
  <r>
    <d v="2020-09-30T00:00:00"/>
    <n v="57914"/>
    <s v="Marketing - Manager"/>
    <s v="Marketing"/>
    <s v="Manager"/>
    <n v="800"/>
    <n v="5"/>
    <n v="8"/>
    <d v="1990-02-15T00:00:00"/>
    <n v="943489"/>
    <x v="0"/>
    <n v="1990"/>
    <n v="9"/>
    <n v="36"/>
    <s v="Excellent"/>
    <s v="High Risk"/>
  </r>
  <r>
    <d v="2020-09-24T00:00:00"/>
    <n v="77453"/>
    <s v="Operation - Director"/>
    <s v="Operation"/>
    <s v="Director"/>
    <n v="708"/>
    <n v="4"/>
    <n v="6"/>
    <d v="1990-08-27T00:00:00"/>
    <n v="651534"/>
    <x v="0"/>
    <n v="1990"/>
    <n v="9"/>
    <n v="36"/>
    <s v="Good"/>
    <s v="High Risk"/>
  </r>
  <r>
    <d v="2020-05-29T00:00:00"/>
    <n v="74686"/>
    <s v="Strategy - Manager"/>
    <s v="Strategy"/>
    <s v="Manager"/>
    <n v="737"/>
    <n v="1"/>
    <n v="4"/>
    <d v="1987-12-11T00:00:00"/>
    <n v="559159"/>
    <x v="2"/>
    <n v="1987"/>
    <n v="5"/>
    <n v="39"/>
    <s v="Good"/>
    <s v="Medium Risk"/>
  </r>
  <r>
    <d v="2020-02-14T00:00:00"/>
    <n v="33657"/>
    <s v="Finance - Executive"/>
    <s v="Finance"/>
    <s v="Executive"/>
    <n v="768"/>
    <n v="3"/>
    <n v="8"/>
    <d v="1982-01-16T00:00:00"/>
    <n v="833026"/>
    <x v="0"/>
    <n v="1982"/>
    <n v="2"/>
    <n v="44"/>
    <s v="Excellent"/>
    <s v="High Risk"/>
  </r>
  <r>
    <d v="2020-05-24T00:00:00"/>
    <n v="94818"/>
    <s v="Strategy - Intern"/>
    <s v="Strategy"/>
    <s v="Intern"/>
    <n v="766"/>
    <n v="3"/>
    <n v="3"/>
    <d v="1991-12-02T00:00:00"/>
    <n v="778090"/>
    <x v="1"/>
    <n v="1991"/>
    <n v="5"/>
    <n v="35"/>
    <s v="Excellent"/>
    <s v="Medium Risk"/>
  </r>
  <r>
    <d v="2020-07-30T00:00:00"/>
    <n v="33999"/>
    <s v="Growth - Intern"/>
    <s v="Growth"/>
    <s v="Intern"/>
    <n v="754"/>
    <n v="5"/>
    <n v="3"/>
    <d v="1980-09-17T00:00:00"/>
    <n v="946160"/>
    <x v="0"/>
    <n v="1980"/>
    <n v="7"/>
    <n v="46"/>
    <s v="Excellent"/>
    <s v="Medium Risk"/>
  </r>
  <r>
    <d v="2020-02-19T00:00:00"/>
    <n v="64183"/>
    <s v="Strategy - Intern"/>
    <s v="Strategy"/>
    <s v="Intern"/>
    <n v="785"/>
    <n v="3"/>
    <n v="1"/>
    <d v="1989-05-09T00:00:00"/>
    <n v="959078"/>
    <x v="2"/>
    <n v="1989"/>
    <n v="2"/>
    <n v="37"/>
    <s v="Excellent"/>
    <s v="Low Risk"/>
  </r>
  <r>
    <d v="2020-11-24T00:00:00"/>
    <n v="89662"/>
    <s v="Marketing - Director"/>
    <s v="Marketing"/>
    <s v="Director"/>
    <n v="772"/>
    <n v="2"/>
    <n v="2"/>
    <d v="1990-07-12T00:00:00"/>
    <n v="900938"/>
    <x v="2"/>
    <n v="1990"/>
    <n v="11"/>
    <n v="36"/>
    <s v="Excellent"/>
    <s v="Low Risk"/>
  </r>
  <r>
    <d v="2020-01-17T00:00:00"/>
    <n v="20135"/>
    <s v="Marketing - Director"/>
    <s v="Marketing"/>
    <s v="Director"/>
    <n v="781"/>
    <n v="3"/>
    <n v="5"/>
    <d v="1984-02-23T00:00:00"/>
    <n v="580050"/>
    <x v="0"/>
    <n v="1984"/>
    <n v="1"/>
    <n v="42"/>
    <s v="Excellent"/>
    <s v="Medium Risk"/>
  </r>
  <r>
    <d v="2020-05-06T00:00:00"/>
    <n v="47134"/>
    <s v="Finance - Executive"/>
    <s v="Finance"/>
    <s v="Executive"/>
    <n v="713"/>
    <n v="4"/>
    <n v="3"/>
    <d v="1986-10-27T00:00:00"/>
    <n v="849908"/>
    <x v="2"/>
    <n v="1986"/>
    <n v="5"/>
    <n v="40"/>
    <s v="Good"/>
    <s v="Medium Risk"/>
  </r>
  <r>
    <d v="2020-05-12T00:00:00"/>
    <n v="90432"/>
    <s v="Operation - Manager"/>
    <s v="Operation"/>
    <s v="Manager"/>
    <n v="769"/>
    <n v="2"/>
    <n v="6"/>
    <d v="1991-01-08T00:00:00"/>
    <n v="623851"/>
    <x v="2"/>
    <n v="1991"/>
    <n v="5"/>
    <n v="35"/>
    <s v="Excellent"/>
    <s v="High Risk"/>
  </r>
  <r>
    <d v="2020-09-25T00:00:00"/>
    <n v="55903"/>
    <s v="Marketing - Manager"/>
    <s v="Marketing"/>
    <s v="Manager"/>
    <n v="786"/>
    <n v="5"/>
    <n v="10"/>
    <d v="1992-09-27T00:00:00"/>
    <n v="546819"/>
    <x v="1"/>
    <n v="1992"/>
    <n v="9"/>
    <n v="34"/>
    <s v="Excellent"/>
    <s v="High Risk"/>
  </r>
  <r>
    <d v="2020-08-02T00:00:00"/>
    <n v="50413"/>
    <s v="Strategy - Intern"/>
    <s v="Strategy"/>
    <s v="Intern"/>
    <n v="716"/>
    <n v="4"/>
    <n v="4"/>
    <d v="1986-06-21T00:00:00"/>
    <n v="776448"/>
    <x v="2"/>
    <n v="1986"/>
    <n v="8"/>
    <n v="40"/>
    <s v="Good"/>
    <s v="Medium Risk"/>
  </r>
  <r>
    <d v="2020-03-20T00:00:00"/>
    <n v="56610"/>
    <s v="Operation - Director"/>
    <s v="Operation"/>
    <s v="Director"/>
    <n v="777"/>
    <n v="4"/>
    <n v="9"/>
    <d v="1990-06-04T00:00:00"/>
    <n v="947933"/>
    <x v="0"/>
    <n v="1990"/>
    <n v="3"/>
    <n v="36"/>
    <s v="Excellent"/>
    <s v="High Risk"/>
  </r>
  <r>
    <d v="2020-11-20T00:00:00"/>
    <n v="30871"/>
    <s v="Marketing - Manager"/>
    <s v="Marketing"/>
    <s v="Manager"/>
    <n v="739"/>
    <n v="2"/>
    <n v="5"/>
    <d v="1983-01-25T00:00:00"/>
    <n v="809212"/>
    <x v="0"/>
    <n v="1983"/>
    <n v="11"/>
    <n v="43"/>
    <s v="Good"/>
    <s v="Medium Risk"/>
  </r>
  <r>
    <d v="2020-04-01T00:00:00"/>
    <n v="79807"/>
    <s v="Finance - Executive"/>
    <s v="Finance"/>
    <s v="Executive"/>
    <n v="730"/>
    <n v="3"/>
    <n v="3"/>
    <d v="1994-12-16T00:00:00"/>
    <n v="933509"/>
    <x v="1"/>
    <n v="1994"/>
    <n v="4"/>
    <n v="32"/>
    <s v="Good"/>
    <s v="Medium Risk"/>
  </r>
  <r>
    <d v="2020-06-22T00:00:00"/>
    <n v="42630"/>
    <s v="Sales - Director"/>
    <s v="Sales"/>
    <s v="Director"/>
    <n v="733"/>
    <n v="1"/>
    <n v="1"/>
    <d v="1987-10-13T00:00:00"/>
    <n v="825057"/>
    <x v="2"/>
    <n v="1987"/>
    <n v="6"/>
    <n v="39"/>
    <s v="Good"/>
    <s v="Medium Risk"/>
  </r>
  <r>
    <d v="2020-12-03T00:00:00"/>
    <n v="22737"/>
    <s v="Marketing - Executive"/>
    <s v="Marketing"/>
    <s v="Executive"/>
    <n v="754"/>
    <n v="1"/>
    <n v="9"/>
    <d v="1986-01-17T00:00:00"/>
    <n v="842137"/>
    <x v="1"/>
    <n v="1986"/>
    <n v="12"/>
    <n v="40"/>
    <s v="Excellent"/>
    <s v="High Risk"/>
  </r>
  <r>
    <d v="2020-09-27T00:00:00"/>
    <n v="75329"/>
    <s v="Strategy - Director"/>
    <s v="Strategy"/>
    <s v="Director"/>
    <n v="718"/>
    <n v="4"/>
    <n v="6"/>
    <d v="1987-11-16T00:00:00"/>
    <n v="742707"/>
    <x v="1"/>
    <n v="1987"/>
    <n v="9"/>
    <n v="39"/>
    <s v="Good"/>
    <s v="High Risk"/>
  </r>
  <r>
    <d v="2020-08-24T00:00:00"/>
    <n v="57770"/>
    <s v="Operation - Intern"/>
    <s v="Operation"/>
    <s v="Intern"/>
    <n v="785"/>
    <n v="3"/>
    <n v="4"/>
    <d v="1991-05-18T00:00:00"/>
    <n v="958957"/>
    <x v="1"/>
    <n v="1991"/>
    <n v="8"/>
    <n v="35"/>
    <s v="Excellent"/>
    <s v="Medium Risk"/>
  </r>
  <r>
    <d v="2020-11-28T00:00:00"/>
    <n v="13345"/>
    <s v="Operation - Executive"/>
    <s v="Operation"/>
    <s v="Executive"/>
    <n v="717"/>
    <n v="1"/>
    <n v="1"/>
    <d v="1985-12-19T00:00:00"/>
    <n v="823067"/>
    <x v="0"/>
    <n v="1985"/>
    <n v="11"/>
    <n v="41"/>
    <s v="Good"/>
    <s v="Medium Risk"/>
  </r>
  <r>
    <d v="2020-09-02T00:00:00"/>
    <n v="17962"/>
    <s v="Sales - Intern"/>
    <s v="Sales"/>
    <s v="Intern"/>
    <n v="742"/>
    <n v="2"/>
    <n v="2"/>
    <d v="1988-03-11T00:00:00"/>
    <n v="888310"/>
    <x v="1"/>
    <n v="1988"/>
    <n v="9"/>
    <n v="38"/>
    <s v="Good"/>
    <s v="Medium Risk"/>
  </r>
  <r>
    <d v="2020-06-26T00:00:00"/>
    <n v="62019"/>
    <s v="Growth - Executive"/>
    <s v="Growth"/>
    <s v="Executive"/>
    <n v="773"/>
    <n v="2"/>
    <n v="1"/>
    <d v="1990-03-06T00:00:00"/>
    <n v="573482"/>
    <x v="2"/>
    <n v="1990"/>
    <n v="6"/>
    <n v="36"/>
    <s v="Excellent"/>
    <s v="Low Risk"/>
  </r>
  <r>
    <d v="2020-06-14T00:00:00"/>
    <n v="63431"/>
    <s v="Finance - Director"/>
    <s v="Finance"/>
    <s v="Director"/>
    <n v="794"/>
    <n v="1"/>
    <n v="1"/>
    <d v="1989-03-09T00:00:00"/>
    <n v="868482"/>
    <x v="2"/>
    <n v="1989"/>
    <n v="6"/>
    <n v="37"/>
    <s v="Excellent"/>
    <s v="Low Risk"/>
  </r>
  <r>
    <d v="2020-01-18T00:00:00"/>
    <n v="87231"/>
    <s v="Marketing - Manager"/>
    <s v="Marketing"/>
    <s v="Manager"/>
    <n v="733"/>
    <n v="3"/>
    <n v="1"/>
    <d v="1989-02-17T00:00:00"/>
    <n v="977858"/>
    <x v="2"/>
    <n v="1989"/>
    <n v="1"/>
    <n v="37"/>
    <s v="Good"/>
    <s v="Medium Risk"/>
  </r>
  <r>
    <d v="2020-03-22T00:00:00"/>
    <n v="20237"/>
    <s v="Operation - Manager"/>
    <s v="Operation"/>
    <s v="Manager"/>
    <n v="709"/>
    <n v="3"/>
    <n v="6"/>
    <d v="1993-05-30T00:00:00"/>
    <n v="830519"/>
    <x v="2"/>
    <n v="1993"/>
    <n v="3"/>
    <n v="33"/>
    <s v="Good"/>
    <s v="High Risk"/>
  </r>
  <r>
    <d v="2020-03-09T00:00:00"/>
    <n v="27286"/>
    <s v="Marketing - Manager"/>
    <s v="Marketing"/>
    <s v="Manager"/>
    <n v="738"/>
    <n v="1"/>
    <n v="10"/>
    <d v="1990-11-13T00:00:00"/>
    <n v="621502"/>
    <x v="1"/>
    <n v="1990"/>
    <n v="3"/>
    <n v="36"/>
    <s v="Good"/>
    <s v="High Risk"/>
  </r>
  <r>
    <d v="2020-01-03T00:00:00"/>
    <n v="47440"/>
    <s v="Finance - Manager"/>
    <s v="Finance"/>
    <s v="Manager"/>
    <n v="759"/>
    <n v="3"/>
    <n v="2"/>
    <d v="1983-10-16T00:00:00"/>
    <n v="899239"/>
    <x v="2"/>
    <n v="1983"/>
    <n v="1"/>
    <n v="43"/>
    <s v="Excellent"/>
    <s v="Low Risk"/>
  </r>
  <r>
    <d v="2020-03-03T00:00:00"/>
    <n v="47835"/>
    <s v="Operation - Manager"/>
    <s v="Operation"/>
    <s v="Manager"/>
    <n v="731"/>
    <n v="4"/>
    <n v="1"/>
    <d v="1980-04-07T00:00:00"/>
    <n v="672073"/>
    <x v="1"/>
    <n v="1980"/>
    <n v="3"/>
    <n v="46"/>
    <s v="Good"/>
    <s v="Medium Risk"/>
  </r>
  <r>
    <d v="2020-09-07T00:00:00"/>
    <n v="23501"/>
    <s v="Finance - Director"/>
    <s v="Finance"/>
    <s v="Director"/>
    <n v="704"/>
    <n v="2"/>
    <n v="9"/>
    <d v="1990-05-20T00:00:00"/>
    <n v="783595"/>
    <x v="0"/>
    <n v="1990"/>
    <n v="9"/>
    <n v="36"/>
    <s v="Good"/>
    <s v="High Risk"/>
  </r>
  <r>
    <d v="2020-11-25T00:00:00"/>
    <n v="74406"/>
    <s v="Growth - Executive"/>
    <s v="Growth"/>
    <s v="Executive"/>
    <n v="791"/>
    <n v="2"/>
    <n v="9"/>
    <d v="1983-12-11T00:00:00"/>
    <n v="696234"/>
    <x v="2"/>
    <n v="1983"/>
    <n v="11"/>
    <n v="43"/>
    <s v="Excellent"/>
    <s v="High Risk"/>
  </r>
  <r>
    <d v="2020-08-19T00:00:00"/>
    <n v="32850"/>
    <s v="Marketing - Executive"/>
    <s v="Marketing"/>
    <s v="Executive"/>
    <n v="775"/>
    <n v="4"/>
    <n v="7"/>
    <d v="1981-03-30T00:00:00"/>
    <n v="593559"/>
    <x v="2"/>
    <n v="1981"/>
    <n v="8"/>
    <n v="45"/>
    <s v="Excellent"/>
    <s v="High Risk"/>
  </r>
  <r>
    <d v="2020-06-17T00:00:00"/>
    <n v="81614"/>
    <s v="Sales - Intern"/>
    <s v="Sales"/>
    <s v="Intern"/>
    <n v="772"/>
    <n v="1"/>
    <n v="5"/>
    <d v="1982-03-08T00:00:00"/>
    <n v="908278"/>
    <x v="1"/>
    <n v="1982"/>
    <n v="6"/>
    <n v="44"/>
    <s v="Excellent"/>
    <s v="Medium Risk"/>
  </r>
  <r>
    <d v="2020-03-17T00:00:00"/>
    <n v="87248"/>
    <s v="Marketing - Intern"/>
    <s v="Marketing"/>
    <s v="Intern"/>
    <n v="766"/>
    <n v="4"/>
    <n v="1"/>
    <d v="1991-03-29T00:00:00"/>
    <n v="907757"/>
    <x v="2"/>
    <n v="1991"/>
    <n v="3"/>
    <n v="35"/>
    <s v="Excellent"/>
    <s v="Low Risk"/>
  </r>
  <r>
    <d v="2020-10-19T00:00:00"/>
    <n v="99123"/>
    <s v="Sales - Director"/>
    <s v="Sales"/>
    <s v="Director"/>
    <n v="756"/>
    <n v="1"/>
    <n v="4"/>
    <d v="1982-07-01T00:00:00"/>
    <n v="681492"/>
    <x v="1"/>
    <n v="1982"/>
    <n v="10"/>
    <n v="44"/>
    <s v="Excellent"/>
    <s v="Medium Risk"/>
  </r>
  <r>
    <d v="2020-06-10T00:00:00"/>
    <n v="26238"/>
    <s v="Operation - Manager"/>
    <s v="Operation"/>
    <s v="Manager"/>
    <n v="718"/>
    <n v="2"/>
    <n v="2"/>
    <d v="1991-08-20T00:00:00"/>
    <n v="614109"/>
    <x v="0"/>
    <n v="1991"/>
    <n v="6"/>
    <n v="35"/>
    <s v="Good"/>
    <s v="Medium Risk"/>
  </r>
  <r>
    <d v="2020-02-15T00:00:00"/>
    <n v="84986"/>
    <s v="Growth - Intern"/>
    <s v="Growth"/>
    <s v="Intern"/>
    <n v="723"/>
    <n v="2"/>
    <n v="4"/>
    <d v="1994-07-12T00:00:00"/>
    <n v="909370"/>
    <x v="0"/>
    <n v="1994"/>
    <n v="2"/>
    <n v="32"/>
    <s v="Good"/>
    <s v="Medium Risk"/>
  </r>
  <r>
    <d v="2020-10-29T00:00:00"/>
    <n v="90759"/>
    <s v="Growth - Executive"/>
    <s v="Growth"/>
    <s v="Executive"/>
    <n v="710"/>
    <n v="5"/>
    <n v="4"/>
    <d v="1986-04-21T00:00:00"/>
    <n v="669471"/>
    <x v="0"/>
    <n v="1986"/>
    <n v="10"/>
    <n v="40"/>
    <s v="Good"/>
    <s v="Medium Risk"/>
  </r>
  <r>
    <d v="2020-10-04T00:00:00"/>
    <n v="57440"/>
    <s v="Growth - Intern"/>
    <s v="Growth"/>
    <s v="Intern"/>
    <n v="743"/>
    <n v="2"/>
    <n v="3"/>
    <d v="1987-05-26T00:00:00"/>
    <n v="758121"/>
    <x v="1"/>
    <n v="1987"/>
    <n v="10"/>
    <n v="39"/>
    <s v="Good"/>
    <s v="Medium Risk"/>
  </r>
  <r>
    <d v="2020-07-21T00:00:00"/>
    <n v="50601"/>
    <s v="Marketing - Manager"/>
    <s v="Marketing"/>
    <s v="Manager"/>
    <n v="760"/>
    <n v="5"/>
    <n v="4"/>
    <d v="1988-01-02T00:00:00"/>
    <n v="601051"/>
    <x v="0"/>
    <n v="1988"/>
    <n v="7"/>
    <n v="38"/>
    <s v="Excellent"/>
    <s v="Medium Risk"/>
  </r>
  <r>
    <d v="2020-05-05T00:00:00"/>
    <n v="99068"/>
    <s v="Finance - Intern"/>
    <s v="Finance"/>
    <s v="Intern"/>
    <n v="776"/>
    <n v="5"/>
    <n v="2"/>
    <d v="1983-09-29T00:00:00"/>
    <n v="716266"/>
    <x v="2"/>
    <n v="1983"/>
    <n v="5"/>
    <n v="43"/>
    <s v="Excellent"/>
    <s v="Low Risk"/>
  </r>
  <r>
    <d v="2020-05-07T00:00:00"/>
    <n v="35458"/>
    <s v="Sales - Executive"/>
    <s v="Sales"/>
    <s v="Executive"/>
    <n v="752"/>
    <n v="4"/>
    <n v="4"/>
    <d v="1991-08-01T00:00:00"/>
    <n v="957388"/>
    <x v="1"/>
    <n v="1991"/>
    <n v="5"/>
    <n v="35"/>
    <s v="Excellent"/>
    <s v="Medium Risk"/>
  </r>
  <r>
    <d v="2020-04-17T00:00:00"/>
    <n v="95836"/>
    <s v="Strategy - Executive"/>
    <s v="Strategy"/>
    <s v="Executive"/>
    <n v="776"/>
    <n v="4"/>
    <n v="6"/>
    <d v="1993-09-17T00:00:00"/>
    <n v="514244"/>
    <x v="0"/>
    <n v="1993"/>
    <n v="4"/>
    <n v="33"/>
    <s v="Excellent"/>
    <s v="High Risk"/>
  </r>
  <r>
    <d v="2020-08-10T00:00:00"/>
    <n v="58497"/>
    <s v="Marketing - Director"/>
    <s v="Marketing"/>
    <s v="Director"/>
    <n v="788"/>
    <n v="2"/>
    <n v="4"/>
    <d v="1989-03-12T00:00:00"/>
    <n v="540095"/>
    <x v="2"/>
    <n v="1989"/>
    <n v="8"/>
    <n v="37"/>
    <s v="Excellent"/>
    <s v="Medium Risk"/>
  </r>
  <r>
    <d v="2020-01-31T00:00:00"/>
    <n v="40845"/>
    <s v="Operation - Manager"/>
    <s v="Operation"/>
    <s v="Manager"/>
    <n v="743"/>
    <n v="5"/>
    <n v="4"/>
    <d v="1987-08-24T00:00:00"/>
    <n v="522518"/>
    <x v="0"/>
    <n v="1987"/>
    <n v="1"/>
    <n v="39"/>
    <s v="Good"/>
    <s v="Medium Risk"/>
  </r>
  <r>
    <d v="2020-10-27T00:00:00"/>
    <n v="21565"/>
    <s v="Growth - Executive"/>
    <s v="Growth"/>
    <s v="Executive"/>
    <n v="751"/>
    <n v="3"/>
    <n v="1"/>
    <d v="1987-08-10T00:00:00"/>
    <n v="700173"/>
    <x v="0"/>
    <n v="1987"/>
    <n v="10"/>
    <n v="39"/>
    <s v="Excellent"/>
    <s v="Low Risk"/>
  </r>
  <r>
    <d v="2020-05-19T00:00:00"/>
    <n v="76798"/>
    <s v="Marketing - Intern"/>
    <s v="Marketing"/>
    <s v="Intern"/>
    <n v="761"/>
    <n v="1"/>
    <n v="7"/>
    <d v="1992-05-19T00:00:00"/>
    <n v="857894"/>
    <x v="2"/>
    <n v="1992"/>
    <n v="5"/>
    <n v="34"/>
    <s v="Excellent"/>
    <s v="High Risk"/>
  </r>
  <r>
    <d v="2020-01-05T00:00:00"/>
    <n v="60752"/>
    <s v="Marketing - Intern"/>
    <s v="Marketing"/>
    <s v="Intern"/>
    <n v="726"/>
    <n v="4"/>
    <n v="9"/>
    <d v="1986-03-22T00:00:00"/>
    <n v="720127"/>
    <x v="2"/>
    <n v="1986"/>
    <n v="1"/>
    <n v="40"/>
    <s v="Good"/>
    <s v="High Risk"/>
  </r>
  <r>
    <d v="2020-06-30T00:00:00"/>
    <n v="97302"/>
    <s v="Sales - Intern"/>
    <s v="Sales"/>
    <s v="Intern"/>
    <n v="700"/>
    <n v="2"/>
    <n v="7"/>
    <d v="1987-04-01T00:00:00"/>
    <n v="944807"/>
    <x v="2"/>
    <n v="1987"/>
    <n v="6"/>
    <n v="39"/>
    <s v="Good"/>
    <s v="High Risk"/>
  </r>
  <r>
    <d v="2020-04-11T00:00:00"/>
    <n v="71364"/>
    <s v="Growth - Manager"/>
    <s v="Growth"/>
    <s v="Manager"/>
    <n v="788"/>
    <n v="4"/>
    <n v="2"/>
    <d v="1989-05-18T00:00:00"/>
    <n v="909616"/>
    <x v="2"/>
    <n v="1989"/>
    <n v="4"/>
    <n v="37"/>
    <s v="Excellent"/>
    <s v="Low Risk"/>
  </r>
  <r>
    <d v="2020-08-02T00:00:00"/>
    <n v="38430"/>
    <s v="Operation - Director"/>
    <s v="Operation"/>
    <s v="Director"/>
    <n v="762"/>
    <n v="2"/>
    <n v="3"/>
    <d v="1982-01-26T00:00:00"/>
    <n v="617739"/>
    <x v="1"/>
    <n v="1982"/>
    <n v="8"/>
    <n v="44"/>
    <s v="Excellent"/>
    <s v="Medium Risk"/>
  </r>
  <r>
    <d v="2020-02-27T00:00:00"/>
    <n v="47361"/>
    <s v="Growth - Executive"/>
    <s v="Growth"/>
    <s v="Executive"/>
    <n v="733"/>
    <n v="3"/>
    <n v="5"/>
    <d v="1994-10-28T00:00:00"/>
    <n v="644002"/>
    <x v="0"/>
    <n v="1994"/>
    <n v="2"/>
    <n v="32"/>
    <s v="Good"/>
    <s v="Medium Risk"/>
  </r>
  <r>
    <d v="2020-03-07T00:00:00"/>
    <n v="24514"/>
    <s v="Sales - Intern"/>
    <s v="Sales"/>
    <s v="Intern"/>
    <n v="797"/>
    <n v="5"/>
    <n v="5"/>
    <d v="1989-12-02T00:00:00"/>
    <n v="865221"/>
    <x v="2"/>
    <n v="1989"/>
    <n v="3"/>
    <n v="37"/>
    <s v="Excellent"/>
    <s v="Medium Risk"/>
  </r>
  <r>
    <d v="2020-01-18T00:00:00"/>
    <n v="58181"/>
    <s v="Marketing - Manager"/>
    <s v="Marketing"/>
    <s v="Manager"/>
    <n v="775"/>
    <n v="1"/>
    <n v="7"/>
    <d v="1985-11-06T00:00:00"/>
    <n v="517907"/>
    <x v="1"/>
    <n v="1985"/>
    <n v="1"/>
    <n v="41"/>
    <s v="Excellent"/>
    <s v="High Risk"/>
  </r>
  <r>
    <d v="2020-05-24T00:00:00"/>
    <n v="73371"/>
    <s v="Operation - Executive"/>
    <s v="Operation"/>
    <s v="Executive"/>
    <n v="722"/>
    <n v="2"/>
    <n v="8"/>
    <d v="1988-05-11T00:00:00"/>
    <n v="967821"/>
    <x v="0"/>
    <n v="1988"/>
    <n v="5"/>
    <n v="38"/>
    <s v="Good"/>
    <s v="High Risk"/>
  </r>
  <r>
    <d v="2020-11-16T00:00:00"/>
    <n v="85129"/>
    <s v="Marketing - Executive"/>
    <s v="Marketing"/>
    <s v="Executive"/>
    <n v="725"/>
    <n v="5"/>
    <n v="1"/>
    <d v="1988-08-31T00:00:00"/>
    <n v="865586"/>
    <x v="2"/>
    <n v="1988"/>
    <n v="11"/>
    <n v="38"/>
    <s v="Good"/>
    <s v="Medium Risk"/>
  </r>
  <r>
    <d v="2020-03-12T00:00:00"/>
    <n v="81228"/>
    <s v="Strategy - Executive"/>
    <s v="Strategy"/>
    <s v="Executive"/>
    <n v="770"/>
    <n v="3"/>
    <n v="6"/>
    <d v="1984-04-28T00:00:00"/>
    <n v="943462"/>
    <x v="2"/>
    <n v="1984"/>
    <n v="3"/>
    <n v="42"/>
    <s v="Excellent"/>
    <s v="High Risk"/>
  </r>
  <r>
    <d v="2020-06-11T00:00:00"/>
    <n v="93750"/>
    <s v="Operation - Executive"/>
    <s v="Operation"/>
    <s v="Executive"/>
    <n v="799"/>
    <n v="3"/>
    <n v="10"/>
    <d v="1987-05-17T00:00:00"/>
    <n v="834366"/>
    <x v="0"/>
    <n v="1987"/>
    <n v="6"/>
    <n v="39"/>
    <s v="Excellent"/>
    <s v="High Risk"/>
  </r>
  <r>
    <d v="2020-05-30T00:00:00"/>
    <n v="57092"/>
    <s v="Strategy - Manager"/>
    <s v="Strategy"/>
    <s v="Manager"/>
    <n v="705"/>
    <n v="1"/>
    <n v="1"/>
    <d v="1985-09-30T00:00:00"/>
    <n v="920468"/>
    <x v="2"/>
    <n v="1985"/>
    <n v="5"/>
    <n v="41"/>
    <s v="Good"/>
    <s v="Medium Risk"/>
  </r>
  <r>
    <d v="2020-11-22T00:00:00"/>
    <n v="54866"/>
    <s v="Finance - Director"/>
    <s v="Finance"/>
    <s v="Director"/>
    <n v="719"/>
    <n v="2"/>
    <n v="7"/>
    <d v="1983-08-23T00:00:00"/>
    <n v="928910"/>
    <x v="0"/>
    <n v="1983"/>
    <n v="11"/>
    <n v="43"/>
    <s v="Good"/>
    <s v="High Risk"/>
  </r>
  <r>
    <d v="2020-01-27T00:00:00"/>
    <n v="96247"/>
    <s v="Finance - Manager"/>
    <s v="Finance"/>
    <s v="Manager"/>
    <n v="788"/>
    <n v="5"/>
    <n v="4"/>
    <d v="1980-06-19T00:00:00"/>
    <n v="831126"/>
    <x v="0"/>
    <n v="1980"/>
    <n v="1"/>
    <n v="46"/>
    <s v="Excellent"/>
    <s v="Medium Risk"/>
  </r>
  <r>
    <d v="2020-03-29T00:00:00"/>
    <n v="86568"/>
    <s v="Operation - Executive"/>
    <s v="Operation"/>
    <s v="Executive"/>
    <n v="799"/>
    <n v="1"/>
    <n v="6"/>
    <d v="1987-10-11T00:00:00"/>
    <n v="954784"/>
    <x v="1"/>
    <n v="1987"/>
    <n v="3"/>
    <n v="39"/>
    <s v="Excellent"/>
    <s v="High Risk"/>
  </r>
  <r>
    <d v="2020-09-04T00:00:00"/>
    <n v="65077"/>
    <s v="Sales - Intern"/>
    <s v="Sales"/>
    <s v="Intern"/>
    <n v="743"/>
    <n v="1"/>
    <n v="10"/>
    <d v="1980-05-19T00:00:00"/>
    <n v="943109"/>
    <x v="1"/>
    <n v="1980"/>
    <n v="9"/>
    <n v="46"/>
    <s v="Good"/>
    <s v="High Risk"/>
  </r>
  <r>
    <d v="2020-02-05T00:00:00"/>
    <n v="78229"/>
    <s v="Marketing - Intern"/>
    <s v="Marketing"/>
    <s v="Intern"/>
    <n v="791"/>
    <n v="1"/>
    <n v="6"/>
    <d v="1986-10-31T00:00:00"/>
    <n v="507141"/>
    <x v="0"/>
    <n v="1986"/>
    <n v="2"/>
    <n v="40"/>
    <s v="Excellent"/>
    <s v="High Risk"/>
  </r>
  <r>
    <d v="2020-04-16T00:00:00"/>
    <n v="95204"/>
    <s v="Operation - Intern"/>
    <s v="Operation"/>
    <s v="Intern"/>
    <n v="709"/>
    <n v="5"/>
    <n v="8"/>
    <d v="1991-10-24T00:00:00"/>
    <n v="949973"/>
    <x v="2"/>
    <n v="1991"/>
    <n v="4"/>
    <n v="35"/>
    <s v="Good"/>
    <s v="High Risk"/>
  </r>
  <r>
    <d v="2020-07-12T00:00:00"/>
    <n v="53714"/>
    <s v="Marketing - Intern"/>
    <s v="Marketing"/>
    <s v="Intern"/>
    <n v="734"/>
    <n v="3"/>
    <n v="1"/>
    <d v="1993-08-22T00:00:00"/>
    <n v="774595"/>
    <x v="1"/>
    <n v="1993"/>
    <n v="7"/>
    <n v="33"/>
    <s v="Good"/>
    <s v="Medium Risk"/>
  </r>
  <r>
    <d v="2020-01-25T00:00:00"/>
    <n v="32047"/>
    <s v="Sales - Executive"/>
    <s v="Sales"/>
    <s v="Executive"/>
    <n v="780"/>
    <n v="2"/>
    <n v="2"/>
    <d v="1992-02-14T00:00:00"/>
    <n v="888740"/>
    <x v="1"/>
    <n v="1992"/>
    <n v="1"/>
    <n v="34"/>
    <s v="Excellent"/>
    <s v="Low Risk"/>
  </r>
  <r>
    <d v="2020-03-12T00:00:00"/>
    <n v="98381"/>
    <s v="Growth - Intern"/>
    <s v="Growth"/>
    <s v="Intern"/>
    <n v="755"/>
    <n v="3"/>
    <n v="5"/>
    <d v="1993-08-01T00:00:00"/>
    <n v="973913"/>
    <x v="2"/>
    <n v="1993"/>
    <n v="3"/>
    <n v="33"/>
    <s v="Excellent"/>
    <s v="Medium Risk"/>
  </r>
  <r>
    <d v="2020-02-02T00:00:00"/>
    <n v="88595"/>
    <s v="Strategy - Manager"/>
    <s v="Strategy"/>
    <s v="Manager"/>
    <n v="784"/>
    <n v="1"/>
    <n v="8"/>
    <d v="1994-07-20T00:00:00"/>
    <n v="965860"/>
    <x v="1"/>
    <n v="1994"/>
    <n v="2"/>
    <n v="32"/>
    <s v="Excellent"/>
    <s v="High Risk"/>
  </r>
  <r>
    <d v="2020-03-28T00:00:00"/>
    <n v="45924"/>
    <s v="Growth - Director"/>
    <s v="Growth"/>
    <s v="Director"/>
    <n v="787"/>
    <n v="4"/>
    <n v="1"/>
    <d v="1985-09-22T00:00:00"/>
    <n v="928300"/>
    <x v="1"/>
    <n v="1985"/>
    <n v="3"/>
    <n v="41"/>
    <s v="Excellent"/>
    <s v="Low Risk"/>
  </r>
  <r>
    <d v="2020-09-02T00:00:00"/>
    <n v="93560"/>
    <s v="Sales - Manager"/>
    <s v="Sales"/>
    <s v="Manager"/>
    <n v="710"/>
    <n v="2"/>
    <n v="6"/>
    <d v="1990-01-09T00:00:00"/>
    <n v="658229"/>
    <x v="1"/>
    <n v="1990"/>
    <n v="9"/>
    <n v="36"/>
    <s v="Good"/>
    <s v="High Risk"/>
  </r>
  <r>
    <d v="2020-06-29T00:00:00"/>
    <n v="55067"/>
    <s v="Marketing - Intern"/>
    <s v="Marketing"/>
    <s v="Intern"/>
    <n v="730"/>
    <n v="3"/>
    <n v="2"/>
    <d v="1992-07-10T00:00:00"/>
    <n v="560882"/>
    <x v="1"/>
    <n v="1992"/>
    <n v="6"/>
    <n v="34"/>
    <s v="Good"/>
    <s v="Medium Risk"/>
  </r>
  <r>
    <d v="2020-10-23T00:00:00"/>
    <n v="31005"/>
    <s v="Operation - Director"/>
    <s v="Operation"/>
    <s v="Director"/>
    <n v="750"/>
    <n v="3"/>
    <n v="7"/>
    <d v="1991-02-22T00:00:00"/>
    <n v="781897"/>
    <x v="1"/>
    <n v="1991"/>
    <n v="10"/>
    <n v="35"/>
    <s v="Excellent"/>
    <s v="High Risk"/>
  </r>
  <r>
    <d v="2020-03-13T00:00:00"/>
    <n v="88614"/>
    <s v="Finance - Director"/>
    <s v="Finance"/>
    <s v="Director"/>
    <n v="749"/>
    <n v="1"/>
    <n v="4"/>
    <d v="1980-02-25T00:00:00"/>
    <n v="769026"/>
    <x v="0"/>
    <n v="1980"/>
    <n v="3"/>
    <n v="46"/>
    <s v="Good"/>
    <s v="Medium Risk"/>
  </r>
  <r>
    <d v="2020-05-19T00:00:00"/>
    <n v="61411"/>
    <s v="Growth - Intern"/>
    <s v="Growth"/>
    <s v="Intern"/>
    <n v="757"/>
    <n v="4"/>
    <n v="2"/>
    <d v="1983-07-17T00:00:00"/>
    <n v="505118"/>
    <x v="1"/>
    <n v="1983"/>
    <n v="5"/>
    <n v="43"/>
    <s v="Excellent"/>
    <s v="Low Risk"/>
  </r>
  <r>
    <d v="2020-07-13T00:00:00"/>
    <n v="13948"/>
    <s v="Finance - Manager"/>
    <s v="Finance"/>
    <s v="Manager"/>
    <n v="785"/>
    <n v="2"/>
    <n v="9"/>
    <d v="1994-12-11T00:00:00"/>
    <n v="623506"/>
    <x v="1"/>
    <n v="1994"/>
    <n v="7"/>
    <n v="32"/>
    <s v="Excellent"/>
    <s v="High Risk"/>
  </r>
  <r>
    <d v="2020-03-22T00:00:00"/>
    <n v="11840"/>
    <s v="Sales - Intern"/>
    <s v="Sales"/>
    <s v="Intern"/>
    <n v="789"/>
    <n v="2"/>
    <n v="10"/>
    <d v="1990-07-03T00:00:00"/>
    <n v="684537"/>
    <x v="0"/>
    <n v="1990"/>
    <n v="3"/>
    <n v="36"/>
    <s v="Excellent"/>
    <s v="High Risk"/>
  </r>
  <r>
    <d v="2020-11-27T00:00:00"/>
    <n v="76930"/>
    <s v="Strategy - Executive"/>
    <s v="Strategy"/>
    <s v="Executive"/>
    <n v="762"/>
    <n v="1"/>
    <n v="8"/>
    <d v="1993-12-30T00:00:00"/>
    <n v="601108"/>
    <x v="1"/>
    <n v="1993"/>
    <n v="11"/>
    <n v="33"/>
    <s v="Excellent"/>
    <s v="High Risk"/>
  </r>
  <r>
    <d v="2020-04-03T00:00:00"/>
    <n v="83885"/>
    <s v="Operation - Intern"/>
    <s v="Operation"/>
    <s v="Intern"/>
    <n v="703"/>
    <n v="1"/>
    <n v="9"/>
    <d v="1981-08-21T00:00:00"/>
    <n v="990159"/>
    <x v="0"/>
    <n v="1981"/>
    <n v="4"/>
    <n v="45"/>
    <s v="Good"/>
    <s v="High Risk"/>
  </r>
  <r>
    <d v="2020-08-30T00:00:00"/>
    <n v="99618"/>
    <s v="Finance - Manager"/>
    <s v="Finance"/>
    <s v="Manager"/>
    <n v="766"/>
    <n v="2"/>
    <n v="3"/>
    <d v="1980-11-23T00:00:00"/>
    <n v="630292"/>
    <x v="2"/>
    <n v="1980"/>
    <n v="8"/>
    <n v="46"/>
    <s v="Excellent"/>
    <s v="Medium Risk"/>
  </r>
  <r>
    <d v="2020-06-09T00:00:00"/>
    <n v="17583"/>
    <s v="Growth - Executive"/>
    <s v="Growth"/>
    <s v="Executive"/>
    <n v="745"/>
    <n v="2"/>
    <n v="3"/>
    <d v="1985-11-30T00:00:00"/>
    <n v="614908"/>
    <x v="2"/>
    <n v="1985"/>
    <n v="6"/>
    <n v="41"/>
    <s v="Good"/>
    <s v="Medium Risk"/>
  </r>
  <r>
    <d v="2020-01-21T00:00:00"/>
    <n v="85664"/>
    <s v="Growth - Intern"/>
    <s v="Growth"/>
    <s v="Intern"/>
    <n v="747"/>
    <n v="4"/>
    <n v="1"/>
    <d v="1981-09-19T00:00:00"/>
    <n v="575675"/>
    <x v="1"/>
    <n v="1981"/>
    <n v="1"/>
    <n v="45"/>
    <s v="Good"/>
    <s v="Medium Risk"/>
  </r>
  <r>
    <d v="2020-07-09T00:00:00"/>
    <n v="71405"/>
    <s v="Growth - Manager"/>
    <s v="Growth"/>
    <s v="Manager"/>
    <n v="748"/>
    <n v="1"/>
    <n v="4"/>
    <d v="1990-03-30T00:00:00"/>
    <n v="907498"/>
    <x v="0"/>
    <n v="1990"/>
    <n v="7"/>
    <n v="36"/>
    <s v="Good"/>
    <s v="Medium Risk"/>
  </r>
  <r>
    <d v="2020-02-04T00:00:00"/>
    <n v="77210"/>
    <s v="Growth - Intern"/>
    <s v="Growth"/>
    <s v="Intern"/>
    <n v="760"/>
    <n v="5"/>
    <n v="5"/>
    <d v="1988-05-08T00:00:00"/>
    <n v="640079"/>
    <x v="2"/>
    <n v="1988"/>
    <n v="2"/>
    <n v="38"/>
    <s v="Excellent"/>
    <s v="Medium Risk"/>
  </r>
  <r>
    <d v="2020-03-15T00:00:00"/>
    <n v="67481"/>
    <s v="Operation - Director"/>
    <s v="Operation"/>
    <s v="Director"/>
    <n v="787"/>
    <n v="3"/>
    <n v="1"/>
    <d v="1981-01-26T00:00:00"/>
    <n v="760487"/>
    <x v="2"/>
    <n v="1981"/>
    <n v="3"/>
    <n v="45"/>
    <s v="Excellent"/>
    <s v="Low Risk"/>
  </r>
  <r>
    <d v="2020-05-04T00:00:00"/>
    <n v="64838"/>
    <s v="Operation - Intern"/>
    <s v="Operation"/>
    <s v="Intern"/>
    <n v="704"/>
    <n v="5"/>
    <n v="4"/>
    <d v="1990-04-25T00:00:00"/>
    <n v="816102"/>
    <x v="2"/>
    <n v="1990"/>
    <n v="5"/>
    <n v="36"/>
    <s v="Good"/>
    <s v="Medium Risk"/>
  </r>
  <r>
    <d v="2020-12-03T00:00:00"/>
    <n v="94902"/>
    <s v="Operation - Intern"/>
    <s v="Operation"/>
    <s v="Intern"/>
    <n v="759"/>
    <n v="1"/>
    <n v="2"/>
    <d v="1989-10-28T00:00:00"/>
    <n v="852827"/>
    <x v="0"/>
    <n v="1989"/>
    <n v="12"/>
    <n v="37"/>
    <s v="Excellent"/>
    <s v="Low Risk"/>
  </r>
  <r>
    <d v="2020-08-05T00:00:00"/>
    <n v="32195"/>
    <s v="Marketing - Intern"/>
    <s v="Marketing"/>
    <s v="Intern"/>
    <n v="707"/>
    <n v="5"/>
    <n v="7"/>
    <d v="1987-06-27T00:00:00"/>
    <n v="805154"/>
    <x v="2"/>
    <n v="1987"/>
    <n v="8"/>
    <n v="39"/>
    <s v="Good"/>
    <s v="High Risk"/>
  </r>
  <r>
    <d v="2020-10-27T00:00:00"/>
    <n v="54760"/>
    <s v="Operation - Executive"/>
    <s v="Operation"/>
    <s v="Executive"/>
    <n v="752"/>
    <n v="5"/>
    <n v="1"/>
    <d v="1988-06-08T00:00:00"/>
    <n v="979687"/>
    <x v="2"/>
    <n v="1988"/>
    <n v="10"/>
    <n v="38"/>
    <s v="Excellent"/>
    <s v="Low Risk"/>
  </r>
  <r>
    <d v="2020-11-05T00:00:00"/>
    <n v="76284"/>
    <s v="Growth - Director"/>
    <s v="Growth"/>
    <s v="Director"/>
    <n v="757"/>
    <n v="2"/>
    <n v="8"/>
    <d v="1982-11-04T00:00:00"/>
    <n v="642552"/>
    <x v="2"/>
    <n v="1982"/>
    <n v="11"/>
    <n v="44"/>
    <s v="Excellent"/>
    <s v="High Risk"/>
  </r>
  <r>
    <d v="2020-07-26T00:00:00"/>
    <n v="38227"/>
    <s v="Strategy - Manager"/>
    <s v="Strategy"/>
    <s v="Manager"/>
    <n v="743"/>
    <n v="1"/>
    <n v="3"/>
    <d v="1985-06-07T00:00:00"/>
    <n v="912232"/>
    <x v="1"/>
    <n v="1985"/>
    <n v="7"/>
    <n v="41"/>
    <s v="Good"/>
    <s v="Medium Risk"/>
  </r>
  <r>
    <d v="2020-02-07T00:00:00"/>
    <n v="67019"/>
    <s v="Marketing - Executive"/>
    <s v="Marketing"/>
    <s v="Executive"/>
    <n v="737"/>
    <n v="5"/>
    <n v="5"/>
    <d v="1984-03-24T00:00:00"/>
    <n v="942795"/>
    <x v="2"/>
    <n v="1984"/>
    <n v="2"/>
    <n v="42"/>
    <s v="Good"/>
    <s v="Medium Risk"/>
  </r>
  <r>
    <d v="2020-02-21T00:00:00"/>
    <n v="11498"/>
    <s v="Finance - Director"/>
    <s v="Finance"/>
    <s v="Director"/>
    <n v="793"/>
    <n v="2"/>
    <n v="6"/>
    <d v="1991-04-24T00:00:00"/>
    <n v="861953"/>
    <x v="0"/>
    <n v="1991"/>
    <n v="2"/>
    <n v="35"/>
    <s v="Excellent"/>
    <s v="High Risk"/>
  </r>
  <r>
    <d v="2020-07-14T00:00:00"/>
    <n v="48916"/>
    <s v="Operation - Intern"/>
    <s v="Operation"/>
    <s v="Intern"/>
    <n v="710"/>
    <n v="4"/>
    <n v="7"/>
    <d v="1982-01-03T00:00:00"/>
    <n v="764369"/>
    <x v="2"/>
    <n v="1982"/>
    <n v="7"/>
    <n v="44"/>
    <s v="Good"/>
    <s v="High Risk"/>
  </r>
  <r>
    <d v="2020-10-29T00:00:00"/>
    <n v="81749"/>
    <s v="Sales - Director"/>
    <s v="Sales"/>
    <s v="Director"/>
    <n v="793"/>
    <n v="5"/>
    <n v="4"/>
    <d v="1991-06-15T00:00:00"/>
    <n v="583217"/>
    <x v="1"/>
    <n v="1991"/>
    <n v="10"/>
    <n v="35"/>
    <s v="Excellent"/>
    <s v="Medium Risk"/>
  </r>
  <r>
    <d v="2020-10-15T00:00:00"/>
    <n v="16926"/>
    <s v="Marketing - Intern"/>
    <s v="Marketing"/>
    <s v="Intern"/>
    <n v="720"/>
    <n v="5"/>
    <n v="4"/>
    <d v="1981-11-11T00:00:00"/>
    <n v="584414"/>
    <x v="2"/>
    <n v="1981"/>
    <n v="10"/>
    <n v="45"/>
    <s v="Good"/>
    <s v="Medium Risk"/>
  </r>
  <r>
    <d v="2020-01-21T00:00:00"/>
    <n v="75600"/>
    <s v="Strategy - Director"/>
    <s v="Strategy"/>
    <s v="Director"/>
    <n v="718"/>
    <n v="2"/>
    <n v="2"/>
    <d v="1980-11-16T00:00:00"/>
    <n v="592278"/>
    <x v="1"/>
    <n v="1980"/>
    <n v="1"/>
    <n v="46"/>
    <s v="Good"/>
    <s v="Medium Risk"/>
  </r>
  <r>
    <d v="2020-11-21T00:00:00"/>
    <n v="83490"/>
    <s v="Finance - Manager"/>
    <s v="Finance"/>
    <s v="Manager"/>
    <n v="705"/>
    <n v="5"/>
    <n v="4"/>
    <d v="1987-08-09T00:00:00"/>
    <n v="626770"/>
    <x v="1"/>
    <n v="1987"/>
    <n v="11"/>
    <n v="39"/>
    <s v="Good"/>
    <s v="Medium Risk"/>
  </r>
  <r>
    <d v="2020-03-29T00:00:00"/>
    <n v="85785"/>
    <s v="Marketing - Manager"/>
    <s v="Marketing"/>
    <s v="Manager"/>
    <n v="779"/>
    <n v="5"/>
    <n v="8"/>
    <d v="1993-10-20T00:00:00"/>
    <n v="647437"/>
    <x v="2"/>
    <n v="1993"/>
    <n v="3"/>
    <n v="33"/>
    <s v="Excellent"/>
    <s v="High Risk"/>
  </r>
  <r>
    <d v="2020-08-13T00:00:00"/>
    <n v="94775"/>
    <s v="Operation - Executive"/>
    <s v="Operation"/>
    <s v="Executive"/>
    <n v="715"/>
    <n v="4"/>
    <n v="6"/>
    <d v="1984-11-18T00:00:00"/>
    <n v="911454"/>
    <x v="0"/>
    <n v="1984"/>
    <n v="8"/>
    <n v="42"/>
    <s v="Good"/>
    <s v="High Risk"/>
  </r>
  <r>
    <d v="2020-04-05T00:00:00"/>
    <n v="23065"/>
    <s v="Growth - Director"/>
    <s v="Growth"/>
    <s v="Director"/>
    <n v="772"/>
    <n v="2"/>
    <n v="9"/>
    <d v="1991-02-19T00:00:00"/>
    <n v="800792"/>
    <x v="2"/>
    <n v="1991"/>
    <n v="4"/>
    <n v="35"/>
    <s v="Excellent"/>
    <s v="High Risk"/>
  </r>
  <r>
    <d v="2020-05-30T00:00:00"/>
    <n v="23396"/>
    <s v="Growth - Intern"/>
    <s v="Growth"/>
    <s v="Intern"/>
    <n v="779"/>
    <n v="5"/>
    <n v="3"/>
    <d v="1991-07-03T00:00:00"/>
    <n v="888950"/>
    <x v="2"/>
    <n v="1991"/>
    <n v="5"/>
    <n v="35"/>
    <s v="Excellent"/>
    <s v="Medium Risk"/>
  </r>
  <r>
    <d v="2020-06-16T00:00:00"/>
    <n v="74049"/>
    <s v="Strategy - Executive"/>
    <s v="Strategy"/>
    <s v="Executive"/>
    <n v="758"/>
    <n v="4"/>
    <n v="1"/>
    <d v="1992-11-30T00:00:00"/>
    <n v="572491"/>
    <x v="1"/>
    <n v="1992"/>
    <n v="6"/>
    <n v="34"/>
    <s v="Excellent"/>
    <s v="Low Risk"/>
  </r>
  <r>
    <d v="2020-09-05T00:00:00"/>
    <n v="69915"/>
    <s v="Marketing - Director"/>
    <s v="Marketing"/>
    <s v="Director"/>
    <n v="737"/>
    <n v="2"/>
    <n v="7"/>
    <d v="1992-03-13T00:00:00"/>
    <n v="863721"/>
    <x v="1"/>
    <n v="1992"/>
    <n v="9"/>
    <n v="34"/>
    <s v="Good"/>
    <s v="High Risk"/>
  </r>
  <r>
    <d v="2020-11-06T00:00:00"/>
    <n v="24421"/>
    <s v="Sales - Intern"/>
    <s v="Sales"/>
    <s v="Intern"/>
    <n v="723"/>
    <n v="4"/>
    <n v="9"/>
    <d v="1990-12-21T00:00:00"/>
    <n v="835950"/>
    <x v="1"/>
    <n v="1990"/>
    <n v="11"/>
    <n v="36"/>
    <s v="Good"/>
    <s v="High Risk"/>
  </r>
  <r>
    <d v="2020-04-02T00:00:00"/>
    <n v="58454"/>
    <s v="Finance - Executive"/>
    <s v="Finance"/>
    <s v="Executive"/>
    <n v="727"/>
    <n v="4"/>
    <n v="6"/>
    <d v="1994-08-21T00:00:00"/>
    <n v="881526"/>
    <x v="1"/>
    <n v="1994"/>
    <n v="4"/>
    <n v="32"/>
    <s v="Good"/>
    <s v="High Risk"/>
  </r>
  <r>
    <d v="2020-03-15T00:00:00"/>
    <n v="13253"/>
    <s v="Operation - Manager"/>
    <s v="Operation"/>
    <s v="Manager"/>
    <n v="759"/>
    <n v="4"/>
    <n v="1"/>
    <d v="1985-10-01T00:00:00"/>
    <n v="789275"/>
    <x v="0"/>
    <n v="1985"/>
    <n v="3"/>
    <n v="41"/>
    <s v="Excellent"/>
    <s v="Low Risk"/>
  </r>
  <r>
    <d v="2020-09-07T00:00:00"/>
    <n v="32410"/>
    <s v="Finance - Executive"/>
    <s v="Finance"/>
    <s v="Executive"/>
    <n v="706"/>
    <n v="4"/>
    <n v="1"/>
    <d v="1981-02-28T00:00:00"/>
    <n v="963204"/>
    <x v="0"/>
    <n v="1981"/>
    <n v="9"/>
    <n v="45"/>
    <s v="Good"/>
    <s v="Medium Risk"/>
  </r>
  <r>
    <d v="2020-07-28T00:00:00"/>
    <n v="11713"/>
    <s v="Strategy - Director"/>
    <s v="Strategy"/>
    <s v="Director"/>
    <n v="703"/>
    <n v="4"/>
    <n v="9"/>
    <d v="1988-09-27T00:00:00"/>
    <n v="871572"/>
    <x v="2"/>
    <n v="1988"/>
    <n v="7"/>
    <n v="38"/>
    <s v="Good"/>
    <s v="High Risk"/>
  </r>
  <r>
    <d v="2020-03-13T00:00:00"/>
    <n v="49626"/>
    <s v="Finance - Executive"/>
    <s v="Finance"/>
    <s v="Executive"/>
    <n v="702"/>
    <n v="2"/>
    <n v="4"/>
    <d v="1985-03-07T00:00:00"/>
    <n v="618850"/>
    <x v="2"/>
    <n v="1985"/>
    <n v="3"/>
    <n v="41"/>
    <s v="Good"/>
    <s v="Medium Risk"/>
  </r>
  <r>
    <d v="2020-05-08T00:00:00"/>
    <n v="25602"/>
    <s v="Strategy - Director"/>
    <s v="Strategy"/>
    <s v="Director"/>
    <n v="747"/>
    <n v="1"/>
    <n v="4"/>
    <d v="1993-09-28T00:00:00"/>
    <n v="979398"/>
    <x v="2"/>
    <n v="1993"/>
    <n v="5"/>
    <n v="33"/>
    <s v="Good"/>
    <s v="Medium Risk"/>
  </r>
  <r>
    <d v="2020-02-11T00:00:00"/>
    <n v="82529"/>
    <s v="Growth - Intern"/>
    <s v="Growth"/>
    <s v="Intern"/>
    <n v="712"/>
    <n v="5"/>
    <n v="6"/>
    <d v="1985-05-17T00:00:00"/>
    <n v="792059"/>
    <x v="1"/>
    <n v="1985"/>
    <n v="2"/>
    <n v="41"/>
    <s v="Good"/>
    <s v="High Risk"/>
  </r>
  <r>
    <d v="2020-09-02T00:00:00"/>
    <n v="33160"/>
    <s v="Operation - Manager"/>
    <s v="Operation"/>
    <s v="Manager"/>
    <n v="714"/>
    <n v="1"/>
    <n v="6"/>
    <d v="1980-05-21T00:00:00"/>
    <n v="938703"/>
    <x v="1"/>
    <n v="1980"/>
    <n v="9"/>
    <n v="46"/>
    <s v="Good"/>
    <s v="High Risk"/>
  </r>
  <r>
    <d v="2020-10-02T00:00:00"/>
    <n v="41449"/>
    <s v="Growth - Executive"/>
    <s v="Growth"/>
    <s v="Executive"/>
    <n v="741"/>
    <n v="3"/>
    <n v="2"/>
    <d v="1991-03-11T00:00:00"/>
    <n v="701666"/>
    <x v="1"/>
    <n v="1991"/>
    <n v="10"/>
    <n v="35"/>
    <s v="Good"/>
    <s v="Medium Risk"/>
  </r>
  <r>
    <d v="2020-09-10T00:00:00"/>
    <n v="71321"/>
    <s v="Growth - Director"/>
    <s v="Growth"/>
    <s v="Director"/>
    <n v="758"/>
    <n v="4"/>
    <n v="3"/>
    <d v="1991-09-13T00:00:00"/>
    <n v="898390"/>
    <x v="0"/>
    <n v="1991"/>
    <n v="9"/>
    <n v="35"/>
    <s v="Excellent"/>
    <s v="Medium Risk"/>
  </r>
  <r>
    <d v="2020-07-06T00:00:00"/>
    <n v="14370"/>
    <s v="Growth - Intern"/>
    <s v="Growth"/>
    <s v="Intern"/>
    <n v="776"/>
    <n v="5"/>
    <n v="8"/>
    <d v="1984-07-04T00:00:00"/>
    <n v="637201"/>
    <x v="1"/>
    <n v="1984"/>
    <n v="7"/>
    <n v="42"/>
    <s v="Excellent"/>
    <s v="High Risk"/>
  </r>
  <r>
    <d v="2020-11-05T00:00:00"/>
    <n v="57441"/>
    <s v="Finance - Executive"/>
    <s v="Finance"/>
    <s v="Executive"/>
    <n v="701"/>
    <n v="3"/>
    <n v="7"/>
    <d v="1986-04-05T00:00:00"/>
    <n v="629314"/>
    <x v="2"/>
    <n v="1986"/>
    <n v="11"/>
    <n v="40"/>
    <s v="Good"/>
    <s v="High Risk"/>
  </r>
  <r>
    <d v="2020-05-26T00:00:00"/>
    <n v="89223"/>
    <s v="Sales - Manager"/>
    <s v="Sales"/>
    <s v="Manager"/>
    <n v="777"/>
    <n v="5"/>
    <n v="2"/>
    <d v="1992-11-20T00:00:00"/>
    <n v="601092"/>
    <x v="0"/>
    <n v="1992"/>
    <n v="5"/>
    <n v="34"/>
    <s v="Excellent"/>
    <s v="Low Risk"/>
  </r>
  <r>
    <d v="2020-09-12T00:00:00"/>
    <n v="90372"/>
    <s v="Finance - Intern"/>
    <s v="Finance"/>
    <s v="Intern"/>
    <n v="746"/>
    <n v="2"/>
    <n v="6"/>
    <d v="1988-05-15T00:00:00"/>
    <n v="569389"/>
    <x v="0"/>
    <n v="1988"/>
    <n v="9"/>
    <n v="38"/>
    <s v="Good"/>
    <s v="High Risk"/>
  </r>
  <r>
    <d v="2020-10-22T00:00:00"/>
    <n v="35132"/>
    <s v="Sales - Manager"/>
    <s v="Sales"/>
    <s v="Manager"/>
    <n v="745"/>
    <n v="1"/>
    <n v="10"/>
    <d v="1987-06-10T00:00:00"/>
    <n v="906581"/>
    <x v="1"/>
    <n v="1987"/>
    <n v="10"/>
    <n v="39"/>
    <s v="Good"/>
    <s v="High Risk"/>
  </r>
  <r>
    <d v="2020-03-10T00:00:00"/>
    <n v="99699"/>
    <s v="Marketing - Manager"/>
    <s v="Marketing"/>
    <s v="Manager"/>
    <n v="701"/>
    <n v="1"/>
    <n v="8"/>
    <d v="1991-10-07T00:00:00"/>
    <n v="691306"/>
    <x v="2"/>
    <n v="1991"/>
    <n v="3"/>
    <n v="35"/>
    <s v="Good"/>
    <s v="High Risk"/>
  </r>
  <r>
    <d v="2020-11-03T00:00:00"/>
    <n v="73788"/>
    <s v="Operation - Intern"/>
    <s v="Operation"/>
    <s v="Intern"/>
    <n v="714"/>
    <n v="4"/>
    <n v="9"/>
    <d v="1994-10-31T00:00:00"/>
    <n v="594655"/>
    <x v="0"/>
    <n v="1994"/>
    <n v="11"/>
    <n v="32"/>
    <s v="Good"/>
    <s v="High Risk"/>
  </r>
  <r>
    <d v="2020-07-08T00:00:00"/>
    <n v="33329"/>
    <s v="Growth - Intern"/>
    <s v="Growth"/>
    <s v="Intern"/>
    <n v="728"/>
    <n v="2"/>
    <n v="7"/>
    <d v="1988-03-16T00:00:00"/>
    <n v="609323"/>
    <x v="0"/>
    <n v="1988"/>
    <n v="7"/>
    <n v="38"/>
    <s v="Good"/>
    <s v="High Risk"/>
  </r>
  <r>
    <d v="2020-08-06T00:00:00"/>
    <n v="91695"/>
    <s v="Sales - Director"/>
    <s v="Sales"/>
    <s v="Director"/>
    <n v="725"/>
    <n v="1"/>
    <n v="9"/>
    <d v="1985-10-14T00:00:00"/>
    <n v="616474"/>
    <x v="0"/>
    <n v="1985"/>
    <n v="8"/>
    <n v="41"/>
    <s v="Good"/>
    <s v="High Risk"/>
  </r>
  <r>
    <d v="2020-05-04T00:00:00"/>
    <n v="43918"/>
    <s v="Sales - Intern"/>
    <s v="Sales"/>
    <s v="Intern"/>
    <n v="717"/>
    <n v="4"/>
    <n v="2"/>
    <d v="1987-09-04T00:00:00"/>
    <n v="965774"/>
    <x v="0"/>
    <n v="1987"/>
    <n v="5"/>
    <n v="39"/>
    <s v="Good"/>
    <s v="Medium Risk"/>
  </r>
  <r>
    <d v="2020-08-23T00:00:00"/>
    <n v="72046"/>
    <s v="Finance - Intern"/>
    <s v="Finance"/>
    <s v="Intern"/>
    <n v="742"/>
    <n v="4"/>
    <n v="4"/>
    <d v="1986-11-17T00:00:00"/>
    <n v="866598"/>
    <x v="0"/>
    <n v="1986"/>
    <n v="8"/>
    <n v="40"/>
    <s v="Good"/>
    <s v="Medium Risk"/>
  </r>
  <r>
    <d v="2020-06-04T00:00:00"/>
    <n v="71085"/>
    <s v="Marketing - Intern"/>
    <s v="Marketing"/>
    <s v="Intern"/>
    <n v="747"/>
    <n v="5"/>
    <n v="5"/>
    <d v="1981-12-11T00:00:00"/>
    <n v="727411"/>
    <x v="0"/>
    <n v="1981"/>
    <n v="6"/>
    <n v="45"/>
    <s v="Good"/>
    <s v="Medium Risk"/>
  </r>
  <r>
    <d v="2020-11-10T00:00:00"/>
    <n v="27980"/>
    <s v="Marketing - Intern"/>
    <s v="Marketing"/>
    <s v="Intern"/>
    <n v="700"/>
    <n v="5"/>
    <n v="5"/>
    <d v="1988-05-17T00:00:00"/>
    <n v="840811"/>
    <x v="0"/>
    <n v="1988"/>
    <n v="11"/>
    <n v="38"/>
    <s v="Good"/>
    <s v="Medium Risk"/>
  </r>
  <r>
    <d v="2020-08-24T00:00:00"/>
    <n v="21407"/>
    <s v="Strategy - Manager"/>
    <s v="Strategy"/>
    <s v="Manager"/>
    <n v="723"/>
    <n v="1"/>
    <n v="10"/>
    <d v="1990-01-31T00:00:00"/>
    <n v="644713"/>
    <x v="2"/>
    <n v="1990"/>
    <n v="8"/>
    <n v="36"/>
    <s v="Good"/>
    <s v="High Risk"/>
  </r>
  <r>
    <d v="2020-04-25T00:00:00"/>
    <n v="37415"/>
    <s v="Growth - Manager"/>
    <s v="Growth"/>
    <s v="Manager"/>
    <n v="705"/>
    <n v="3"/>
    <n v="1"/>
    <d v="1991-03-18T00:00:00"/>
    <n v="910971"/>
    <x v="2"/>
    <n v="1991"/>
    <n v="4"/>
    <n v="35"/>
    <s v="Good"/>
    <s v="Medium Risk"/>
  </r>
  <r>
    <d v="2020-03-23T00:00:00"/>
    <n v="96780"/>
    <s v="Sales - Executive"/>
    <s v="Sales"/>
    <s v="Executive"/>
    <n v="755"/>
    <n v="1"/>
    <n v="1"/>
    <d v="1994-07-08T00:00:00"/>
    <n v="753695"/>
    <x v="1"/>
    <n v="1994"/>
    <n v="3"/>
    <n v="32"/>
    <s v="Excellent"/>
    <s v="Low Risk"/>
  </r>
  <r>
    <d v="2020-11-22T00:00:00"/>
    <n v="71238"/>
    <s v="Growth - Manager"/>
    <s v="Growth"/>
    <s v="Manager"/>
    <n v="780"/>
    <n v="1"/>
    <n v="5"/>
    <d v="1980-02-24T00:00:00"/>
    <n v="918569"/>
    <x v="0"/>
    <n v="1980"/>
    <n v="11"/>
    <n v="46"/>
    <s v="Excellent"/>
    <s v="Medium Risk"/>
  </r>
  <r>
    <d v="2020-10-27T00:00:00"/>
    <n v="50595"/>
    <s v="Growth - Intern"/>
    <s v="Growth"/>
    <s v="Intern"/>
    <n v="745"/>
    <n v="4"/>
    <n v="6"/>
    <d v="1982-09-18T00:00:00"/>
    <n v="911149"/>
    <x v="0"/>
    <n v="1982"/>
    <n v="10"/>
    <n v="44"/>
    <s v="Good"/>
    <s v="High Risk"/>
  </r>
  <r>
    <d v="2020-02-20T00:00:00"/>
    <n v="15443"/>
    <s v="Marketing - Director"/>
    <s v="Marketing"/>
    <s v="Director"/>
    <n v="758"/>
    <n v="1"/>
    <n v="8"/>
    <d v="1990-06-07T00:00:00"/>
    <n v="704263"/>
    <x v="2"/>
    <n v="1990"/>
    <n v="2"/>
    <n v="36"/>
    <s v="Excellent"/>
    <s v="High Risk"/>
  </r>
  <r>
    <d v="2020-05-28T00:00:00"/>
    <n v="63852"/>
    <s v="Marketing - Executive"/>
    <s v="Marketing"/>
    <s v="Executive"/>
    <n v="736"/>
    <n v="1"/>
    <n v="6"/>
    <d v="1992-12-06T00:00:00"/>
    <n v="520081"/>
    <x v="0"/>
    <n v="1992"/>
    <n v="5"/>
    <n v="34"/>
    <s v="Good"/>
    <s v="High Risk"/>
  </r>
  <r>
    <d v="2020-01-07T00:00:00"/>
    <n v="58573"/>
    <s v="Operation - Manager"/>
    <s v="Operation"/>
    <s v="Manager"/>
    <n v="747"/>
    <n v="2"/>
    <n v="2"/>
    <d v="1987-04-22T00:00:00"/>
    <n v="864697"/>
    <x v="2"/>
    <n v="1987"/>
    <n v="1"/>
    <n v="39"/>
    <s v="Good"/>
    <s v="Medium Risk"/>
  </r>
  <r>
    <d v="2020-11-27T00:00:00"/>
    <n v="33080"/>
    <s v="Growth - Intern"/>
    <s v="Growth"/>
    <s v="Intern"/>
    <n v="781"/>
    <n v="2"/>
    <n v="3"/>
    <d v="1993-03-28T00:00:00"/>
    <n v="737419"/>
    <x v="2"/>
    <n v="1993"/>
    <n v="11"/>
    <n v="33"/>
    <s v="Excellent"/>
    <s v="Medium Risk"/>
  </r>
  <r>
    <d v="2020-10-04T00:00:00"/>
    <n v="95942"/>
    <s v="Strategy - Director"/>
    <s v="Strategy"/>
    <s v="Director"/>
    <n v="729"/>
    <n v="4"/>
    <n v="10"/>
    <d v="1993-05-03T00:00:00"/>
    <n v="558030"/>
    <x v="1"/>
    <n v="1993"/>
    <n v="10"/>
    <n v="33"/>
    <s v="Good"/>
    <s v="High Risk"/>
  </r>
  <r>
    <d v="2020-10-06T00:00:00"/>
    <n v="87308"/>
    <s v="Growth - Manager"/>
    <s v="Growth"/>
    <s v="Manager"/>
    <n v="710"/>
    <n v="3"/>
    <n v="7"/>
    <d v="1990-09-25T00:00:00"/>
    <n v="588194"/>
    <x v="0"/>
    <n v="1990"/>
    <n v="10"/>
    <n v="36"/>
    <s v="Good"/>
    <s v="High Risk"/>
  </r>
  <r>
    <d v="2020-01-08T00:00:00"/>
    <n v="13620"/>
    <s v="Strategy - Manager"/>
    <s v="Strategy"/>
    <s v="Manager"/>
    <n v="785"/>
    <n v="4"/>
    <n v="6"/>
    <d v="1981-07-14T00:00:00"/>
    <n v="557207"/>
    <x v="2"/>
    <n v="1981"/>
    <n v="1"/>
    <n v="45"/>
    <s v="Excellent"/>
    <s v="High Risk"/>
  </r>
  <r>
    <d v="2020-09-02T00:00:00"/>
    <n v="97312"/>
    <s v="Sales - Director"/>
    <s v="Sales"/>
    <s v="Director"/>
    <n v="788"/>
    <n v="5"/>
    <n v="9"/>
    <d v="1981-03-29T00:00:00"/>
    <n v="541314"/>
    <x v="2"/>
    <n v="1981"/>
    <n v="9"/>
    <n v="45"/>
    <s v="Excellent"/>
    <s v="High Risk"/>
  </r>
  <r>
    <d v="2020-11-09T00:00:00"/>
    <n v="33399"/>
    <s v="Growth - Executive"/>
    <s v="Growth"/>
    <s v="Executive"/>
    <n v="708"/>
    <n v="2"/>
    <n v="3"/>
    <d v="1993-04-11T00:00:00"/>
    <n v="526493"/>
    <x v="2"/>
    <n v="1993"/>
    <n v="11"/>
    <n v="33"/>
    <s v="Good"/>
    <s v="Medium Risk"/>
  </r>
  <r>
    <d v="2020-08-27T00:00:00"/>
    <n v="24165"/>
    <s v="Finance - Director"/>
    <s v="Finance"/>
    <s v="Director"/>
    <n v="751"/>
    <n v="1"/>
    <n v="7"/>
    <d v="1983-02-10T00:00:00"/>
    <n v="568904"/>
    <x v="1"/>
    <n v="1983"/>
    <n v="8"/>
    <n v="43"/>
    <s v="Excellent"/>
    <s v="High Risk"/>
  </r>
  <r>
    <d v="2020-10-30T00:00:00"/>
    <n v="73609"/>
    <s v="Marketing - Intern"/>
    <s v="Marketing"/>
    <s v="Intern"/>
    <n v="739"/>
    <n v="4"/>
    <n v="2"/>
    <d v="1983-01-23T00:00:00"/>
    <n v="558445"/>
    <x v="1"/>
    <n v="1983"/>
    <n v="10"/>
    <n v="43"/>
    <s v="Good"/>
    <s v="Medium Risk"/>
  </r>
  <r>
    <d v="2020-05-23T00:00:00"/>
    <n v="17847"/>
    <s v="Growth - Manager"/>
    <s v="Growth"/>
    <s v="Manager"/>
    <n v="770"/>
    <n v="4"/>
    <n v="9"/>
    <d v="1982-12-05T00:00:00"/>
    <n v="653315"/>
    <x v="1"/>
    <n v="1982"/>
    <n v="5"/>
    <n v="44"/>
    <s v="Excellent"/>
    <s v="High Risk"/>
  </r>
  <r>
    <d v="2020-05-14T00:00:00"/>
    <n v="34408"/>
    <s v="Marketing - Manager"/>
    <s v="Marketing"/>
    <s v="Manager"/>
    <n v="772"/>
    <n v="1"/>
    <n v="8"/>
    <d v="1983-07-07T00:00:00"/>
    <n v="743563"/>
    <x v="2"/>
    <n v="1983"/>
    <n v="5"/>
    <n v="43"/>
    <s v="Excellent"/>
    <s v="High Risk"/>
  </r>
  <r>
    <d v="2020-05-05T00:00:00"/>
    <n v="63076"/>
    <s v="Operation - Manager"/>
    <s v="Operation"/>
    <s v="Manager"/>
    <n v="793"/>
    <n v="1"/>
    <n v="3"/>
    <d v="1980-02-07T00:00:00"/>
    <n v="840725"/>
    <x v="0"/>
    <n v="1980"/>
    <n v="5"/>
    <n v="46"/>
    <s v="Excellent"/>
    <s v="Medium Risk"/>
  </r>
  <r>
    <d v="2020-01-01T00:00:00"/>
    <n v="95803"/>
    <s v="Sales - Intern"/>
    <s v="Sales"/>
    <s v="Intern"/>
    <n v="798"/>
    <n v="3"/>
    <n v="2"/>
    <d v="1992-03-16T00:00:00"/>
    <n v="647937"/>
    <x v="0"/>
    <n v="1992"/>
    <n v="1"/>
    <n v="34"/>
    <s v="Excellent"/>
    <s v="Low Risk"/>
  </r>
  <r>
    <d v="2020-02-01T00:00:00"/>
    <n v="35698"/>
    <s v="Strategy - Executive"/>
    <s v="Strategy"/>
    <s v="Executive"/>
    <n v="710"/>
    <n v="5"/>
    <n v="7"/>
    <d v="1990-09-23T00:00:00"/>
    <n v="541460"/>
    <x v="0"/>
    <n v="1990"/>
    <n v="2"/>
    <n v="36"/>
    <s v="Good"/>
    <s v="High Risk"/>
  </r>
  <r>
    <d v="2020-03-16T00:00:00"/>
    <n v="95503"/>
    <s v="Marketing - Manager"/>
    <s v="Marketing"/>
    <s v="Manager"/>
    <n v="743"/>
    <n v="4"/>
    <n v="4"/>
    <d v="1988-10-12T00:00:00"/>
    <n v="669353"/>
    <x v="1"/>
    <n v="1988"/>
    <n v="3"/>
    <n v="38"/>
    <s v="Good"/>
    <s v="Medium Risk"/>
  </r>
  <r>
    <d v="2020-02-09T00:00:00"/>
    <n v="95921"/>
    <s v="Strategy - Manager"/>
    <s v="Strategy"/>
    <s v="Manager"/>
    <n v="797"/>
    <n v="4"/>
    <n v="1"/>
    <d v="1981-01-25T00:00:00"/>
    <n v="928644"/>
    <x v="0"/>
    <n v="1981"/>
    <n v="2"/>
    <n v="45"/>
    <s v="Excellent"/>
    <s v="Low Risk"/>
  </r>
  <r>
    <d v="2020-06-10T00:00:00"/>
    <n v="27632"/>
    <s v="Finance - Intern"/>
    <s v="Finance"/>
    <s v="Intern"/>
    <n v="800"/>
    <n v="1"/>
    <n v="8"/>
    <d v="1981-12-13T00:00:00"/>
    <n v="960902"/>
    <x v="0"/>
    <n v="1981"/>
    <n v="6"/>
    <n v="45"/>
    <s v="Excellent"/>
    <s v="High Risk"/>
  </r>
  <r>
    <d v="2020-01-22T00:00:00"/>
    <n v="63842"/>
    <s v="Finance - Executive"/>
    <s v="Finance"/>
    <s v="Executive"/>
    <n v="797"/>
    <n v="1"/>
    <n v="4"/>
    <d v="1987-09-06T00:00:00"/>
    <n v="858604"/>
    <x v="2"/>
    <n v="1987"/>
    <n v="1"/>
    <n v="39"/>
    <s v="Excellent"/>
    <s v="Medium Risk"/>
  </r>
  <r>
    <d v="2020-10-10T00:00:00"/>
    <n v="37460"/>
    <s v="Sales - Director"/>
    <s v="Sales"/>
    <s v="Director"/>
    <n v="781"/>
    <n v="2"/>
    <n v="1"/>
    <d v="1992-03-24T00:00:00"/>
    <n v="524070"/>
    <x v="2"/>
    <n v="1992"/>
    <n v="10"/>
    <n v="34"/>
    <s v="Excellent"/>
    <s v="Low Risk"/>
  </r>
  <r>
    <d v="2020-10-08T00:00:00"/>
    <n v="72882"/>
    <s v="Sales - Executive"/>
    <s v="Sales"/>
    <s v="Executive"/>
    <n v="736"/>
    <n v="3"/>
    <n v="6"/>
    <d v="1989-06-07T00:00:00"/>
    <n v="643486"/>
    <x v="1"/>
    <n v="1989"/>
    <n v="10"/>
    <n v="37"/>
    <s v="Good"/>
    <s v="High Risk"/>
  </r>
  <r>
    <d v="2020-04-24T00:00:00"/>
    <n v="27544"/>
    <s v="Marketing - Executive"/>
    <s v="Marketing"/>
    <s v="Executive"/>
    <n v="715"/>
    <n v="5"/>
    <n v="8"/>
    <d v="1988-07-21T00:00:00"/>
    <n v="587547"/>
    <x v="2"/>
    <n v="1988"/>
    <n v="4"/>
    <n v="38"/>
    <s v="Good"/>
    <s v="High Risk"/>
  </r>
  <r>
    <d v="2020-07-11T00:00:00"/>
    <n v="24343"/>
    <s v="Sales - Intern"/>
    <s v="Sales"/>
    <s v="Intern"/>
    <n v="767"/>
    <n v="1"/>
    <n v="3"/>
    <d v="1986-12-12T00:00:00"/>
    <n v="557672"/>
    <x v="1"/>
    <n v="1986"/>
    <n v="7"/>
    <n v="40"/>
    <s v="Excellent"/>
    <s v="Medium Risk"/>
  </r>
  <r>
    <d v="2020-03-25T00:00:00"/>
    <n v="51730"/>
    <s v="Finance - Manager"/>
    <s v="Finance"/>
    <s v="Manager"/>
    <n v="787"/>
    <n v="3"/>
    <n v="10"/>
    <d v="1991-07-15T00:00:00"/>
    <n v="635431"/>
    <x v="2"/>
    <n v="1991"/>
    <n v="3"/>
    <n v="35"/>
    <s v="Excellent"/>
    <s v="High Risk"/>
  </r>
  <r>
    <d v="2020-06-13T00:00:00"/>
    <n v="64295"/>
    <s v="Marketing - Director"/>
    <s v="Marketing"/>
    <s v="Director"/>
    <n v="788"/>
    <n v="3"/>
    <n v="8"/>
    <d v="1988-04-03T00:00:00"/>
    <n v="594694"/>
    <x v="0"/>
    <n v="1988"/>
    <n v="6"/>
    <n v="38"/>
    <s v="Excellent"/>
    <s v="High Risk"/>
  </r>
  <r>
    <d v="2020-01-06T00:00:00"/>
    <n v="93731"/>
    <s v="Marketing - Executive"/>
    <s v="Marketing"/>
    <s v="Executive"/>
    <n v="725"/>
    <n v="3"/>
    <n v="8"/>
    <d v="1991-11-23T00:00:00"/>
    <n v="859247"/>
    <x v="1"/>
    <n v="1991"/>
    <n v="1"/>
    <n v="35"/>
    <s v="Good"/>
    <s v="High Risk"/>
  </r>
  <r>
    <d v="2020-03-20T00:00:00"/>
    <n v="21875"/>
    <s v="Operation - Executive"/>
    <s v="Operation"/>
    <s v="Executive"/>
    <n v="721"/>
    <n v="2"/>
    <n v="6"/>
    <d v="1988-09-09T00:00:00"/>
    <n v="615686"/>
    <x v="2"/>
    <n v="1988"/>
    <n v="3"/>
    <n v="38"/>
    <s v="Good"/>
    <s v="High Risk"/>
  </r>
  <r>
    <d v="2020-06-09T00:00:00"/>
    <n v="13640"/>
    <s v="Finance - Director"/>
    <s v="Finance"/>
    <s v="Director"/>
    <n v="717"/>
    <n v="2"/>
    <n v="1"/>
    <d v="1994-12-10T00:00:00"/>
    <n v="611218"/>
    <x v="0"/>
    <n v="1994"/>
    <n v="6"/>
    <n v="32"/>
    <s v="Good"/>
    <s v="Medium Risk"/>
  </r>
  <r>
    <d v="2020-02-23T00:00:00"/>
    <n v="53720"/>
    <s v="Finance - Executive"/>
    <s v="Finance"/>
    <s v="Executive"/>
    <n v="764"/>
    <n v="4"/>
    <n v="7"/>
    <d v="1989-08-13T00:00:00"/>
    <n v="681585"/>
    <x v="1"/>
    <n v="1989"/>
    <n v="2"/>
    <n v="37"/>
    <s v="Excellent"/>
    <s v="High Risk"/>
  </r>
  <r>
    <d v="2020-02-15T00:00:00"/>
    <n v="65888"/>
    <s v="Finance - Manager"/>
    <s v="Finance"/>
    <s v="Manager"/>
    <n v="767"/>
    <n v="1"/>
    <n v="1"/>
    <d v="1987-08-09T00:00:00"/>
    <n v="811827"/>
    <x v="0"/>
    <n v="1987"/>
    <n v="2"/>
    <n v="39"/>
    <s v="Excellent"/>
    <s v="Low Risk"/>
  </r>
  <r>
    <d v="2020-08-01T00:00:00"/>
    <n v="99843"/>
    <s v="Operation - Manager"/>
    <s v="Operation"/>
    <s v="Manager"/>
    <n v="769"/>
    <n v="3"/>
    <n v="5"/>
    <d v="1991-08-30T00:00:00"/>
    <n v="627334"/>
    <x v="2"/>
    <n v="1991"/>
    <n v="8"/>
    <n v="35"/>
    <s v="Excellent"/>
    <s v="Medium Risk"/>
  </r>
  <r>
    <d v="2020-09-22T00:00:00"/>
    <n v="58228"/>
    <s v="Marketing - Executive"/>
    <s v="Marketing"/>
    <s v="Executive"/>
    <n v="747"/>
    <n v="1"/>
    <n v="1"/>
    <d v="1982-06-03T00:00:00"/>
    <n v="531446"/>
    <x v="1"/>
    <n v="1982"/>
    <n v="9"/>
    <n v="44"/>
    <s v="Good"/>
    <s v="Medium Risk"/>
  </r>
  <r>
    <d v="2020-04-22T00:00:00"/>
    <n v="12596"/>
    <s v="Sales - Executive"/>
    <s v="Sales"/>
    <s v="Executive"/>
    <n v="702"/>
    <n v="5"/>
    <n v="7"/>
    <d v="1983-09-08T00:00:00"/>
    <n v="970614"/>
    <x v="0"/>
    <n v="1983"/>
    <n v="4"/>
    <n v="43"/>
    <s v="Good"/>
    <s v="High Risk"/>
  </r>
  <r>
    <d v="2020-05-16T00:00:00"/>
    <n v="44415"/>
    <s v="Operation - Intern"/>
    <s v="Operation"/>
    <s v="Intern"/>
    <n v="738"/>
    <n v="4"/>
    <n v="10"/>
    <d v="1989-07-29T00:00:00"/>
    <n v="594754"/>
    <x v="0"/>
    <n v="1989"/>
    <n v="5"/>
    <n v="37"/>
    <s v="Good"/>
    <s v="High Risk"/>
  </r>
  <r>
    <d v="2020-03-01T00:00:00"/>
    <n v="38783"/>
    <s v="Growth - Manager"/>
    <s v="Growth"/>
    <s v="Manager"/>
    <n v="760"/>
    <n v="5"/>
    <n v="6"/>
    <d v="1994-03-25T00:00:00"/>
    <n v="642147"/>
    <x v="1"/>
    <n v="1994"/>
    <n v="3"/>
    <n v="32"/>
    <s v="Excellent"/>
    <s v="High Risk"/>
  </r>
  <r>
    <d v="2020-07-13T00:00:00"/>
    <n v="17643"/>
    <s v="Marketing - Director"/>
    <s v="Marketing"/>
    <s v="Director"/>
    <n v="781"/>
    <n v="5"/>
    <n v="6"/>
    <d v="1983-12-23T00:00:00"/>
    <n v="974246"/>
    <x v="0"/>
    <n v="1983"/>
    <n v="7"/>
    <n v="43"/>
    <s v="Excellent"/>
    <s v="High Risk"/>
  </r>
  <r>
    <d v="2020-10-03T00:00:00"/>
    <n v="71821"/>
    <s v="Sales - Manager"/>
    <s v="Sales"/>
    <s v="Manager"/>
    <n v="702"/>
    <n v="2"/>
    <n v="2"/>
    <d v="1988-09-07T00:00:00"/>
    <n v="909939"/>
    <x v="0"/>
    <n v="1988"/>
    <n v="10"/>
    <n v="38"/>
    <s v="Good"/>
    <s v="Medium Risk"/>
  </r>
  <r>
    <d v="2020-02-12T00:00:00"/>
    <n v="29417"/>
    <s v="Marketing - Director"/>
    <s v="Marketing"/>
    <s v="Director"/>
    <n v="787"/>
    <n v="2"/>
    <n v="4"/>
    <d v="1985-01-16T00:00:00"/>
    <n v="819203"/>
    <x v="0"/>
    <n v="1985"/>
    <n v="2"/>
    <n v="41"/>
    <s v="Excellent"/>
    <s v="Medium Risk"/>
  </r>
  <r>
    <d v="2020-06-14T00:00:00"/>
    <n v="38894"/>
    <s v="Growth - Manager"/>
    <s v="Growth"/>
    <s v="Manager"/>
    <n v="741"/>
    <n v="1"/>
    <n v="6"/>
    <d v="1980-04-17T00:00:00"/>
    <n v="713677"/>
    <x v="1"/>
    <n v="1980"/>
    <n v="6"/>
    <n v="46"/>
    <s v="Good"/>
    <s v="High Risk"/>
  </r>
  <r>
    <d v="2020-01-18T00:00:00"/>
    <n v="37736"/>
    <s v="Operation - Director"/>
    <s v="Operation"/>
    <s v="Director"/>
    <n v="749"/>
    <n v="1"/>
    <n v="2"/>
    <d v="1992-02-15T00:00:00"/>
    <n v="883224"/>
    <x v="0"/>
    <n v="1992"/>
    <n v="1"/>
    <n v="34"/>
    <s v="Good"/>
    <s v="Medium Risk"/>
  </r>
  <r>
    <d v="2020-03-11T00:00:00"/>
    <n v="62788"/>
    <s v="Growth - Executive"/>
    <s v="Growth"/>
    <s v="Executive"/>
    <n v="705"/>
    <n v="2"/>
    <n v="1"/>
    <d v="1994-05-17T00:00:00"/>
    <n v="708228"/>
    <x v="2"/>
    <n v="1994"/>
    <n v="3"/>
    <n v="32"/>
    <s v="Good"/>
    <s v="Medium Risk"/>
  </r>
  <r>
    <d v="2020-07-09T00:00:00"/>
    <n v="45530"/>
    <s v="Sales - Intern"/>
    <s v="Sales"/>
    <s v="Intern"/>
    <n v="721"/>
    <n v="2"/>
    <n v="9"/>
    <d v="1994-07-18T00:00:00"/>
    <n v="538884"/>
    <x v="1"/>
    <n v="1994"/>
    <n v="7"/>
    <n v="32"/>
    <s v="Good"/>
    <s v="High Risk"/>
  </r>
  <r>
    <d v="2020-02-09T00:00:00"/>
    <n v="49134"/>
    <s v="Sales - Executive"/>
    <s v="Sales"/>
    <s v="Executive"/>
    <n v="706"/>
    <n v="5"/>
    <n v="10"/>
    <d v="1982-05-23T00:00:00"/>
    <n v="647064"/>
    <x v="1"/>
    <n v="1982"/>
    <n v="2"/>
    <n v="44"/>
    <s v="Good"/>
    <s v="High Risk"/>
  </r>
  <r>
    <d v="2020-03-23T00:00:00"/>
    <n v="58795"/>
    <s v="Growth - Director"/>
    <s v="Growth"/>
    <s v="Director"/>
    <n v="712"/>
    <n v="4"/>
    <n v="10"/>
    <d v="1992-03-05T00:00:00"/>
    <n v="701101"/>
    <x v="2"/>
    <n v="1992"/>
    <n v="3"/>
    <n v="34"/>
    <s v="Good"/>
    <s v="High Risk"/>
  </r>
  <r>
    <d v="2020-09-24T00:00:00"/>
    <n v="76612"/>
    <s v="Finance - Executive"/>
    <s v="Finance"/>
    <s v="Executive"/>
    <n v="791"/>
    <n v="5"/>
    <n v="4"/>
    <d v="1993-10-09T00:00:00"/>
    <n v="539739"/>
    <x v="0"/>
    <n v="1993"/>
    <n v="9"/>
    <n v="33"/>
    <s v="Excellent"/>
    <s v="Medium Risk"/>
  </r>
  <r>
    <d v="2020-11-03T00:00:00"/>
    <n v="76168"/>
    <s v="Finance - Manager"/>
    <s v="Finance"/>
    <s v="Manager"/>
    <n v="721"/>
    <n v="2"/>
    <n v="10"/>
    <d v="1982-07-13T00:00:00"/>
    <n v="602910"/>
    <x v="0"/>
    <n v="1982"/>
    <n v="11"/>
    <n v="44"/>
    <s v="Good"/>
    <s v="High Risk"/>
  </r>
  <r>
    <d v="2020-01-14T00:00:00"/>
    <n v="87652"/>
    <s v="Marketing - Director"/>
    <s v="Marketing"/>
    <s v="Director"/>
    <n v="784"/>
    <n v="3"/>
    <n v="9"/>
    <d v="1981-02-28T00:00:00"/>
    <n v="757408"/>
    <x v="2"/>
    <n v="1981"/>
    <n v="1"/>
    <n v="45"/>
    <s v="Excellent"/>
    <s v="High Risk"/>
  </r>
  <r>
    <d v="2020-07-10T00:00:00"/>
    <n v="99257"/>
    <s v="Marketing - Executive"/>
    <s v="Marketing"/>
    <s v="Executive"/>
    <n v="793"/>
    <n v="5"/>
    <n v="1"/>
    <d v="1985-06-14T00:00:00"/>
    <n v="844155"/>
    <x v="0"/>
    <n v="1985"/>
    <n v="7"/>
    <n v="41"/>
    <s v="Excellent"/>
    <s v="Low Risk"/>
  </r>
  <r>
    <d v="2020-01-13T00:00:00"/>
    <n v="99595"/>
    <s v="Strategy - Manager"/>
    <s v="Strategy"/>
    <s v="Manager"/>
    <n v="725"/>
    <n v="4"/>
    <n v="8"/>
    <d v="1985-09-05T00:00:00"/>
    <n v="824832"/>
    <x v="2"/>
    <n v="1985"/>
    <n v="1"/>
    <n v="41"/>
    <s v="Good"/>
    <s v="High Risk"/>
  </r>
  <r>
    <d v="2020-04-06T00:00:00"/>
    <n v="60673"/>
    <s v="Operation - Manager"/>
    <s v="Operation"/>
    <s v="Manager"/>
    <n v="781"/>
    <n v="4"/>
    <n v="10"/>
    <d v="1983-08-04T00:00:00"/>
    <n v="588374"/>
    <x v="0"/>
    <n v="1983"/>
    <n v="4"/>
    <n v="43"/>
    <s v="Excellent"/>
    <s v="High Risk"/>
  </r>
  <r>
    <d v="2020-06-15T00:00:00"/>
    <n v="72892"/>
    <s v="Sales - Director"/>
    <s v="Sales"/>
    <s v="Director"/>
    <n v="789"/>
    <n v="5"/>
    <n v="4"/>
    <d v="1986-01-04T00:00:00"/>
    <n v="704543"/>
    <x v="0"/>
    <n v="1986"/>
    <n v="6"/>
    <n v="40"/>
    <s v="Excellent"/>
    <s v="Medium Risk"/>
  </r>
  <r>
    <d v="2020-10-01T00:00:00"/>
    <n v="67365"/>
    <s v="Strategy - Director"/>
    <s v="Strategy"/>
    <s v="Director"/>
    <n v="758"/>
    <n v="4"/>
    <n v="8"/>
    <d v="1987-10-21T00:00:00"/>
    <n v="588396"/>
    <x v="1"/>
    <n v="1987"/>
    <n v="10"/>
    <n v="39"/>
    <s v="Excellent"/>
    <s v="High Risk"/>
  </r>
  <r>
    <d v="2020-11-26T00:00:00"/>
    <n v="62523"/>
    <s v="Strategy - Executive"/>
    <s v="Strategy"/>
    <s v="Executive"/>
    <n v="738"/>
    <n v="3"/>
    <n v="1"/>
    <d v="1990-12-26T00:00:00"/>
    <n v="973676"/>
    <x v="2"/>
    <n v="1990"/>
    <n v="11"/>
    <n v="36"/>
    <s v="Good"/>
    <s v="Medium Risk"/>
  </r>
  <r>
    <d v="2020-05-07T00:00:00"/>
    <n v="84606"/>
    <s v="Operation - Executive"/>
    <s v="Operation"/>
    <s v="Executive"/>
    <n v="706"/>
    <n v="4"/>
    <n v="7"/>
    <d v="1985-03-05T00:00:00"/>
    <n v="795220"/>
    <x v="1"/>
    <n v="1985"/>
    <n v="5"/>
    <n v="41"/>
    <s v="Good"/>
    <s v="High Risk"/>
  </r>
  <r>
    <d v="2020-03-12T00:00:00"/>
    <n v="68072"/>
    <s v="Marketing - Manager"/>
    <s v="Marketing"/>
    <s v="Manager"/>
    <n v="783"/>
    <n v="3"/>
    <n v="1"/>
    <d v="1983-11-09T00:00:00"/>
    <n v="824247"/>
    <x v="2"/>
    <n v="1983"/>
    <n v="3"/>
    <n v="43"/>
    <s v="Excellent"/>
    <s v="Low Risk"/>
  </r>
  <r>
    <d v="2020-02-20T00:00:00"/>
    <n v="90908"/>
    <s v="Operation - Intern"/>
    <s v="Operation"/>
    <s v="Intern"/>
    <n v="774"/>
    <n v="4"/>
    <n v="2"/>
    <d v="1991-07-09T00:00:00"/>
    <n v="668860"/>
    <x v="2"/>
    <n v="1991"/>
    <n v="2"/>
    <n v="35"/>
    <s v="Excellent"/>
    <s v="Low Risk"/>
  </r>
  <r>
    <d v="2020-09-18T00:00:00"/>
    <n v="93314"/>
    <s v="Strategy - Manager"/>
    <s v="Strategy"/>
    <s v="Manager"/>
    <n v="709"/>
    <n v="3"/>
    <n v="7"/>
    <d v="1984-03-12T00:00:00"/>
    <n v="559191"/>
    <x v="0"/>
    <n v="1984"/>
    <n v="9"/>
    <n v="42"/>
    <s v="Good"/>
    <s v="High Risk"/>
  </r>
  <r>
    <d v="2020-02-07T00:00:00"/>
    <n v="23446"/>
    <s v="Operation - Director"/>
    <s v="Operation"/>
    <s v="Director"/>
    <n v="728"/>
    <n v="2"/>
    <n v="6"/>
    <d v="1988-12-26T00:00:00"/>
    <n v="955694"/>
    <x v="2"/>
    <n v="1988"/>
    <n v="2"/>
    <n v="38"/>
    <s v="Good"/>
    <s v="High Risk"/>
  </r>
  <r>
    <d v="2020-06-10T00:00:00"/>
    <n v="51340"/>
    <s v="Marketing - Director"/>
    <s v="Marketing"/>
    <s v="Director"/>
    <n v="791"/>
    <n v="2"/>
    <n v="4"/>
    <d v="1986-09-03T00:00:00"/>
    <n v="996288"/>
    <x v="2"/>
    <n v="1986"/>
    <n v="6"/>
    <n v="40"/>
    <s v="Excellent"/>
    <s v="Medium Risk"/>
  </r>
  <r>
    <d v="2020-12-08T00:00:00"/>
    <n v="54415"/>
    <s v="Strategy - Intern"/>
    <s v="Strategy"/>
    <s v="Intern"/>
    <n v="768"/>
    <n v="2"/>
    <n v="6"/>
    <d v="1994-10-11T00:00:00"/>
    <n v="937051"/>
    <x v="2"/>
    <n v="1994"/>
    <n v="12"/>
    <n v="32"/>
    <s v="Excellent"/>
    <s v="High Risk"/>
  </r>
  <r>
    <d v="2020-05-09T00:00:00"/>
    <n v="68804"/>
    <s v="Sales - Manager"/>
    <s v="Sales"/>
    <s v="Manager"/>
    <n v="728"/>
    <n v="1"/>
    <n v="9"/>
    <d v="1988-02-05T00:00:00"/>
    <n v="979646"/>
    <x v="1"/>
    <n v="1988"/>
    <n v="5"/>
    <n v="38"/>
    <s v="Good"/>
    <s v="High Risk"/>
  </r>
  <r>
    <d v="2020-05-17T00:00:00"/>
    <n v="73497"/>
    <s v="Growth - Intern"/>
    <s v="Growth"/>
    <s v="Intern"/>
    <n v="701"/>
    <n v="4"/>
    <n v="6"/>
    <d v="1994-03-20T00:00:00"/>
    <n v="502276"/>
    <x v="2"/>
    <n v="1994"/>
    <n v="5"/>
    <n v="32"/>
    <s v="Good"/>
    <s v="High Risk"/>
  </r>
  <r>
    <d v="2020-11-14T00:00:00"/>
    <n v="25084"/>
    <s v="Sales - Intern"/>
    <s v="Sales"/>
    <s v="Intern"/>
    <n v="710"/>
    <n v="4"/>
    <n v="8"/>
    <d v="1983-01-04T00:00:00"/>
    <n v="709198"/>
    <x v="2"/>
    <n v="1983"/>
    <n v="11"/>
    <n v="43"/>
    <s v="Good"/>
    <s v="High Risk"/>
  </r>
  <r>
    <d v="2020-10-02T00:00:00"/>
    <n v="52248"/>
    <s v="Operation - Director"/>
    <s v="Operation"/>
    <s v="Director"/>
    <n v="718"/>
    <n v="4"/>
    <n v="10"/>
    <d v="1994-11-29T00:00:00"/>
    <n v="518945"/>
    <x v="2"/>
    <n v="1994"/>
    <n v="10"/>
    <n v="32"/>
    <s v="Good"/>
    <s v="High Risk"/>
  </r>
  <r>
    <d v="2020-09-13T00:00:00"/>
    <n v="44776"/>
    <s v="Marketing - Manager"/>
    <s v="Marketing"/>
    <s v="Manager"/>
    <n v="760"/>
    <n v="3"/>
    <n v="2"/>
    <d v="1980-04-15T00:00:00"/>
    <n v="992207"/>
    <x v="1"/>
    <n v="1980"/>
    <n v="9"/>
    <n v="46"/>
    <s v="Excellent"/>
    <s v="Low Risk"/>
  </r>
  <r>
    <d v="2020-09-08T00:00:00"/>
    <n v="93333"/>
    <s v="Marketing - Director"/>
    <s v="Marketing"/>
    <s v="Director"/>
    <n v="724"/>
    <n v="4"/>
    <n v="2"/>
    <d v="1984-11-02T00:00:00"/>
    <n v="550209"/>
    <x v="1"/>
    <n v="1984"/>
    <n v="9"/>
    <n v="42"/>
    <s v="Good"/>
    <s v="Medium Risk"/>
  </r>
  <r>
    <d v="2020-04-25T00:00:00"/>
    <n v="94017"/>
    <s v="Marketing - Director"/>
    <s v="Marketing"/>
    <s v="Director"/>
    <n v="772"/>
    <n v="4"/>
    <n v="1"/>
    <d v="1984-02-11T00:00:00"/>
    <n v="717167"/>
    <x v="0"/>
    <n v="1984"/>
    <n v="4"/>
    <n v="42"/>
    <s v="Excellent"/>
    <s v="Low Risk"/>
  </r>
  <r>
    <d v="2020-09-17T00:00:00"/>
    <n v="76777"/>
    <s v="Sales - Manager"/>
    <s v="Sales"/>
    <s v="Manager"/>
    <n v="747"/>
    <n v="1"/>
    <n v="6"/>
    <d v="1989-03-17T00:00:00"/>
    <n v="851702"/>
    <x v="1"/>
    <n v="1989"/>
    <n v="9"/>
    <n v="37"/>
    <s v="Good"/>
    <s v="High Risk"/>
  </r>
  <r>
    <d v="2020-02-25T00:00:00"/>
    <n v="13962"/>
    <s v="Strategy - Intern"/>
    <s v="Strategy"/>
    <s v="Intern"/>
    <n v="728"/>
    <n v="3"/>
    <n v="1"/>
    <d v="1988-03-10T00:00:00"/>
    <n v="699753"/>
    <x v="1"/>
    <n v="1988"/>
    <n v="2"/>
    <n v="38"/>
    <s v="Good"/>
    <s v="Medium Risk"/>
  </r>
  <r>
    <d v="2020-11-21T00:00:00"/>
    <n v="25311"/>
    <s v="Operation - Executive"/>
    <s v="Operation"/>
    <s v="Executive"/>
    <n v="748"/>
    <n v="4"/>
    <n v="3"/>
    <d v="1991-11-20T00:00:00"/>
    <n v="826757"/>
    <x v="1"/>
    <n v="1991"/>
    <n v="11"/>
    <n v="35"/>
    <s v="Good"/>
    <s v="Medium Risk"/>
  </r>
  <r>
    <d v="2020-07-26T00:00:00"/>
    <n v="24638"/>
    <s v="Finance - Director"/>
    <s v="Finance"/>
    <s v="Director"/>
    <n v="779"/>
    <n v="5"/>
    <n v="7"/>
    <d v="1986-12-19T00:00:00"/>
    <n v="701070"/>
    <x v="2"/>
    <n v="1986"/>
    <n v="7"/>
    <n v="40"/>
    <s v="Excellent"/>
    <s v="High Risk"/>
  </r>
  <r>
    <d v="2020-06-08T00:00:00"/>
    <n v="24920"/>
    <s v="Growth - Executive"/>
    <s v="Growth"/>
    <s v="Executive"/>
    <n v="778"/>
    <n v="5"/>
    <n v="8"/>
    <d v="1984-08-18T00:00:00"/>
    <n v="901164"/>
    <x v="1"/>
    <n v="1984"/>
    <n v="6"/>
    <n v="42"/>
    <s v="Excellent"/>
    <s v="High Risk"/>
  </r>
  <r>
    <d v="2020-12-07T00:00:00"/>
    <n v="18601"/>
    <s v="Growth - Intern"/>
    <s v="Growth"/>
    <s v="Intern"/>
    <n v="702"/>
    <n v="2"/>
    <n v="8"/>
    <d v="1984-05-25T00:00:00"/>
    <n v="701342"/>
    <x v="2"/>
    <n v="1984"/>
    <n v="12"/>
    <n v="42"/>
    <s v="Good"/>
    <s v="High Risk"/>
  </r>
  <r>
    <d v="2020-04-01T00:00:00"/>
    <n v="47369"/>
    <s v="Sales - Executive"/>
    <s v="Sales"/>
    <s v="Executive"/>
    <n v="748"/>
    <n v="5"/>
    <n v="9"/>
    <d v="1981-11-19T00:00:00"/>
    <n v="936650"/>
    <x v="0"/>
    <n v="1981"/>
    <n v="4"/>
    <n v="45"/>
    <s v="Good"/>
    <s v="High Risk"/>
  </r>
  <r>
    <d v="2020-04-27T00:00:00"/>
    <n v="25737"/>
    <s v="Strategy - Intern"/>
    <s v="Strategy"/>
    <s v="Intern"/>
    <n v="732"/>
    <n v="3"/>
    <n v="9"/>
    <d v="1986-06-01T00:00:00"/>
    <n v="805788"/>
    <x v="2"/>
    <n v="1986"/>
    <n v="4"/>
    <n v="40"/>
    <s v="Good"/>
    <s v="High Risk"/>
  </r>
  <r>
    <d v="2020-08-19T00:00:00"/>
    <n v="66512"/>
    <s v="Marketing - Manager"/>
    <s v="Marketing"/>
    <s v="Manager"/>
    <n v="721"/>
    <n v="2"/>
    <n v="1"/>
    <d v="1984-02-19T00:00:00"/>
    <n v="995024"/>
    <x v="2"/>
    <n v="1984"/>
    <n v="8"/>
    <n v="42"/>
    <s v="Good"/>
    <s v="Medium Risk"/>
  </r>
  <r>
    <d v="2020-06-29T00:00:00"/>
    <n v="12037"/>
    <s v="Finance - Executive"/>
    <s v="Finance"/>
    <s v="Executive"/>
    <n v="775"/>
    <n v="2"/>
    <n v="8"/>
    <d v="1989-12-27T00:00:00"/>
    <n v="539159"/>
    <x v="2"/>
    <n v="1989"/>
    <n v="6"/>
    <n v="37"/>
    <s v="Excellent"/>
    <s v="High Risk"/>
  </r>
  <r>
    <d v="2020-04-19T00:00:00"/>
    <n v="16734"/>
    <s v="Sales - Intern"/>
    <s v="Sales"/>
    <s v="Intern"/>
    <n v="706"/>
    <n v="4"/>
    <n v="4"/>
    <d v="1980-10-20T00:00:00"/>
    <n v="907385"/>
    <x v="2"/>
    <n v="1980"/>
    <n v="4"/>
    <n v="46"/>
    <s v="Good"/>
    <s v="Medium Risk"/>
  </r>
  <r>
    <d v="2020-08-05T00:00:00"/>
    <n v="70828"/>
    <s v="Finance - Manager"/>
    <s v="Finance"/>
    <s v="Manager"/>
    <n v="780"/>
    <n v="4"/>
    <n v="10"/>
    <d v="1986-11-11T00:00:00"/>
    <n v="649264"/>
    <x v="1"/>
    <n v="1986"/>
    <n v="8"/>
    <n v="40"/>
    <s v="Excellent"/>
    <s v="High Risk"/>
  </r>
  <r>
    <d v="2020-11-18T00:00:00"/>
    <n v="65304"/>
    <s v="Strategy - Manager"/>
    <s v="Strategy"/>
    <s v="Manager"/>
    <n v="721"/>
    <n v="3"/>
    <n v="6"/>
    <d v="1983-05-25T00:00:00"/>
    <n v="858624"/>
    <x v="0"/>
    <n v="1983"/>
    <n v="11"/>
    <n v="43"/>
    <s v="Good"/>
    <s v="High Risk"/>
  </r>
  <r>
    <d v="2020-06-13T00:00:00"/>
    <n v="56750"/>
    <s v="Sales - Manager"/>
    <s v="Sales"/>
    <s v="Manager"/>
    <n v="717"/>
    <n v="2"/>
    <n v="1"/>
    <d v="1994-03-04T00:00:00"/>
    <n v="581915"/>
    <x v="2"/>
    <n v="1994"/>
    <n v="6"/>
    <n v="32"/>
    <s v="Good"/>
    <s v="Medium Risk"/>
  </r>
  <r>
    <d v="2020-05-27T00:00:00"/>
    <n v="93695"/>
    <s v="Finance - Director"/>
    <s v="Finance"/>
    <s v="Director"/>
    <n v="742"/>
    <n v="4"/>
    <n v="2"/>
    <d v="1982-10-13T00:00:00"/>
    <n v="920501"/>
    <x v="2"/>
    <n v="1982"/>
    <n v="5"/>
    <n v="44"/>
    <s v="Good"/>
    <s v="Medium Risk"/>
  </r>
  <r>
    <d v="2020-11-16T00:00:00"/>
    <n v="50920"/>
    <s v="Strategy - Director"/>
    <s v="Strategy"/>
    <s v="Director"/>
    <n v="707"/>
    <n v="1"/>
    <n v="5"/>
    <d v="1989-10-30T00:00:00"/>
    <n v="577254"/>
    <x v="2"/>
    <n v="1989"/>
    <n v="11"/>
    <n v="37"/>
    <s v="Good"/>
    <s v="Medium Risk"/>
  </r>
  <r>
    <d v="2020-05-05T00:00:00"/>
    <n v="75985"/>
    <s v="Growth - Intern"/>
    <s v="Growth"/>
    <s v="Intern"/>
    <n v="754"/>
    <n v="2"/>
    <n v="7"/>
    <d v="1984-09-22T00:00:00"/>
    <n v="658749"/>
    <x v="1"/>
    <n v="1984"/>
    <n v="5"/>
    <n v="42"/>
    <s v="Excellent"/>
    <s v="High Risk"/>
  </r>
  <r>
    <d v="2020-12-06T00:00:00"/>
    <n v="47600"/>
    <s v="Sales - Director"/>
    <s v="Sales"/>
    <s v="Director"/>
    <n v="786"/>
    <n v="1"/>
    <n v="3"/>
    <d v="1983-09-06T00:00:00"/>
    <n v="629181"/>
    <x v="0"/>
    <n v="1983"/>
    <n v="12"/>
    <n v="43"/>
    <s v="Excellent"/>
    <s v="Medium Risk"/>
  </r>
  <r>
    <d v="2020-05-02T00:00:00"/>
    <n v="47831"/>
    <s v="Operation - Intern"/>
    <s v="Operation"/>
    <s v="Intern"/>
    <n v="701"/>
    <n v="5"/>
    <n v="5"/>
    <d v="1991-09-19T00:00:00"/>
    <n v="755674"/>
    <x v="0"/>
    <n v="1991"/>
    <n v="5"/>
    <n v="35"/>
    <s v="Good"/>
    <s v="Medium Risk"/>
  </r>
  <r>
    <d v="2020-03-06T00:00:00"/>
    <n v="65776"/>
    <s v="Sales - Executive"/>
    <s v="Sales"/>
    <s v="Executive"/>
    <n v="777"/>
    <n v="5"/>
    <n v="5"/>
    <d v="1985-08-10T00:00:00"/>
    <n v="937733"/>
    <x v="1"/>
    <n v="1985"/>
    <n v="3"/>
    <n v="41"/>
    <s v="Excellent"/>
    <s v="Medium Risk"/>
  </r>
  <r>
    <d v="2020-06-22T00:00:00"/>
    <n v="45142"/>
    <s v="Sales - Intern"/>
    <s v="Sales"/>
    <s v="Intern"/>
    <n v="730"/>
    <n v="2"/>
    <n v="4"/>
    <d v="1993-01-17T00:00:00"/>
    <n v="790012"/>
    <x v="2"/>
    <n v="1993"/>
    <n v="6"/>
    <n v="33"/>
    <s v="Good"/>
    <s v="Medium Risk"/>
  </r>
  <r>
    <d v="2020-05-29T00:00:00"/>
    <n v="31489"/>
    <s v="Sales - Intern"/>
    <s v="Sales"/>
    <s v="Intern"/>
    <n v="735"/>
    <n v="5"/>
    <n v="1"/>
    <d v="1992-01-02T00:00:00"/>
    <n v="675858"/>
    <x v="2"/>
    <n v="1992"/>
    <n v="5"/>
    <n v="34"/>
    <s v="Good"/>
    <s v="Medium Risk"/>
  </r>
  <r>
    <d v="2020-05-23T00:00:00"/>
    <n v="63373"/>
    <s v="Sales - Director"/>
    <s v="Sales"/>
    <s v="Director"/>
    <n v="702"/>
    <n v="1"/>
    <n v="2"/>
    <d v="1985-04-11T00:00:00"/>
    <n v="597273"/>
    <x v="0"/>
    <n v="1985"/>
    <n v="5"/>
    <n v="41"/>
    <s v="Good"/>
    <s v="Medium Risk"/>
  </r>
  <r>
    <d v="2020-04-26T00:00:00"/>
    <n v="94111"/>
    <s v="Marketing - Manager"/>
    <s v="Marketing"/>
    <s v="Manager"/>
    <n v="794"/>
    <n v="3"/>
    <n v="2"/>
    <d v="1985-04-15T00:00:00"/>
    <n v="675347"/>
    <x v="1"/>
    <n v="1985"/>
    <n v="4"/>
    <n v="41"/>
    <s v="Excellent"/>
    <s v="Low Risk"/>
  </r>
  <r>
    <d v="2020-06-08T00:00:00"/>
    <n v="73017"/>
    <s v="Sales - Manager"/>
    <s v="Sales"/>
    <s v="Manager"/>
    <n v="702"/>
    <n v="3"/>
    <n v="6"/>
    <d v="1984-10-12T00:00:00"/>
    <n v="780960"/>
    <x v="1"/>
    <n v="1984"/>
    <n v="6"/>
    <n v="42"/>
    <s v="Good"/>
    <s v="High Risk"/>
  </r>
  <r>
    <d v="2020-04-07T00:00:00"/>
    <n v="92852"/>
    <s v="Growth - Director"/>
    <s v="Growth"/>
    <s v="Director"/>
    <n v="701"/>
    <n v="4"/>
    <n v="1"/>
    <d v="1988-11-28T00:00:00"/>
    <n v="976983"/>
    <x v="2"/>
    <n v="1988"/>
    <n v="4"/>
    <n v="38"/>
    <s v="Good"/>
    <s v="Medium Risk"/>
  </r>
  <r>
    <d v="2020-07-15T00:00:00"/>
    <n v="48555"/>
    <s v="Sales - Intern"/>
    <s v="Sales"/>
    <s v="Intern"/>
    <n v="727"/>
    <n v="1"/>
    <n v="1"/>
    <d v="1982-12-23T00:00:00"/>
    <n v="791998"/>
    <x v="0"/>
    <n v="1982"/>
    <n v="7"/>
    <n v="44"/>
    <s v="Good"/>
    <s v="Medium Risk"/>
  </r>
  <r>
    <d v="2020-04-26T00:00:00"/>
    <n v="33025"/>
    <s v="Marketing - Manager"/>
    <s v="Marketing"/>
    <s v="Manager"/>
    <n v="720"/>
    <n v="5"/>
    <n v="5"/>
    <d v="1989-10-29T00:00:00"/>
    <n v="985846"/>
    <x v="0"/>
    <n v="1989"/>
    <n v="4"/>
    <n v="37"/>
    <s v="Good"/>
    <s v="Medium Risk"/>
  </r>
  <r>
    <d v="2020-09-12T00:00:00"/>
    <n v="85377"/>
    <s v="Growth - Intern"/>
    <s v="Growth"/>
    <s v="Intern"/>
    <n v="794"/>
    <n v="1"/>
    <n v="1"/>
    <d v="1991-08-24T00:00:00"/>
    <n v="748644"/>
    <x v="1"/>
    <n v="1991"/>
    <n v="9"/>
    <n v="35"/>
    <s v="Excellent"/>
    <s v="Low Risk"/>
  </r>
  <r>
    <d v="2020-09-24T00:00:00"/>
    <n v="32109"/>
    <s v="Operation - Intern"/>
    <s v="Operation"/>
    <s v="Intern"/>
    <n v="756"/>
    <n v="4"/>
    <n v="6"/>
    <d v="1985-07-05T00:00:00"/>
    <n v="988754"/>
    <x v="2"/>
    <n v="1985"/>
    <n v="9"/>
    <n v="41"/>
    <s v="Excellent"/>
    <s v="High Risk"/>
  </r>
  <r>
    <d v="2020-10-11T00:00:00"/>
    <n v="33024"/>
    <s v="Operation - Intern"/>
    <s v="Operation"/>
    <s v="Intern"/>
    <n v="759"/>
    <n v="5"/>
    <n v="3"/>
    <d v="1984-09-23T00:00:00"/>
    <n v="774185"/>
    <x v="0"/>
    <n v="1984"/>
    <n v="10"/>
    <n v="42"/>
    <s v="Excellent"/>
    <s v="Medium Risk"/>
  </r>
  <r>
    <d v="2020-05-13T00:00:00"/>
    <n v="56492"/>
    <s v="Sales - Manager"/>
    <s v="Sales"/>
    <s v="Manager"/>
    <n v="738"/>
    <n v="3"/>
    <n v="7"/>
    <d v="1984-01-03T00:00:00"/>
    <n v="581204"/>
    <x v="0"/>
    <n v="1984"/>
    <n v="5"/>
    <n v="42"/>
    <s v="Good"/>
    <s v="High Risk"/>
  </r>
  <r>
    <d v="2020-09-08T00:00:00"/>
    <n v="26996"/>
    <s v="Finance - Intern"/>
    <s v="Finance"/>
    <s v="Intern"/>
    <n v="743"/>
    <n v="5"/>
    <n v="7"/>
    <d v="1991-01-26T00:00:00"/>
    <n v="730063"/>
    <x v="0"/>
    <n v="1991"/>
    <n v="9"/>
    <n v="35"/>
    <s v="Good"/>
    <s v="High Risk"/>
  </r>
  <r>
    <d v="2020-08-29T00:00:00"/>
    <n v="74602"/>
    <s v="Operation - Manager"/>
    <s v="Operation"/>
    <s v="Manager"/>
    <n v="749"/>
    <n v="1"/>
    <n v="8"/>
    <d v="1990-10-18T00:00:00"/>
    <n v="552345"/>
    <x v="0"/>
    <n v="1990"/>
    <n v="8"/>
    <n v="36"/>
    <s v="Good"/>
    <s v="High Risk"/>
  </r>
  <r>
    <d v="2020-08-26T00:00:00"/>
    <n v="93694"/>
    <s v="Sales - Executive"/>
    <s v="Sales"/>
    <s v="Executive"/>
    <n v="745"/>
    <n v="5"/>
    <n v="10"/>
    <d v="1987-01-06T00:00:00"/>
    <n v="601147"/>
    <x v="1"/>
    <n v="1987"/>
    <n v="8"/>
    <n v="39"/>
    <s v="Good"/>
    <s v="High Risk"/>
  </r>
  <r>
    <d v="2020-10-17T00:00:00"/>
    <n v="73290"/>
    <s v="Strategy - Director"/>
    <s v="Strategy"/>
    <s v="Director"/>
    <n v="701"/>
    <n v="3"/>
    <n v="4"/>
    <d v="1993-02-05T00:00:00"/>
    <n v="799929"/>
    <x v="2"/>
    <n v="1993"/>
    <n v="10"/>
    <n v="33"/>
    <s v="Good"/>
    <s v="Medium Risk"/>
  </r>
  <r>
    <d v="2020-10-03T00:00:00"/>
    <n v="21126"/>
    <s v="Growth - Manager"/>
    <s v="Growth"/>
    <s v="Manager"/>
    <n v="788"/>
    <n v="3"/>
    <n v="9"/>
    <d v="1986-03-14T00:00:00"/>
    <n v="660011"/>
    <x v="2"/>
    <n v="1986"/>
    <n v="10"/>
    <n v="40"/>
    <s v="Excellent"/>
    <s v="High Risk"/>
  </r>
  <r>
    <d v="2020-06-22T00:00:00"/>
    <n v="52113"/>
    <s v="Marketing - Executive"/>
    <s v="Marketing"/>
    <s v="Executive"/>
    <n v="797"/>
    <n v="5"/>
    <n v="3"/>
    <d v="1986-12-22T00:00:00"/>
    <n v="773951"/>
    <x v="2"/>
    <n v="1986"/>
    <n v="6"/>
    <n v="40"/>
    <s v="Excellent"/>
    <s v="Medium Risk"/>
  </r>
  <r>
    <d v="2020-10-07T00:00:00"/>
    <n v="85030"/>
    <s v="Finance - Executive"/>
    <s v="Finance"/>
    <s v="Executive"/>
    <n v="791"/>
    <n v="4"/>
    <n v="8"/>
    <d v="1988-11-15T00:00:00"/>
    <n v="514612"/>
    <x v="2"/>
    <n v="1988"/>
    <n v="10"/>
    <n v="38"/>
    <s v="Excellent"/>
    <s v="High Risk"/>
  </r>
  <r>
    <d v="2020-10-09T00:00:00"/>
    <n v="37637"/>
    <s v="Growth - Executive"/>
    <s v="Growth"/>
    <s v="Executive"/>
    <n v="704"/>
    <n v="4"/>
    <n v="10"/>
    <d v="1987-10-27T00:00:00"/>
    <n v="693106"/>
    <x v="0"/>
    <n v="1987"/>
    <n v="10"/>
    <n v="39"/>
    <s v="Good"/>
    <s v="High Risk"/>
  </r>
  <r>
    <d v="2020-08-16T00:00:00"/>
    <n v="71901"/>
    <s v="Finance - Intern"/>
    <s v="Finance"/>
    <s v="Intern"/>
    <n v="786"/>
    <n v="4"/>
    <n v="6"/>
    <d v="1987-10-14T00:00:00"/>
    <n v="588495"/>
    <x v="2"/>
    <n v="1987"/>
    <n v="8"/>
    <n v="39"/>
    <s v="Excellent"/>
    <s v="High Risk"/>
  </r>
  <r>
    <d v="2020-02-21T00:00:00"/>
    <n v="85468"/>
    <s v="Operation - Executive"/>
    <s v="Operation"/>
    <s v="Executive"/>
    <n v="749"/>
    <n v="5"/>
    <n v="6"/>
    <d v="1981-08-16T00:00:00"/>
    <n v="719399"/>
    <x v="1"/>
    <n v="1981"/>
    <n v="2"/>
    <n v="45"/>
    <s v="Good"/>
    <s v="High Risk"/>
  </r>
  <r>
    <d v="2020-02-16T00:00:00"/>
    <n v="57336"/>
    <s v="Operation - Executive"/>
    <s v="Operation"/>
    <s v="Executive"/>
    <n v="779"/>
    <n v="5"/>
    <n v="10"/>
    <d v="1982-08-21T00:00:00"/>
    <n v="560702"/>
    <x v="0"/>
    <n v="1982"/>
    <n v="2"/>
    <n v="44"/>
    <s v="Excellent"/>
    <s v="High Risk"/>
  </r>
  <r>
    <d v="2020-03-22T00:00:00"/>
    <n v="27308"/>
    <s v="Strategy - Intern"/>
    <s v="Strategy"/>
    <s v="Intern"/>
    <n v="752"/>
    <n v="2"/>
    <n v="5"/>
    <d v="1986-01-14T00:00:00"/>
    <n v="560996"/>
    <x v="0"/>
    <n v="1986"/>
    <n v="3"/>
    <n v="40"/>
    <s v="Excellent"/>
    <s v="Medium Risk"/>
  </r>
  <r>
    <d v="2020-06-06T00:00:00"/>
    <n v="77929"/>
    <s v="Finance - Intern"/>
    <s v="Finance"/>
    <s v="Intern"/>
    <n v="721"/>
    <n v="5"/>
    <n v="3"/>
    <d v="1987-09-21T00:00:00"/>
    <n v="896645"/>
    <x v="2"/>
    <n v="1987"/>
    <n v="6"/>
    <n v="39"/>
    <s v="Good"/>
    <s v="Medium Risk"/>
  </r>
  <r>
    <d v="2020-11-02T00:00:00"/>
    <n v="17824"/>
    <s v="Growth - Intern"/>
    <s v="Growth"/>
    <s v="Intern"/>
    <n v="781"/>
    <n v="5"/>
    <n v="4"/>
    <d v="1983-05-26T00:00:00"/>
    <n v="745179"/>
    <x v="2"/>
    <n v="1983"/>
    <n v="11"/>
    <n v="43"/>
    <s v="Excellent"/>
    <s v="Medium Risk"/>
  </r>
  <r>
    <d v="2020-04-01T00:00:00"/>
    <n v="16626"/>
    <s v="Finance - Manager"/>
    <s v="Finance"/>
    <s v="Manager"/>
    <n v="711"/>
    <n v="3"/>
    <n v="4"/>
    <d v="1985-10-01T00:00:00"/>
    <n v="566242"/>
    <x v="1"/>
    <n v="1985"/>
    <n v="4"/>
    <n v="41"/>
    <s v="Good"/>
    <s v="Medium Risk"/>
  </r>
  <r>
    <d v="2020-11-06T00:00:00"/>
    <n v="23341"/>
    <s v="Strategy - Director"/>
    <s v="Strategy"/>
    <s v="Director"/>
    <n v="723"/>
    <n v="5"/>
    <n v="7"/>
    <d v="1985-08-09T00:00:00"/>
    <n v="566764"/>
    <x v="1"/>
    <n v="1985"/>
    <n v="11"/>
    <n v="41"/>
    <s v="Good"/>
    <s v="High Risk"/>
  </r>
  <r>
    <d v="2020-08-07T00:00:00"/>
    <n v="65397"/>
    <s v="Marketing - Director"/>
    <s v="Marketing"/>
    <s v="Director"/>
    <n v="767"/>
    <n v="4"/>
    <n v="1"/>
    <d v="1982-07-16T00:00:00"/>
    <n v="975822"/>
    <x v="0"/>
    <n v="1982"/>
    <n v="8"/>
    <n v="44"/>
    <s v="Excellent"/>
    <s v="Low Risk"/>
  </r>
  <r>
    <d v="2020-11-08T00:00:00"/>
    <n v="54400"/>
    <s v="Marketing - Director"/>
    <s v="Marketing"/>
    <s v="Director"/>
    <n v="754"/>
    <n v="1"/>
    <n v="10"/>
    <d v="1984-04-08T00:00:00"/>
    <n v="675139"/>
    <x v="2"/>
    <n v="1984"/>
    <n v="11"/>
    <n v="42"/>
    <s v="Excellent"/>
    <s v="High Risk"/>
  </r>
  <r>
    <d v="2020-04-28T00:00:00"/>
    <n v="88756"/>
    <s v="Growth - Executive"/>
    <s v="Growth"/>
    <s v="Executive"/>
    <n v="782"/>
    <n v="1"/>
    <n v="5"/>
    <d v="1993-09-19T00:00:00"/>
    <n v="812143"/>
    <x v="1"/>
    <n v="1993"/>
    <n v="4"/>
    <n v="33"/>
    <s v="Excellent"/>
    <s v="Medium Risk"/>
  </r>
  <r>
    <d v="2020-11-15T00:00:00"/>
    <n v="13872"/>
    <s v="Strategy - Manager"/>
    <s v="Strategy"/>
    <s v="Manager"/>
    <n v="749"/>
    <n v="4"/>
    <n v="9"/>
    <d v="1981-02-16T00:00:00"/>
    <n v="513168"/>
    <x v="1"/>
    <n v="1981"/>
    <n v="11"/>
    <n v="45"/>
    <s v="Good"/>
    <s v="High Risk"/>
  </r>
  <r>
    <d v="2020-02-26T00:00:00"/>
    <n v="67423"/>
    <s v="Sales - Intern"/>
    <s v="Sales"/>
    <s v="Intern"/>
    <n v="707"/>
    <n v="2"/>
    <n v="6"/>
    <d v="1994-08-05T00:00:00"/>
    <n v="651523"/>
    <x v="0"/>
    <n v="1994"/>
    <n v="2"/>
    <n v="32"/>
    <s v="Good"/>
    <s v="High Risk"/>
  </r>
  <r>
    <d v="2020-04-04T00:00:00"/>
    <n v="22986"/>
    <s v="Growth - Intern"/>
    <s v="Growth"/>
    <s v="Intern"/>
    <n v="773"/>
    <n v="1"/>
    <n v="6"/>
    <d v="1990-07-05T00:00:00"/>
    <n v="958742"/>
    <x v="1"/>
    <n v="1990"/>
    <n v="4"/>
    <n v="36"/>
    <s v="Excellent"/>
    <s v="High Risk"/>
  </r>
  <r>
    <d v="2020-01-04T00:00:00"/>
    <n v="93329"/>
    <s v="Strategy - Intern"/>
    <s v="Strategy"/>
    <s v="Intern"/>
    <n v="780"/>
    <n v="5"/>
    <n v="2"/>
    <d v="1980-06-02T00:00:00"/>
    <n v="501611"/>
    <x v="0"/>
    <n v="1980"/>
    <n v="1"/>
    <n v="46"/>
    <s v="Excellent"/>
    <s v="Low Risk"/>
  </r>
  <r>
    <d v="2020-05-24T00:00:00"/>
    <n v="32818"/>
    <s v="Growth - Manager"/>
    <s v="Growth"/>
    <s v="Manager"/>
    <n v="721"/>
    <n v="4"/>
    <n v="8"/>
    <d v="1990-12-29T00:00:00"/>
    <n v="913989"/>
    <x v="0"/>
    <n v="1990"/>
    <n v="5"/>
    <n v="36"/>
    <s v="Good"/>
    <s v="High Risk"/>
  </r>
  <r>
    <d v="2020-09-02T00:00:00"/>
    <n v="68286"/>
    <s v="Finance - Director"/>
    <s v="Finance"/>
    <s v="Director"/>
    <n v="782"/>
    <n v="5"/>
    <n v="9"/>
    <d v="1982-02-21T00:00:00"/>
    <n v="860088"/>
    <x v="0"/>
    <n v="1982"/>
    <n v="9"/>
    <n v="44"/>
    <s v="Excellent"/>
    <s v="High Risk"/>
  </r>
  <r>
    <d v="2020-01-01T00:00:00"/>
    <n v="81971"/>
    <s v="Sales - Intern"/>
    <s v="Sales"/>
    <s v="Intern"/>
    <n v="737"/>
    <n v="2"/>
    <n v="8"/>
    <d v="1986-07-14T00:00:00"/>
    <n v="949805"/>
    <x v="1"/>
    <n v="1986"/>
    <n v="1"/>
    <n v="40"/>
    <s v="Good"/>
    <s v="High Risk"/>
  </r>
  <r>
    <d v="2020-03-21T00:00:00"/>
    <n v="20146"/>
    <s v="Growth - Director"/>
    <s v="Growth"/>
    <s v="Director"/>
    <n v="775"/>
    <n v="4"/>
    <n v="7"/>
    <d v="1985-01-16T00:00:00"/>
    <n v="956480"/>
    <x v="1"/>
    <n v="1985"/>
    <n v="3"/>
    <n v="41"/>
    <s v="Excellent"/>
    <s v="High Risk"/>
  </r>
  <r>
    <d v="2020-05-02T00:00:00"/>
    <n v="63506"/>
    <s v="Sales - Executive"/>
    <s v="Sales"/>
    <s v="Executive"/>
    <n v="705"/>
    <n v="4"/>
    <n v="9"/>
    <d v="1987-07-14T00:00:00"/>
    <n v="981173"/>
    <x v="2"/>
    <n v="1987"/>
    <n v="5"/>
    <n v="39"/>
    <s v="Good"/>
    <s v="High Risk"/>
  </r>
  <r>
    <d v="2020-01-22T00:00:00"/>
    <n v="45428"/>
    <s v="Growth - Executive"/>
    <s v="Growth"/>
    <s v="Executive"/>
    <n v="782"/>
    <n v="5"/>
    <n v="3"/>
    <d v="1982-04-15T00:00:00"/>
    <n v="616349"/>
    <x v="0"/>
    <n v="1982"/>
    <n v="1"/>
    <n v="44"/>
    <s v="Excellent"/>
    <s v="Medium Risk"/>
  </r>
  <r>
    <d v="2020-08-17T00:00:00"/>
    <n v="86462"/>
    <s v="Sales - Manager"/>
    <s v="Sales"/>
    <s v="Manager"/>
    <n v="701"/>
    <n v="1"/>
    <n v="8"/>
    <d v="1987-07-21T00:00:00"/>
    <n v="916244"/>
    <x v="1"/>
    <n v="1987"/>
    <n v="8"/>
    <n v="39"/>
    <s v="Good"/>
    <s v="High Risk"/>
  </r>
  <r>
    <d v="2020-03-20T00:00:00"/>
    <n v="30763"/>
    <s v="Operation - Manager"/>
    <s v="Operation"/>
    <s v="Manager"/>
    <n v="747"/>
    <n v="2"/>
    <n v="2"/>
    <d v="1993-04-23T00:00:00"/>
    <n v="865981"/>
    <x v="0"/>
    <n v="1993"/>
    <n v="3"/>
    <n v="33"/>
    <s v="Good"/>
    <s v="Medium Risk"/>
  </r>
  <r>
    <d v="2020-11-12T00:00:00"/>
    <n v="10594"/>
    <s v="Operation - Manager"/>
    <s v="Operation"/>
    <s v="Manager"/>
    <n v="764"/>
    <n v="4"/>
    <n v="10"/>
    <d v="1985-03-23T00:00:00"/>
    <n v="605195"/>
    <x v="1"/>
    <n v="1985"/>
    <n v="11"/>
    <n v="41"/>
    <s v="Excellent"/>
    <s v="High Risk"/>
  </r>
  <r>
    <d v="2020-05-02T00:00:00"/>
    <n v="37893"/>
    <s v="Growth - Intern"/>
    <s v="Growth"/>
    <s v="Intern"/>
    <n v="780"/>
    <n v="5"/>
    <n v="9"/>
    <d v="1993-11-17T00:00:00"/>
    <n v="544939"/>
    <x v="2"/>
    <n v="1993"/>
    <n v="5"/>
    <n v="33"/>
    <s v="Excellent"/>
    <s v="High Risk"/>
  </r>
  <r>
    <d v="2020-01-12T00:00:00"/>
    <n v="35349"/>
    <s v="Strategy - Director"/>
    <s v="Strategy"/>
    <s v="Director"/>
    <n v="785"/>
    <n v="1"/>
    <n v="5"/>
    <d v="1985-02-13T00:00:00"/>
    <n v="908893"/>
    <x v="2"/>
    <n v="1985"/>
    <n v="1"/>
    <n v="41"/>
    <s v="Excellent"/>
    <s v="Medium Risk"/>
  </r>
  <r>
    <d v="2020-05-14T00:00:00"/>
    <n v="50662"/>
    <s v="Growth - Manager"/>
    <s v="Growth"/>
    <s v="Manager"/>
    <n v="756"/>
    <n v="4"/>
    <n v="5"/>
    <d v="1992-06-29T00:00:00"/>
    <n v="727711"/>
    <x v="1"/>
    <n v="1992"/>
    <n v="5"/>
    <n v="34"/>
    <s v="Excellent"/>
    <s v="Medium Risk"/>
  </r>
  <r>
    <d v="2020-07-08T00:00:00"/>
    <n v="60718"/>
    <s v="Sales - Executive"/>
    <s v="Sales"/>
    <s v="Executive"/>
    <n v="704"/>
    <n v="2"/>
    <n v="3"/>
    <d v="1994-06-08T00:00:00"/>
    <n v="742117"/>
    <x v="0"/>
    <n v="1994"/>
    <n v="7"/>
    <n v="32"/>
    <s v="Good"/>
    <s v="Medium Risk"/>
  </r>
  <r>
    <d v="2020-06-28T00:00:00"/>
    <n v="94341"/>
    <s v="Sales - Director"/>
    <s v="Sales"/>
    <s v="Director"/>
    <n v="747"/>
    <n v="2"/>
    <n v="10"/>
    <d v="1981-06-01T00:00:00"/>
    <n v="980054"/>
    <x v="2"/>
    <n v="1981"/>
    <n v="6"/>
    <n v="45"/>
    <s v="Good"/>
    <s v="High Risk"/>
  </r>
  <r>
    <d v="2020-03-14T00:00:00"/>
    <n v="69843"/>
    <s v="Strategy - Manager"/>
    <s v="Strategy"/>
    <s v="Manager"/>
    <n v="704"/>
    <n v="2"/>
    <n v="1"/>
    <d v="1983-06-18T00:00:00"/>
    <n v="564431"/>
    <x v="0"/>
    <n v="1983"/>
    <n v="3"/>
    <n v="43"/>
    <s v="Good"/>
    <s v="Medium Risk"/>
  </r>
  <r>
    <d v="2020-04-13T00:00:00"/>
    <n v="16301"/>
    <s v="Strategy - Executive"/>
    <s v="Strategy"/>
    <s v="Executive"/>
    <n v="754"/>
    <n v="2"/>
    <n v="10"/>
    <d v="1984-11-18T00:00:00"/>
    <n v="510077"/>
    <x v="1"/>
    <n v="1984"/>
    <n v="4"/>
    <n v="42"/>
    <s v="Excellent"/>
    <s v="High Risk"/>
  </r>
  <r>
    <d v="2020-10-06T00:00:00"/>
    <n v="36271"/>
    <s v="Sales - Director"/>
    <s v="Sales"/>
    <s v="Director"/>
    <n v="783"/>
    <n v="3"/>
    <n v="1"/>
    <d v="1987-12-29T00:00:00"/>
    <n v="763053"/>
    <x v="0"/>
    <n v="1987"/>
    <n v="10"/>
    <n v="39"/>
    <s v="Excellent"/>
    <s v="Low Risk"/>
  </r>
  <r>
    <d v="2020-05-14T00:00:00"/>
    <n v="52014"/>
    <s v="Marketing - Director"/>
    <s v="Marketing"/>
    <s v="Director"/>
    <n v="769"/>
    <n v="2"/>
    <n v="8"/>
    <d v="1990-02-16T00:00:00"/>
    <n v="697289"/>
    <x v="2"/>
    <n v="1990"/>
    <n v="5"/>
    <n v="36"/>
    <s v="Excellent"/>
    <s v="High Risk"/>
  </r>
  <r>
    <d v="2020-07-21T00:00:00"/>
    <n v="40231"/>
    <s v="Finance - Director"/>
    <s v="Finance"/>
    <s v="Director"/>
    <n v="727"/>
    <n v="1"/>
    <n v="2"/>
    <d v="1983-08-21T00:00:00"/>
    <n v="926458"/>
    <x v="0"/>
    <n v="1983"/>
    <n v="7"/>
    <n v="43"/>
    <s v="Good"/>
    <s v="Medium Risk"/>
  </r>
  <r>
    <d v="2020-10-26T00:00:00"/>
    <n v="90401"/>
    <s v="Finance - Executive"/>
    <s v="Finance"/>
    <s v="Executive"/>
    <n v="788"/>
    <n v="4"/>
    <n v="4"/>
    <d v="1993-05-22T00:00:00"/>
    <n v="541072"/>
    <x v="1"/>
    <n v="1993"/>
    <n v="10"/>
    <n v="33"/>
    <s v="Excellent"/>
    <s v="Medium Risk"/>
  </r>
  <r>
    <d v="2020-03-09T00:00:00"/>
    <n v="45815"/>
    <s v="Operation - Director"/>
    <s v="Operation"/>
    <s v="Director"/>
    <n v="766"/>
    <n v="4"/>
    <n v="3"/>
    <d v="1986-12-01T00:00:00"/>
    <n v="929726"/>
    <x v="2"/>
    <n v="1986"/>
    <n v="3"/>
    <n v="40"/>
    <s v="Excellent"/>
    <s v="Medium Risk"/>
  </r>
  <r>
    <d v="2020-07-23T00:00:00"/>
    <n v="98390"/>
    <s v="Strategy - Intern"/>
    <s v="Strategy"/>
    <s v="Intern"/>
    <n v="752"/>
    <n v="2"/>
    <n v="5"/>
    <d v="1981-09-06T00:00:00"/>
    <n v="570686"/>
    <x v="2"/>
    <n v="1981"/>
    <n v="7"/>
    <n v="45"/>
    <s v="Excellent"/>
    <s v="Medium Risk"/>
  </r>
  <r>
    <d v="2020-02-03T00:00:00"/>
    <n v="19699"/>
    <s v="Strategy - Director"/>
    <s v="Strategy"/>
    <s v="Director"/>
    <n v="728"/>
    <n v="3"/>
    <n v="8"/>
    <d v="1986-06-05T00:00:00"/>
    <n v="725775"/>
    <x v="2"/>
    <n v="1986"/>
    <n v="2"/>
    <n v="40"/>
    <s v="Good"/>
    <s v="High Risk"/>
  </r>
  <r>
    <d v="2020-02-12T00:00:00"/>
    <n v="55935"/>
    <s v="Finance - Intern"/>
    <s v="Finance"/>
    <s v="Intern"/>
    <n v="746"/>
    <n v="1"/>
    <n v="9"/>
    <d v="1990-04-16T00:00:00"/>
    <n v="508324"/>
    <x v="2"/>
    <n v="1990"/>
    <n v="2"/>
    <n v="36"/>
    <s v="Good"/>
    <s v="High Risk"/>
  </r>
  <r>
    <d v="2020-01-31T00:00:00"/>
    <n v="29979"/>
    <s v="Marketing - Executive"/>
    <s v="Marketing"/>
    <s v="Executive"/>
    <n v="759"/>
    <n v="4"/>
    <n v="9"/>
    <d v="1984-05-16T00:00:00"/>
    <n v="721137"/>
    <x v="0"/>
    <n v="1984"/>
    <n v="1"/>
    <n v="42"/>
    <s v="Excellent"/>
    <s v="High Risk"/>
  </r>
  <r>
    <d v="2020-08-15T00:00:00"/>
    <n v="14973"/>
    <s v="Sales - Executive"/>
    <s v="Sales"/>
    <s v="Executive"/>
    <n v="747"/>
    <n v="3"/>
    <n v="1"/>
    <d v="1980-02-03T00:00:00"/>
    <n v="668710"/>
    <x v="1"/>
    <n v="1980"/>
    <n v="8"/>
    <n v="46"/>
    <s v="Good"/>
    <s v="Medium Risk"/>
  </r>
  <r>
    <d v="2020-09-20T00:00:00"/>
    <n v="17959"/>
    <s v="Operation - Manager"/>
    <s v="Operation"/>
    <s v="Manager"/>
    <n v="766"/>
    <n v="3"/>
    <n v="2"/>
    <d v="1985-09-25T00:00:00"/>
    <n v="670428"/>
    <x v="0"/>
    <n v="1985"/>
    <n v="9"/>
    <n v="41"/>
    <s v="Excellent"/>
    <s v="Low Risk"/>
  </r>
  <r>
    <d v="2020-11-12T00:00:00"/>
    <n v="17983"/>
    <s v="Finance - Director"/>
    <s v="Finance"/>
    <s v="Director"/>
    <n v="758"/>
    <n v="2"/>
    <n v="7"/>
    <d v="1986-04-23T00:00:00"/>
    <n v="847229"/>
    <x v="1"/>
    <n v="1986"/>
    <n v="11"/>
    <n v="40"/>
    <s v="Excellent"/>
    <s v="High Risk"/>
  </r>
  <r>
    <d v="2020-02-14T00:00:00"/>
    <n v="29633"/>
    <s v="Operation - Intern"/>
    <s v="Operation"/>
    <s v="Intern"/>
    <n v="771"/>
    <n v="5"/>
    <n v="2"/>
    <d v="1990-02-16T00:00:00"/>
    <n v="669917"/>
    <x v="2"/>
    <n v="1990"/>
    <n v="2"/>
    <n v="36"/>
    <s v="Excellent"/>
    <s v="Low Risk"/>
  </r>
  <r>
    <d v="2020-09-03T00:00:00"/>
    <n v="75456"/>
    <s v="Marketing - Intern"/>
    <s v="Marketing"/>
    <s v="Intern"/>
    <n v="774"/>
    <n v="4"/>
    <n v="3"/>
    <d v="1983-08-30T00:00:00"/>
    <n v="990091"/>
    <x v="1"/>
    <n v="1983"/>
    <n v="9"/>
    <n v="43"/>
    <s v="Excellent"/>
    <s v="Medium Risk"/>
  </r>
  <r>
    <d v="2020-05-17T00:00:00"/>
    <n v="61438"/>
    <s v="Finance - Director"/>
    <s v="Finance"/>
    <s v="Director"/>
    <n v="704"/>
    <n v="4"/>
    <n v="6"/>
    <d v="1984-06-18T00:00:00"/>
    <n v="632671"/>
    <x v="0"/>
    <n v="1984"/>
    <n v="5"/>
    <n v="42"/>
    <s v="Good"/>
    <s v="High Risk"/>
  </r>
  <r>
    <d v="2020-04-12T00:00:00"/>
    <n v="54730"/>
    <s v="Marketing - Manager"/>
    <s v="Marketing"/>
    <s v="Manager"/>
    <n v="726"/>
    <n v="1"/>
    <n v="1"/>
    <d v="1984-08-26T00:00:00"/>
    <n v="694525"/>
    <x v="0"/>
    <n v="1984"/>
    <n v="4"/>
    <n v="42"/>
    <s v="Good"/>
    <s v="Medium Risk"/>
  </r>
  <r>
    <d v="2020-06-16T00:00:00"/>
    <n v="22403"/>
    <s v="Strategy - Executive"/>
    <s v="Strategy"/>
    <s v="Executive"/>
    <n v="774"/>
    <n v="4"/>
    <n v="9"/>
    <d v="1982-12-19T00:00:00"/>
    <n v="945314"/>
    <x v="1"/>
    <n v="1982"/>
    <n v="6"/>
    <n v="44"/>
    <s v="Excellent"/>
    <s v="High Risk"/>
  </r>
  <r>
    <d v="2020-02-13T00:00:00"/>
    <n v="24460"/>
    <s v="Operation - Director"/>
    <s v="Operation"/>
    <s v="Director"/>
    <n v="731"/>
    <n v="5"/>
    <n v="2"/>
    <d v="1993-01-06T00:00:00"/>
    <n v="929077"/>
    <x v="0"/>
    <n v="1993"/>
    <n v="2"/>
    <n v="33"/>
    <s v="Good"/>
    <s v="Medium Risk"/>
  </r>
  <r>
    <d v="2020-04-16T00:00:00"/>
    <n v="15555"/>
    <s v="Sales - Director"/>
    <s v="Sales"/>
    <s v="Director"/>
    <n v="761"/>
    <n v="5"/>
    <n v="1"/>
    <d v="1989-01-30T00:00:00"/>
    <n v="641971"/>
    <x v="2"/>
    <n v="1989"/>
    <n v="4"/>
    <n v="37"/>
    <s v="Excellent"/>
    <s v="Low Risk"/>
  </r>
  <r>
    <d v="2020-11-21T00:00:00"/>
    <n v="31572"/>
    <s v="Strategy - Intern"/>
    <s v="Strategy"/>
    <s v="Intern"/>
    <n v="716"/>
    <n v="5"/>
    <n v="3"/>
    <d v="1993-01-04T00:00:00"/>
    <n v="986183"/>
    <x v="0"/>
    <n v="1993"/>
    <n v="11"/>
    <n v="33"/>
    <s v="Good"/>
    <s v="Medium Risk"/>
  </r>
  <r>
    <d v="2020-03-14T00:00:00"/>
    <n v="94468"/>
    <s v="Growth - Manager"/>
    <s v="Growth"/>
    <s v="Manager"/>
    <n v="703"/>
    <n v="4"/>
    <n v="2"/>
    <d v="1992-01-06T00:00:00"/>
    <n v="525840"/>
    <x v="1"/>
    <n v="1992"/>
    <n v="3"/>
    <n v="34"/>
    <s v="Good"/>
    <s v="Medium Risk"/>
  </r>
  <r>
    <d v="2020-08-20T00:00:00"/>
    <n v="98284"/>
    <s v="Strategy - Executive"/>
    <s v="Strategy"/>
    <s v="Executive"/>
    <n v="722"/>
    <n v="5"/>
    <n v="3"/>
    <d v="1985-11-15T00:00:00"/>
    <n v="865509"/>
    <x v="0"/>
    <n v="1985"/>
    <n v="8"/>
    <n v="41"/>
    <s v="Good"/>
    <s v="Medium Risk"/>
  </r>
  <r>
    <d v="2020-07-11T00:00:00"/>
    <n v="38660"/>
    <s v="Marketing - Executive"/>
    <s v="Marketing"/>
    <s v="Executive"/>
    <n v="755"/>
    <n v="2"/>
    <n v="7"/>
    <d v="1993-04-09T00:00:00"/>
    <n v="983501"/>
    <x v="0"/>
    <n v="1993"/>
    <n v="7"/>
    <n v="33"/>
    <s v="Excellent"/>
    <s v="High Risk"/>
  </r>
  <r>
    <d v="2020-01-06T00:00:00"/>
    <n v="98925"/>
    <s v="Marketing - Director"/>
    <s v="Marketing"/>
    <s v="Director"/>
    <n v="743"/>
    <n v="1"/>
    <n v="1"/>
    <d v="1983-12-02T00:00:00"/>
    <n v="553339"/>
    <x v="0"/>
    <n v="1983"/>
    <n v="1"/>
    <n v="43"/>
    <s v="Good"/>
    <s v="Medium Risk"/>
  </r>
  <r>
    <d v="2020-10-04T00:00:00"/>
    <n v="65148"/>
    <s v="Marketing - Intern"/>
    <s v="Marketing"/>
    <s v="Intern"/>
    <n v="756"/>
    <n v="5"/>
    <n v="1"/>
    <d v="1982-09-09T00:00:00"/>
    <n v="549563"/>
    <x v="1"/>
    <n v="1982"/>
    <n v="10"/>
    <n v="44"/>
    <s v="Excellent"/>
    <s v="Low Risk"/>
  </r>
  <r>
    <d v="2020-05-01T00:00:00"/>
    <n v="71954"/>
    <s v="Finance - Executive"/>
    <s v="Finance"/>
    <s v="Executive"/>
    <n v="710"/>
    <n v="2"/>
    <n v="1"/>
    <d v="1985-02-09T00:00:00"/>
    <n v="596391"/>
    <x v="2"/>
    <n v="1985"/>
    <n v="5"/>
    <n v="41"/>
    <s v="Good"/>
    <s v="Medium Risk"/>
  </r>
  <r>
    <d v="2020-10-16T00:00:00"/>
    <n v="85361"/>
    <s v="Finance - Director"/>
    <s v="Finance"/>
    <s v="Director"/>
    <n v="750"/>
    <n v="2"/>
    <n v="3"/>
    <d v="1990-06-26T00:00:00"/>
    <n v="932471"/>
    <x v="2"/>
    <n v="1990"/>
    <n v="10"/>
    <n v="36"/>
    <s v="Excellent"/>
    <s v="Medium Risk"/>
  </r>
  <r>
    <d v="2020-01-03T00:00:00"/>
    <n v="48460"/>
    <s v="Sales - Manager"/>
    <s v="Sales"/>
    <s v="Manager"/>
    <n v="763"/>
    <n v="5"/>
    <n v="7"/>
    <d v="1994-01-12T00:00:00"/>
    <n v="892876"/>
    <x v="2"/>
    <n v="1994"/>
    <n v="1"/>
    <n v="32"/>
    <s v="Excellent"/>
    <s v="High Risk"/>
  </r>
  <r>
    <d v="2020-08-20T00:00:00"/>
    <n v="28260"/>
    <s v="Growth - Executive"/>
    <s v="Growth"/>
    <s v="Executive"/>
    <n v="777"/>
    <n v="1"/>
    <n v="10"/>
    <d v="1987-04-20T00:00:00"/>
    <n v="759460"/>
    <x v="2"/>
    <n v="1987"/>
    <n v="8"/>
    <n v="39"/>
    <s v="Excellent"/>
    <s v="High Risk"/>
  </r>
  <r>
    <d v="2020-11-09T00:00:00"/>
    <n v="79019"/>
    <s v="Growth - Director"/>
    <s v="Growth"/>
    <s v="Director"/>
    <n v="722"/>
    <n v="4"/>
    <n v="8"/>
    <d v="1992-11-21T00:00:00"/>
    <n v="937822"/>
    <x v="1"/>
    <n v="1992"/>
    <n v="11"/>
    <n v="34"/>
    <s v="Good"/>
    <s v="High Risk"/>
  </r>
  <r>
    <d v="2020-05-31T00:00:00"/>
    <n v="48370"/>
    <s v="Growth - Intern"/>
    <s v="Growth"/>
    <s v="Intern"/>
    <n v="792"/>
    <n v="2"/>
    <n v="6"/>
    <d v="1993-10-01T00:00:00"/>
    <n v="971965"/>
    <x v="2"/>
    <n v="1993"/>
    <n v="5"/>
    <n v="33"/>
    <s v="Excellent"/>
    <s v="High Risk"/>
  </r>
  <r>
    <d v="2020-04-28T00:00:00"/>
    <n v="83571"/>
    <s v="Growth - Intern"/>
    <s v="Growth"/>
    <s v="Intern"/>
    <n v="728"/>
    <n v="3"/>
    <n v="5"/>
    <d v="1992-07-02T00:00:00"/>
    <n v="819520"/>
    <x v="2"/>
    <n v="1992"/>
    <n v="4"/>
    <n v="34"/>
    <s v="Good"/>
    <s v="Medium Risk"/>
  </r>
  <r>
    <d v="2020-08-10T00:00:00"/>
    <n v="14826"/>
    <s v="Growth - Manager"/>
    <s v="Growth"/>
    <s v="Manager"/>
    <n v="774"/>
    <n v="4"/>
    <n v="8"/>
    <d v="1992-03-03T00:00:00"/>
    <n v="814530"/>
    <x v="1"/>
    <n v="1992"/>
    <n v="8"/>
    <n v="34"/>
    <s v="Excellent"/>
    <s v="High Risk"/>
  </r>
  <r>
    <d v="2020-03-02T00:00:00"/>
    <n v="78823"/>
    <s v="Operation - Executive"/>
    <s v="Operation"/>
    <s v="Executive"/>
    <n v="752"/>
    <n v="1"/>
    <n v="3"/>
    <d v="1990-12-23T00:00:00"/>
    <n v="953866"/>
    <x v="1"/>
    <n v="1990"/>
    <n v="3"/>
    <n v="36"/>
    <s v="Excellent"/>
    <s v="Medium Risk"/>
  </r>
  <r>
    <d v="2020-11-23T00:00:00"/>
    <n v="34005"/>
    <s v="Finance - Intern"/>
    <s v="Finance"/>
    <s v="Intern"/>
    <n v="713"/>
    <n v="2"/>
    <n v="1"/>
    <d v="1990-09-13T00:00:00"/>
    <n v="736970"/>
    <x v="0"/>
    <n v="1990"/>
    <n v="11"/>
    <n v="36"/>
    <s v="Good"/>
    <s v="Medium Risk"/>
  </r>
  <r>
    <d v="2020-09-11T00:00:00"/>
    <n v="50325"/>
    <s v="Marketing - Executive"/>
    <s v="Marketing"/>
    <s v="Executive"/>
    <n v="784"/>
    <n v="3"/>
    <n v="8"/>
    <d v="1990-07-14T00:00:00"/>
    <n v="565722"/>
    <x v="1"/>
    <n v="1990"/>
    <n v="9"/>
    <n v="36"/>
    <s v="Excellent"/>
    <s v="High Risk"/>
  </r>
  <r>
    <d v="2020-02-03T00:00:00"/>
    <n v="13130"/>
    <s v="Sales - Intern"/>
    <s v="Sales"/>
    <s v="Intern"/>
    <n v="730"/>
    <n v="3"/>
    <n v="1"/>
    <d v="1994-06-11T00:00:00"/>
    <n v="734947"/>
    <x v="1"/>
    <n v="1994"/>
    <n v="2"/>
    <n v="32"/>
    <s v="Good"/>
    <s v="Medium Risk"/>
  </r>
  <r>
    <d v="2020-08-20T00:00:00"/>
    <n v="45759"/>
    <s v="Growth - Executive"/>
    <s v="Growth"/>
    <s v="Executive"/>
    <n v="734"/>
    <n v="5"/>
    <n v="6"/>
    <d v="1981-05-21T00:00:00"/>
    <n v="935278"/>
    <x v="1"/>
    <n v="1981"/>
    <n v="8"/>
    <n v="45"/>
    <s v="Good"/>
    <s v="High Risk"/>
  </r>
  <r>
    <d v="2020-01-27T00:00:00"/>
    <n v="98695"/>
    <s v="Growth - Executive"/>
    <s v="Growth"/>
    <s v="Executive"/>
    <n v="704"/>
    <n v="2"/>
    <n v="4"/>
    <d v="1981-10-31T00:00:00"/>
    <n v="721081"/>
    <x v="2"/>
    <n v="1981"/>
    <n v="1"/>
    <n v="45"/>
    <s v="Good"/>
    <s v="Medium Risk"/>
  </r>
  <r>
    <d v="2020-04-25T00:00:00"/>
    <n v="72401"/>
    <s v="Sales - Manager"/>
    <s v="Sales"/>
    <s v="Manager"/>
    <n v="718"/>
    <n v="1"/>
    <n v="7"/>
    <d v="1986-01-17T00:00:00"/>
    <n v="586165"/>
    <x v="2"/>
    <n v="1986"/>
    <n v="4"/>
    <n v="40"/>
    <s v="Good"/>
    <s v="High Risk"/>
  </r>
  <r>
    <d v="2020-04-04T00:00:00"/>
    <n v="85134"/>
    <s v="Strategy - Executive"/>
    <s v="Strategy"/>
    <s v="Executive"/>
    <n v="728"/>
    <n v="4"/>
    <n v="8"/>
    <d v="1985-11-27T00:00:00"/>
    <n v="557403"/>
    <x v="0"/>
    <n v="1985"/>
    <n v="4"/>
    <n v="41"/>
    <s v="Good"/>
    <s v="High Risk"/>
  </r>
  <r>
    <d v="2020-09-04T00:00:00"/>
    <n v="94412"/>
    <s v="Finance - Manager"/>
    <s v="Finance"/>
    <s v="Manager"/>
    <n v="786"/>
    <n v="4"/>
    <n v="2"/>
    <d v="1991-12-30T00:00:00"/>
    <n v="877945"/>
    <x v="1"/>
    <n v="1991"/>
    <n v="9"/>
    <n v="35"/>
    <s v="Excellent"/>
    <s v="Low Risk"/>
  </r>
  <r>
    <d v="2020-07-02T00:00:00"/>
    <n v="98555"/>
    <s v="Growth - Executive"/>
    <s v="Growth"/>
    <s v="Executive"/>
    <n v="743"/>
    <n v="5"/>
    <n v="8"/>
    <d v="1993-03-09T00:00:00"/>
    <n v="557735"/>
    <x v="1"/>
    <n v="1993"/>
    <n v="7"/>
    <n v="33"/>
    <s v="Good"/>
    <s v="High Risk"/>
  </r>
  <r>
    <d v="2020-04-29T00:00:00"/>
    <n v="71644"/>
    <s v="Finance - Manager"/>
    <s v="Finance"/>
    <s v="Manager"/>
    <n v="723"/>
    <n v="1"/>
    <n v="1"/>
    <d v="1989-04-02T00:00:00"/>
    <n v="898684"/>
    <x v="0"/>
    <n v="1989"/>
    <n v="4"/>
    <n v="37"/>
    <s v="Good"/>
    <s v="Medium Risk"/>
  </r>
  <r>
    <d v="2020-06-30T00:00:00"/>
    <n v="53794"/>
    <s v="Sales - Manager"/>
    <s v="Sales"/>
    <s v="Manager"/>
    <n v="723"/>
    <n v="2"/>
    <n v="9"/>
    <d v="1983-06-03T00:00:00"/>
    <n v="999597"/>
    <x v="1"/>
    <n v="1983"/>
    <n v="6"/>
    <n v="43"/>
    <s v="Good"/>
    <s v="High Risk"/>
  </r>
  <r>
    <d v="2020-01-24T00:00:00"/>
    <n v="52610"/>
    <s v="Finance - Executive"/>
    <s v="Finance"/>
    <s v="Executive"/>
    <n v="800"/>
    <n v="5"/>
    <n v="9"/>
    <d v="1992-05-07T00:00:00"/>
    <n v="917930"/>
    <x v="0"/>
    <n v="1992"/>
    <n v="1"/>
    <n v="34"/>
    <s v="Excellent"/>
    <s v="High Risk"/>
  </r>
  <r>
    <d v="2020-02-05T00:00:00"/>
    <n v="54452"/>
    <s v="Finance - Manager"/>
    <s v="Finance"/>
    <s v="Manager"/>
    <n v="765"/>
    <n v="3"/>
    <n v="3"/>
    <d v="1992-04-06T00:00:00"/>
    <n v="864291"/>
    <x v="0"/>
    <n v="1992"/>
    <n v="2"/>
    <n v="34"/>
    <s v="Excellent"/>
    <s v="Medium Risk"/>
  </r>
  <r>
    <d v="2020-06-14T00:00:00"/>
    <n v="62573"/>
    <s v="Strategy - Intern"/>
    <s v="Strategy"/>
    <s v="Intern"/>
    <n v="703"/>
    <n v="3"/>
    <n v="10"/>
    <d v="1993-11-21T00:00:00"/>
    <n v="694026"/>
    <x v="2"/>
    <n v="1993"/>
    <n v="6"/>
    <n v="33"/>
    <s v="Good"/>
    <s v="High Risk"/>
  </r>
  <r>
    <d v="2020-04-17T00:00:00"/>
    <n v="17465"/>
    <s v="Finance - Manager"/>
    <s v="Finance"/>
    <s v="Manager"/>
    <n v="748"/>
    <n v="4"/>
    <n v="5"/>
    <d v="1988-10-17T00:00:00"/>
    <n v="862990"/>
    <x v="1"/>
    <n v="1988"/>
    <n v="4"/>
    <n v="38"/>
    <s v="Good"/>
    <s v="Medium Risk"/>
  </r>
  <r>
    <d v="2020-10-12T00:00:00"/>
    <n v="58255"/>
    <s v="Sales - Manager"/>
    <s v="Sales"/>
    <s v="Manager"/>
    <n v="796"/>
    <n v="4"/>
    <n v="5"/>
    <d v="1993-05-22T00:00:00"/>
    <n v="570936"/>
    <x v="2"/>
    <n v="1993"/>
    <n v="10"/>
    <n v="33"/>
    <s v="Excellent"/>
    <s v="Medium Risk"/>
  </r>
  <r>
    <d v="2020-05-30T00:00:00"/>
    <n v="15392"/>
    <s v="Strategy - Manager"/>
    <s v="Strategy"/>
    <s v="Manager"/>
    <n v="704"/>
    <n v="4"/>
    <n v="10"/>
    <d v="1992-12-25T00:00:00"/>
    <n v="940130"/>
    <x v="0"/>
    <n v="1992"/>
    <n v="5"/>
    <n v="34"/>
    <s v="Good"/>
    <s v="High Risk"/>
  </r>
  <r>
    <d v="2020-01-19T00:00:00"/>
    <n v="93307"/>
    <s v="Finance - Executive"/>
    <s v="Finance"/>
    <s v="Executive"/>
    <n v="762"/>
    <n v="5"/>
    <n v="9"/>
    <d v="1993-05-10T00:00:00"/>
    <n v="923284"/>
    <x v="0"/>
    <n v="1993"/>
    <n v="1"/>
    <n v="33"/>
    <s v="Excellent"/>
    <s v="High Risk"/>
  </r>
  <r>
    <d v="2020-02-04T00:00:00"/>
    <n v="76210"/>
    <s v="Operation - Manager"/>
    <s v="Operation"/>
    <s v="Manager"/>
    <n v="796"/>
    <n v="3"/>
    <n v="5"/>
    <d v="1988-07-12T00:00:00"/>
    <n v="580793"/>
    <x v="1"/>
    <n v="1988"/>
    <n v="2"/>
    <n v="38"/>
    <s v="Excellent"/>
    <s v="Medium Risk"/>
  </r>
  <r>
    <d v="2020-07-06T00:00:00"/>
    <n v="77353"/>
    <s v="Finance - Director"/>
    <s v="Finance"/>
    <s v="Director"/>
    <n v="758"/>
    <n v="5"/>
    <n v="9"/>
    <d v="1981-01-14T00:00:00"/>
    <n v="847258"/>
    <x v="0"/>
    <n v="1981"/>
    <n v="7"/>
    <n v="45"/>
    <s v="Excellent"/>
    <s v="High Risk"/>
  </r>
  <r>
    <d v="2020-01-08T00:00:00"/>
    <n v="34273"/>
    <s v="Sales - Manager"/>
    <s v="Sales"/>
    <s v="Manager"/>
    <n v="768"/>
    <n v="4"/>
    <n v="5"/>
    <d v="1984-12-19T00:00:00"/>
    <n v="506736"/>
    <x v="1"/>
    <n v="1984"/>
    <n v="1"/>
    <n v="42"/>
    <s v="Excellent"/>
    <s v="Medium Risk"/>
  </r>
  <r>
    <d v="2020-05-27T00:00:00"/>
    <n v="84750"/>
    <s v="Growth - Director"/>
    <s v="Growth"/>
    <s v="Director"/>
    <n v="749"/>
    <n v="1"/>
    <n v="5"/>
    <d v="1981-08-24T00:00:00"/>
    <n v="867752"/>
    <x v="2"/>
    <n v="1981"/>
    <n v="5"/>
    <n v="45"/>
    <s v="Good"/>
    <s v="Medium Risk"/>
  </r>
  <r>
    <d v="2020-03-12T00:00:00"/>
    <n v="39641"/>
    <s v="Operation - Intern"/>
    <s v="Operation"/>
    <s v="Intern"/>
    <n v="793"/>
    <n v="2"/>
    <n v="6"/>
    <d v="1983-12-20T00:00:00"/>
    <n v="839870"/>
    <x v="1"/>
    <n v="1983"/>
    <n v="3"/>
    <n v="43"/>
    <s v="Excellent"/>
    <s v="High Risk"/>
  </r>
  <r>
    <d v="2020-10-24T00:00:00"/>
    <n v="38013"/>
    <s v="Strategy - Manager"/>
    <s v="Strategy"/>
    <s v="Manager"/>
    <n v="756"/>
    <n v="5"/>
    <n v="9"/>
    <d v="1993-11-15T00:00:00"/>
    <n v="512988"/>
    <x v="2"/>
    <n v="1993"/>
    <n v="10"/>
    <n v="33"/>
    <s v="Excellent"/>
    <s v="High Risk"/>
  </r>
  <r>
    <d v="2020-04-11T00:00:00"/>
    <n v="17970"/>
    <s v="Operation - Intern"/>
    <s v="Operation"/>
    <s v="Intern"/>
    <n v="748"/>
    <n v="5"/>
    <n v="1"/>
    <d v="1980-03-16T00:00:00"/>
    <n v="855983"/>
    <x v="2"/>
    <n v="1980"/>
    <n v="4"/>
    <n v="46"/>
    <s v="Good"/>
    <s v="Medium Risk"/>
  </r>
  <r>
    <d v="2020-07-27T00:00:00"/>
    <n v="82087"/>
    <s v="Operation - Director"/>
    <s v="Operation"/>
    <s v="Director"/>
    <n v="767"/>
    <n v="3"/>
    <n v="3"/>
    <d v="1989-08-14T00:00:00"/>
    <n v="839506"/>
    <x v="2"/>
    <n v="1989"/>
    <n v="7"/>
    <n v="37"/>
    <s v="Excellent"/>
    <s v="Medium Risk"/>
  </r>
  <r>
    <d v="2020-03-02T00:00:00"/>
    <n v="69407"/>
    <s v="Marketing - Manager"/>
    <s v="Marketing"/>
    <s v="Manager"/>
    <n v="754"/>
    <n v="3"/>
    <n v="3"/>
    <d v="1988-06-06T00:00:00"/>
    <n v="850355"/>
    <x v="0"/>
    <n v="1988"/>
    <n v="3"/>
    <n v="38"/>
    <s v="Excellent"/>
    <s v="Medium Risk"/>
  </r>
  <r>
    <d v="2020-08-01T00:00:00"/>
    <n v="51439"/>
    <s v="Operation - Manager"/>
    <s v="Operation"/>
    <s v="Manager"/>
    <n v="784"/>
    <n v="2"/>
    <n v="6"/>
    <d v="1986-10-19T00:00:00"/>
    <n v="698767"/>
    <x v="1"/>
    <n v="1986"/>
    <n v="8"/>
    <n v="40"/>
    <s v="Excellent"/>
    <s v="High Risk"/>
  </r>
  <r>
    <d v="2020-11-08T00:00:00"/>
    <n v="96597"/>
    <s v="Growth - Director"/>
    <s v="Growth"/>
    <s v="Director"/>
    <n v="711"/>
    <n v="3"/>
    <n v="5"/>
    <d v="1982-10-03T00:00:00"/>
    <n v="979209"/>
    <x v="1"/>
    <n v="1982"/>
    <n v="11"/>
    <n v="44"/>
    <s v="Good"/>
    <s v="Medium Risk"/>
  </r>
  <r>
    <d v="2020-04-14T00:00:00"/>
    <n v="62604"/>
    <s v="Sales - Executive"/>
    <s v="Sales"/>
    <s v="Executive"/>
    <n v="781"/>
    <n v="1"/>
    <n v="8"/>
    <d v="1980-12-10T00:00:00"/>
    <n v="624867"/>
    <x v="1"/>
    <n v="1980"/>
    <n v="4"/>
    <n v="46"/>
    <s v="Excellent"/>
    <s v="High Risk"/>
  </r>
  <r>
    <d v="2020-04-23T00:00:00"/>
    <n v="11075"/>
    <s v="Finance - Manager"/>
    <s v="Finance"/>
    <s v="Manager"/>
    <n v="713"/>
    <n v="5"/>
    <n v="1"/>
    <d v="1983-02-22T00:00:00"/>
    <n v="622640"/>
    <x v="2"/>
    <n v="1983"/>
    <n v="4"/>
    <n v="43"/>
    <s v="Good"/>
    <s v="Medium Risk"/>
  </r>
  <r>
    <d v="2020-05-04T00:00:00"/>
    <n v="92028"/>
    <s v="Marketing - Director"/>
    <s v="Marketing"/>
    <s v="Director"/>
    <n v="763"/>
    <n v="4"/>
    <n v="9"/>
    <d v="1981-07-11T00:00:00"/>
    <n v="563736"/>
    <x v="1"/>
    <n v="1981"/>
    <n v="5"/>
    <n v="45"/>
    <s v="Excellent"/>
    <s v="High Risk"/>
  </r>
  <r>
    <d v="2020-03-27T00:00:00"/>
    <n v="30370"/>
    <s v="Marketing - Manager"/>
    <s v="Marketing"/>
    <s v="Manager"/>
    <n v="781"/>
    <n v="1"/>
    <n v="10"/>
    <d v="1982-10-16T00:00:00"/>
    <n v="968094"/>
    <x v="2"/>
    <n v="1982"/>
    <n v="3"/>
    <n v="44"/>
    <s v="Excellent"/>
    <s v="High Risk"/>
  </r>
  <r>
    <d v="2020-05-28T00:00:00"/>
    <n v="19054"/>
    <s v="Marketing - Intern"/>
    <s v="Marketing"/>
    <s v="Intern"/>
    <n v="711"/>
    <n v="5"/>
    <n v="10"/>
    <d v="1989-03-29T00:00:00"/>
    <n v="881748"/>
    <x v="2"/>
    <n v="1989"/>
    <n v="5"/>
    <n v="37"/>
    <s v="Good"/>
    <s v="High Risk"/>
  </r>
  <r>
    <d v="2020-02-23T00:00:00"/>
    <n v="93308"/>
    <s v="Strategy - Director"/>
    <s v="Strategy"/>
    <s v="Director"/>
    <n v="784"/>
    <n v="1"/>
    <n v="7"/>
    <d v="1989-07-26T00:00:00"/>
    <n v="744871"/>
    <x v="1"/>
    <n v="1989"/>
    <n v="2"/>
    <n v="37"/>
    <s v="Excellent"/>
    <s v="High Risk"/>
  </r>
  <r>
    <d v="2020-02-15T00:00:00"/>
    <n v="75614"/>
    <s v="Operation - Intern"/>
    <s v="Operation"/>
    <s v="Intern"/>
    <n v="729"/>
    <n v="1"/>
    <n v="7"/>
    <d v="1990-10-06T00:00:00"/>
    <n v="545164"/>
    <x v="2"/>
    <n v="1990"/>
    <n v="2"/>
    <n v="36"/>
    <s v="Good"/>
    <s v="High Risk"/>
  </r>
  <r>
    <d v="2020-09-15T00:00:00"/>
    <n v="26093"/>
    <s v="Strategy - Manager"/>
    <s v="Strategy"/>
    <s v="Manager"/>
    <n v="747"/>
    <n v="1"/>
    <n v="7"/>
    <d v="1989-06-14T00:00:00"/>
    <n v="824245"/>
    <x v="1"/>
    <n v="1989"/>
    <n v="9"/>
    <n v="37"/>
    <s v="Good"/>
    <s v="High Risk"/>
  </r>
  <r>
    <d v="2020-01-01T00:00:00"/>
    <n v="12031"/>
    <s v="Finance - Manager"/>
    <s v="Finance"/>
    <s v="Manager"/>
    <n v="777"/>
    <n v="4"/>
    <n v="2"/>
    <d v="1983-05-11T00:00:00"/>
    <n v="875258"/>
    <x v="1"/>
    <n v="1983"/>
    <n v="1"/>
    <n v="43"/>
    <s v="Excellent"/>
    <s v="Low Risk"/>
  </r>
  <r>
    <d v="2020-08-27T00:00:00"/>
    <n v="59382"/>
    <s v="Finance - Manager"/>
    <s v="Finance"/>
    <s v="Manager"/>
    <n v="730"/>
    <n v="2"/>
    <n v="7"/>
    <d v="1984-05-13T00:00:00"/>
    <n v="801163"/>
    <x v="1"/>
    <n v="1984"/>
    <n v="8"/>
    <n v="42"/>
    <s v="Good"/>
    <s v="High Risk"/>
  </r>
  <r>
    <d v="2020-02-18T00:00:00"/>
    <n v="48790"/>
    <s v="Sales - Director"/>
    <s v="Sales"/>
    <s v="Director"/>
    <n v="708"/>
    <n v="5"/>
    <n v="10"/>
    <d v="1986-04-17T00:00:00"/>
    <n v="537442"/>
    <x v="2"/>
    <n v="1986"/>
    <n v="2"/>
    <n v="40"/>
    <s v="Good"/>
    <s v="High Risk"/>
  </r>
  <r>
    <d v="2020-10-08T00:00:00"/>
    <n v="89837"/>
    <s v="Finance - Director"/>
    <s v="Finance"/>
    <s v="Director"/>
    <n v="711"/>
    <n v="1"/>
    <n v="8"/>
    <d v="1989-03-24T00:00:00"/>
    <n v="693530"/>
    <x v="1"/>
    <n v="1989"/>
    <n v="10"/>
    <n v="37"/>
    <s v="Good"/>
    <s v="High Risk"/>
  </r>
  <r>
    <d v="2020-09-17T00:00:00"/>
    <n v="77042"/>
    <s v="Marketing - Executive"/>
    <s v="Marketing"/>
    <s v="Executive"/>
    <n v="747"/>
    <n v="5"/>
    <n v="5"/>
    <d v="1991-04-27T00:00:00"/>
    <n v="949239"/>
    <x v="1"/>
    <n v="1991"/>
    <n v="9"/>
    <n v="35"/>
    <s v="Good"/>
    <s v="Medium Risk"/>
  </r>
  <r>
    <d v="2020-09-06T00:00:00"/>
    <n v="67996"/>
    <s v="Growth - Manager"/>
    <s v="Growth"/>
    <s v="Manager"/>
    <n v="799"/>
    <n v="5"/>
    <n v="10"/>
    <d v="1994-09-01T00:00:00"/>
    <n v="581105"/>
    <x v="2"/>
    <n v="1994"/>
    <n v="9"/>
    <n v="32"/>
    <s v="Excellent"/>
    <s v="High Risk"/>
  </r>
  <r>
    <d v="2020-09-20T00:00:00"/>
    <n v="99363"/>
    <s v="Growth - Director"/>
    <s v="Growth"/>
    <s v="Director"/>
    <n v="736"/>
    <n v="5"/>
    <n v="8"/>
    <d v="1984-04-10T00:00:00"/>
    <n v="562888"/>
    <x v="0"/>
    <n v="1984"/>
    <n v="9"/>
    <n v="42"/>
    <s v="Good"/>
    <s v="High Risk"/>
  </r>
  <r>
    <d v="2020-08-23T00:00:00"/>
    <n v="10898"/>
    <s v="Strategy - Manager"/>
    <s v="Strategy"/>
    <s v="Manager"/>
    <n v="719"/>
    <n v="1"/>
    <n v="3"/>
    <d v="1994-12-08T00:00:00"/>
    <n v="668384"/>
    <x v="0"/>
    <n v="1994"/>
    <n v="8"/>
    <n v="32"/>
    <s v="Good"/>
    <s v="Medium Risk"/>
  </r>
  <r>
    <d v="2020-03-28T00:00:00"/>
    <n v="29743"/>
    <s v="Sales - Manager"/>
    <s v="Sales"/>
    <s v="Manager"/>
    <n v="741"/>
    <n v="3"/>
    <n v="5"/>
    <d v="1985-06-29T00:00:00"/>
    <n v="578374"/>
    <x v="1"/>
    <n v="1985"/>
    <n v="3"/>
    <n v="41"/>
    <s v="Good"/>
    <s v="Medium Risk"/>
  </r>
  <r>
    <d v="2020-07-16T00:00:00"/>
    <n v="47015"/>
    <s v="Finance - Executive"/>
    <s v="Finance"/>
    <s v="Executive"/>
    <n v="713"/>
    <n v="1"/>
    <n v="7"/>
    <d v="1983-01-06T00:00:00"/>
    <n v="611606"/>
    <x v="0"/>
    <n v="1983"/>
    <n v="7"/>
    <n v="43"/>
    <s v="Good"/>
    <s v="High Risk"/>
  </r>
  <r>
    <d v="2020-04-03T00:00:00"/>
    <n v="10568"/>
    <s v="Strategy - Director"/>
    <s v="Strategy"/>
    <s v="Director"/>
    <n v="730"/>
    <n v="1"/>
    <n v="8"/>
    <d v="1988-03-12T00:00:00"/>
    <n v="630670"/>
    <x v="1"/>
    <n v="1988"/>
    <n v="4"/>
    <n v="38"/>
    <s v="Good"/>
    <s v="High Risk"/>
  </r>
  <r>
    <d v="2020-07-26T00:00:00"/>
    <n v="36742"/>
    <s v="Growth - Intern"/>
    <s v="Growth"/>
    <s v="Intern"/>
    <n v="763"/>
    <n v="1"/>
    <n v="6"/>
    <d v="1988-06-15T00:00:00"/>
    <n v="983476"/>
    <x v="0"/>
    <n v="1988"/>
    <n v="7"/>
    <n v="38"/>
    <s v="Excellent"/>
    <s v="High Risk"/>
  </r>
  <r>
    <d v="2020-08-11T00:00:00"/>
    <n v="47028"/>
    <s v="Growth - Manager"/>
    <s v="Growth"/>
    <s v="Manager"/>
    <n v="736"/>
    <n v="3"/>
    <n v="2"/>
    <d v="1986-05-04T00:00:00"/>
    <n v="854328"/>
    <x v="2"/>
    <n v="1986"/>
    <n v="8"/>
    <n v="40"/>
    <s v="Good"/>
    <s v="Medium Risk"/>
  </r>
  <r>
    <d v="2020-03-23T00:00:00"/>
    <n v="14105"/>
    <s v="Finance - Intern"/>
    <s v="Finance"/>
    <s v="Intern"/>
    <n v="799"/>
    <n v="2"/>
    <n v="5"/>
    <d v="1983-09-18T00:00:00"/>
    <n v="641083"/>
    <x v="2"/>
    <n v="1983"/>
    <n v="3"/>
    <n v="43"/>
    <s v="Excellent"/>
    <s v="Medium Risk"/>
  </r>
  <r>
    <d v="2020-03-22T00:00:00"/>
    <n v="84873"/>
    <s v="Marketing - Intern"/>
    <s v="Marketing"/>
    <s v="Intern"/>
    <n v="786"/>
    <n v="1"/>
    <n v="3"/>
    <d v="1994-07-10T00:00:00"/>
    <n v="712355"/>
    <x v="2"/>
    <n v="1994"/>
    <n v="3"/>
    <n v="32"/>
    <s v="Excellent"/>
    <s v="Medium Risk"/>
  </r>
  <r>
    <d v="2020-03-13T00:00:00"/>
    <n v="68730"/>
    <s v="Sales - Intern"/>
    <s v="Sales"/>
    <s v="Intern"/>
    <n v="766"/>
    <n v="3"/>
    <n v="6"/>
    <d v="1980-09-02T00:00:00"/>
    <n v="590362"/>
    <x v="1"/>
    <n v="1980"/>
    <n v="3"/>
    <n v="46"/>
    <s v="Excellent"/>
    <s v="High Risk"/>
  </r>
  <r>
    <d v="2020-05-22T00:00:00"/>
    <n v="99258"/>
    <s v="Operation - Director"/>
    <s v="Operation"/>
    <s v="Director"/>
    <n v="800"/>
    <n v="1"/>
    <n v="8"/>
    <d v="1981-10-13T00:00:00"/>
    <n v="644680"/>
    <x v="0"/>
    <n v="1981"/>
    <n v="5"/>
    <n v="45"/>
    <s v="Excellent"/>
    <s v="High Risk"/>
  </r>
  <r>
    <d v="2020-09-23T00:00:00"/>
    <n v="86342"/>
    <s v="Operation - Director"/>
    <s v="Operation"/>
    <s v="Director"/>
    <n v="712"/>
    <n v="2"/>
    <n v="1"/>
    <d v="1994-11-04T00:00:00"/>
    <n v="520268"/>
    <x v="0"/>
    <n v="1994"/>
    <n v="9"/>
    <n v="32"/>
    <s v="Good"/>
    <s v="Medium Risk"/>
  </r>
  <r>
    <d v="2020-06-10T00:00:00"/>
    <n v="39613"/>
    <s v="Strategy - Manager"/>
    <s v="Strategy"/>
    <s v="Manager"/>
    <n v="778"/>
    <n v="2"/>
    <n v="10"/>
    <d v="1984-02-08T00:00:00"/>
    <n v="991520"/>
    <x v="0"/>
    <n v="1984"/>
    <n v="6"/>
    <n v="42"/>
    <s v="Excellent"/>
    <s v="High Risk"/>
  </r>
  <r>
    <d v="2020-01-25T00:00:00"/>
    <n v="34129"/>
    <s v="Finance - Intern"/>
    <s v="Finance"/>
    <s v="Intern"/>
    <n v="784"/>
    <n v="3"/>
    <n v="1"/>
    <d v="1982-10-05T00:00:00"/>
    <n v="946533"/>
    <x v="1"/>
    <n v="1982"/>
    <n v="1"/>
    <n v="44"/>
    <s v="Excellent"/>
    <s v="Low Risk"/>
  </r>
  <r>
    <d v="2020-06-20T00:00:00"/>
    <n v="14333"/>
    <s v="Strategy - Intern"/>
    <s v="Strategy"/>
    <s v="Intern"/>
    <n v="791"/>
    <n v="3"/>
    <n v="8"/>
    <d v="1987-05-23T00:00:00"/>
    <n v="637256"/>
    <x v="0"/>
    <n v="1987"/>
    <n v="6"/>
    <n v="39"/>
    <s v="Excellent"/>
    <s v="High Risk"/>
  </r>
  <r>
    <d v="2020-08-01T00:00:00"/>
    <n v="55712"/>
    <s v="Finance - Intern"/>
    <s v="Finance"/>
    <s v="Intern"/>
    <n v="717"/>
    <n v="4"/>
    <n v="8"/>
    <d v="1987-11-09T00:00:00"/>
    <n v="926315"/>
    <x v="0"/>
    <n v="1987"/>
    <n v="8"/>
    <n v="39"/>
    <s v="Good"/>
    <s v="High Risk"/>
  </r>
  <r>
    <d v="2020-04-30T00:00:00"/>
    <n v="43140"/>
    <s v="Operation - Intern"/>
    <s v="Operation"/>
    <s v="Intern"/>
    <n v="790"/>
    <n v="1"/>
    <n v="10"/>
    <d v="1991-07-27T00:00:00"/>
    <n v="690767"/>
    <x v="1"/>
    <n v="1991"/>
    <n v="4"/>
    <n v="35"/>
    <s v="Excellent"/>
    <s v="High Risk"/>
  </r>
  <r>
    <d v="2020-10-30T00:00:00"/>
    <n v="67409"/>
    <s v="Strategy - Director"/>
    <s v="Strategy"/>
    <s v="Director"/>
    <n v="738"/>
    <n v="1"/>
    <n v="1"/>
    <d v="1993-12-13T00:00:00"/>
    <n v="588039"/>
    <x v="1"/>
    <n v="1993"/>
    <n v="10"/>
    <n v="33"/>
    <s v="Good"/>
    <s v="Medium Risk"/>
  </r>
  <r>
    <d v="2020-04-29T00:00:00"/>
    <n v="42015"/>
    <s v="Growth - Manager"/>
    <s v="Growth"/>
    <s v="Manager"/>
    <n v="715"/>
    <n v="5"/>
    <n v="3"/>
    <d v="1989-12-09T00:00:00"/>
    <n v="951265"/>
    <x v="0"/>
    <n v="1989"/>
    <n v="4"/>
    <n v="37"/>
    <s v="Good"/>
    <s v="Medium Risk"/>
  </r>
  <r>
    <d v="2020-10-18T00:00:00"/>
    <n v="87945"/>
    <s v="Operation - Manager"/>
    <s v="Operation"/>
    <s v="Manager"/>
    <n v="704"/>
    <n v="2"/>
    <n v="3"/>
    <d v="1980-10-25T00:00:00"/>
    <n v="735776"/>
    <x v="2"/>
    <n v="1980"/>
    <n v="10"/>
    <n v="46"/>
    <s v="Good"/>
    <s v="Medium Risk"/>
  </r>
  <r>
    <d v="2020-05-21T00:00:00"/>
    <n v="51552"/>
    <s v="Sales - Executive"/>
    <s v="Sales"/>
    <s v="Executive"/>
    <n v="776"/>
    <n v="2"/>
    <n v="10"/>
    <d v="1984-09-11T00:00:00"/>
    <n v="962906"/>
    <x v="2"/>
    <n v="1984"/>
    <n v="5"/>
    <n v="42"/>
    <s v="Excellent"/>
    <s v="High Risk"/>
  </r>
  <r>
    <d v="2020-12-03T00:00:00"/>
    <n v="56716"/>
    <s v="Marketing - Executive"/>
    <s v="Marketing"/>
    <s v="Executive"/>
    <n v="784"/>
    <n v="5"/>
    <n v="10"/>
    <d v="1991-05-10T00:00:00"/>
    <n v="845891"/>
    <x v="1"/>
    <n v="1991"/>
    <n v="12"/>
    <n v="35"/>
    <s v="Excellent"/>
    <s v="High Risk"/>
  </r>
  <r>
    <d v="2020-01-04T00:00:00"/>
    <n v="25193"/>
    <s v="Operation - Director"/>
    <s v="Operation"/>
    <s v="Director"/>
    <n v="721"/>
    <n v="2"/>
    <n v="3"/>
    <d v="1987-01-31T00:00:00"/>
    <n v="717802"/>
    <x v="2"/>
    <n v="1987"/>
    <n v="1"/>
    <n v="39"/>
    <s v="Good"/>
    <s v="Medium Risk"/>
  </r>
  <r>
    <d v="2020-03-12T00:00:00"/>
    <n v="15531"/>
    <s v="Finance - Intern"/>
    <s v="Finance"/>
    <s v="Intern"/>
    <n v="783"/>
    <n v="5"/>
    <n v="8"/>
    <d v="1987-12-26T00:00:00"/>
    <n v="945602"/>
    <x v="2"/>
    <n v="1987"/>
    <n v="3"/>
    <n v="39"/>
    <s v="Excellent"/>
    <s v="High Risk"/>
  </r>
  <r>
    <d v="2020-01-26T00:00:00"/>
    <n v="14820"/>
    <s v="Operation - Manager"/>
    <s v="Operation"/>
    <s v="Manager"/>
    <n v="784"/>
    <n v="2"/>
    <n v="6"/>
    <d v="1992-04-26T00:00:00"/>
    <n v="959169"/>
    <x v="1"/>
    <n v="1992"/>
    <n v="1"/>
    <n v="34"/>
    <s v="Excellent"/>
    <s v="High Risk"/>
  </r>
  <r>
    <d v="2020-02-16T00:00:00"/>
    <n v="94706"/>
    <s v="Sales - Executive"/>
    <s v="Sales"/>
    <s v="Executive"/>
    <n v="718"/>
    <n v="1"/>
    <n v="2"/>
    <d v="1988-07-01T00:00:00"/>
    <n v="765265"/>
    <x v="2"/>
    <n v="1988"/>
    <n v="2"/>
    <n v="38"/>
    <s v="Good"/>
    <s v="Medium Risk"/>
  </r>
  <r>
    <d v="2020-06-10T00:00:00"/>
    <n v="18287"/>
    <s v="Marketing - Intern"/>
    <s v="Marketing"/>
    <s v="Intern"/>
    <n v="703"/>
    <n v="3"/>
    <n v="3"/>
    <d v="1986-03-06T00:00:00"/>
    <n v="651096"/>
    <x v="1"/>
    <n v="1986"/>
    <n v="6"/>
    <n v="40"/>
    <s v="Good"/>
    <s v="Medium Risk"/>
  </r>
  <r>
    <d v="2020-09-27T00:00:00"/>
    <n v="33013"/>
    <s v="Strategy - Manager"/>
    <s v="Strategy"/>
    <s v="Manager"/>
    <n v="766"/>
    <n v="4"/>
    <n v="10"/>
    <d v="1990-05-13T00:00:00"/>
    <n v="609677"/>
    <x v="2"/>
    <n v="1990"/>
    <n v="9"/>
    <n v="36"/>
    <s v="Excellent"/>
    <s v="High Risk"/>
  </r>
  <r>
    <d v="2020-04-17T00:00:00"/>
    <n v="71151"/>
    <s v="Growth - Director"/>
    <s v="Growth"/>
    <s v="Director"/>
    <n v="737"/>
    <n v="1"/>
    <n v="10"/>
    <d v="1985-03-14T00:00:00"/>
    <n v="582154"/>
    <x v="2"/>
    <n v="1985"/>
    <n v="4"/>
    <n v="41"/>
    <s v="Good"/>
    <s v="High Risk"/>
  </r>
  <r>
    <d v="2020-09-07T00:00:00"/>
    <n v="77027"/>
    <s v="Finance - Manager"/>
    <s v="Finance"/>
    <s v="Manager"/>
    <n v="783"/>
    <n v="2"/>
    <n v="1"/>
    <d v="1980-01-23T00:00:00"/>
    <n v="773882"/>
    <x v="1"/>
    <n v="1980"/>
    <n v="9"/>
    <n v="46"/>
    <s v="Excellent"/>
    <s v="Low Risk"/>
  </r>
  <r>
    <d v="2020-02-27T00:00:00"/>
    <n v="66416"/>
    <s v="Operation - Director"/>
    <s v="Operation"/>
    <s v="Director"/>
    <n v="715"/>
    <n v="2"/>
    <n v="9"/>
    <d v="1985-03-16T00:00:00"/>
    <n v="599224"/>
    <x v="1"/>
    <n v="1985"/>
    <n v="2"/>
    <n v="41"/>
    <s v="Good"/>
    <s v="High Risk"/>
  </r>
  <r>
    <d v="2020-01-29T00:00:00"/>
    <n v="56294"/>
    <s v="Marketing - Intern"/>
    <s v="Marketing"/>
    <s v="Intern"/>
    <n v="711"/>
    <n v="3"/>
    <n v="10"/>
    <d v="1984-08-31T00:00:00"/>
    <n v="765713"/>
    <x v="0"/>
    <n v="1984"/>
    <n v="1"/>
    <n v="42"/>
    <s v="Good"/>
    <s v="High Risk"/>
  </r>
  <r>
    <d v="2020-03-01T00:00:00"/>
    <n v="44734"/>
    <s v="Finance - Manager"/>
    <s v="Finance"/>
    <s v="Manager"/>
    <n v="796"/>
    <n v="1"/>
    <n v="6"/>
    <d v="1991-02-05T00:00:00"/>
    <n v="776281"/>
    <x v="1"/>
    <n v="1991"/>
    <n v="3"/>
    <n v="35"/>
    <s v="Excellent"/>
    <s v="High Risk"/>
  </r>
  <r>
    <d v="2020-07-31T00:00:00"/>
    <n v="78090"/>
    <s v="Finance - Director"/>
    <s v="Finance"/>
    <s v="Director"/>
    <n v="779"/>
    <n v="4"/>
    <n v="1"/>
    <d v="1983-08-21T00:00:00"/>
    <n v="511371"/>
    <x v="0"/>
    <n v="1983"/>
    <n v="7"/>
    <n v="43"/>
    <s v="Excellent"/>
    <s v="Low Risk"/>
  </r>
  <r>
    <d v="2020-09-15T00:00:00"/>
    <n v="96451"/>
    <s v="Strategy - Executive"/>
    <s v="Strategy"/>
    <s v="Executive"/>
    <n v="732"/>
    <n v="4"/>
    <n v="5"/>
    <d v="1992-07-05T00:00:00"/>
    <n v="948797"/>
    <x v="1"/>
    <n v="1992"/>
    <n v="9"/>
    <n v="34"/>
    <s v="Good"/>
    <s v="Medium Risk"/>
  </r>
  <r>
    <d v="2020-05-31T00:00:00"/>
    <n v="18301"/>
    <s v="Finance - Executive"/>
    <s v="Finance"/>
    <s v="Executive"/>
    <n v="700"/>
    <n v="5"/>
    <n v="10"/>
    <d v="1991-11-06T00:00:00"/>
    <n v="532162"/>
    <x v="0"/>
    <n v="1991"/>
    <n v="5"/>
    <n v="35"/>
    <s v="Good"/>
    <s v="High Risk"/>
  </r>
  <r>
    <d v="2020-06-01T00:00:00"/>
    <n v="46301"/>
    <s v="Finance - Manager"/>
    <s v="Finance"/>
    <s v="Manager"/>
    <n v="789"/>
    <n v="2"/>
    <n v="3"/>
    <d v="1988-10-18T00:00:00"/>
    <n v="522574"/>
    <x v="2"/>
    <n v="1988"/>
    <n v="6"/>
    <n v="38"/>
    <s v="Excellent"/>
    <s v="Medium Risk"/>
  </r>
  <r>
    <d v="2020-05-27T00:00:00"/>
    <n v="79812"/>
    <s v="Sales - Director"/>
    <s v="Sales"/>
    <s v="Director"/>
    <n v="703"/>
    <n v="2"/>
    <n v="6"/>
    <d v="1984-12-26T00:00:00"/>
    <n v="749612"/>
    <x v="0"/>
    <n v="1984"/>
    <n v="5"/>
    <n v="42"/>
    <s v="Good"/>
    <s v="High Risk"/>
  </r>
  <r>
    <d v="2020-10-19T00:00:00"/>
    <n v="29381"/>
    <s v="Finance - Manager"/>
    <s v="Finance"/>
    <s v="Manager"/>
    <n v="762"/>
    <n v="3"/>
    <n v="4"/>
    <d v="1986-05-08T00:00:00"/>
    <n v="856227"/>
    <x v="0"/>
    <n v="1986"/>
    <n v="10"/>
    <n v="40"/>
    <s v="Excellent"/>
    <s v="Medium Risk"/>
  </r>
  <r>
    <d v="2020-05-14T00:00:00"/>
    <n v="49301"/>
    <s v="Growth - Executive"/>
    <s v="Growth"/>
    <s v="Executive"/>
    <n v="760"/>
    <n v="5"/>
    <n v="3"/>
    <d v="1988-10-26T00:00:00"/>
    <n v="930103"/>
    <x v="0"/>
    <n v="1988"/>
    <n v="5"/>
    <n v="38"/>
    <s v="Excellent"/>
    <s v="Medium Risk"/>
  </r>
  <r>
    <d v="2020-07-05T00:00:00"/>
    <n v="27484"/>
    <s v="Strategy - Manager"/>
    <s v="Strategy"/>
    <s v="Manager"/>
    <n v="792"/>
    <n v="3"/>
    <n v="7"/>
    <d v="1981-02-10T00:00:00"/>
    <n v="894228"/>
    <x v="0"/>
    <n v="1981"/>
    <n v="7"/>
    <n v="45"/>
    <s v="Excellent"/>
    <s v="High Risk"/>
  </r>
  <r>
    <d v="2020-06-09T00:00:00"/>
    <n v="22173"/>
    <s v="Growth - Intern"/>
    <s v="Growth"/>
    <s v="Intern"/>
    <n v="730"/>
    <n v="5"/>
    <n v="9"/>
    <d v="1991-10-30T00:00:00"/>
    <n v="606031"/>
    <x v="1"/>
    <n v="1991"/>
    <n v="6"/>
    <n v="35"/>
    <s v="Good"/>
    <s v="High Risk"/>
  </r>
  <r>
    <d v="2020-07-25T00:00:00"/>
    <n v="54376"/>
    <s v="Growth - Intern"/>
    <s v="Growth"/>
    <s v="Intern"/>
    <n v="788"/>
    <n v="2"/>
    <n v="10"/>
    <d v="1988-10-16T00:00:00"/>
    <n v="826701"/>
    <x v="2"/>
    <n v="1988"/>
    <n v="7"/>
    <n v="38"/>
    <s v="Excellent"/>
    <s v="High Risk"/>
  </r>
  <r>
    <d v="2020-05-24T00:00:00"/>
    <n v="65661"/>
    <s v="Finance - Director"/>
    <s v="Finance"/>
    <s v="Director"/>
    <n v="735"/>
    <n v="3"/>
    <n v="5"/>
    <d v="1991-06-18T00:00:00"/>
    <n v="669792"/>
    <x v="2"/>
    <n v="1991"/>
    <n v="5"/>
    <n v="35"/>
    <s v="Good"/>
    <s v="Medium Risk"/>
  </r>
  <r>
    <d v="2020-11-14T00:00:00"/>
    <n v="61481"/>
    <s v="Marketing - Manager"/>
    <s v="Marketing"/>
    <s v="Manager"/>
    <n v="722"/>
    <n v="1"/>
    <n v="9"/>
    <d v="1990-04-05T00:00:00"/>
    <n v="875570"/>
    <x v="0"/>
    <n v="1990"/>
    <n v="11"/>
    <n v="36"/>
    <s v="Good"/>
    <s v="High Risk"/>
  </r>
  <r>
    <d v="2020-01-02T00:00:00"/>
    <n v="94928"/>
    <s v="Growth - Director"/>
    <s v="Growth"/>
    <s v="Director"/>
    <n v="767"/>
    <n v="4"/>
    <n v="8"/>
    <d v="1984-05-22T00:00:00"/>
    <n v="646484"/>
    <x v="1"/>
    <n v="1984"/>
    <n v="1"/>
    <n v="42"/>
    <s v="Excellent"/>
    <s v="High Risk"/>
  </r>
  <r>
    <d v="2020-06-22T00:00:00"/>
    <n v="40486"/>
    <s v="Growth - Intern"/>
    <s v="Growth"/>
    <s v="Intern"/>
    <n v="759"/>
    <n v="5"/>
    <n v="3"/>
    <d v="1984-09-19T00:00:00"/>
    <n v="668078"/>
    <x v="0"/>
    <n v="1984"/>
    <n v="6"/>
    <n v="42"/>
    <s v="Excellent"/>
    <s v="Medium Risk"/>
  </r>
  <r>
    <d v="2020-03-17T00:00:00"/>
    <n v="64958"/>
    <s v="Operation - Intern"/>
    <s v="Operation"/>
    <s v="Intern"/>
    <n v="754"/>
    <n v="5"/>
    <n v="4"/>
    <d v="1983-10-06T00:00:00"/>
    <n v="937616"/>
    <x v="2"/>
    <n v="1983"/>
    <n v="3"/>
    <n v="43"/>
    <s v="Excellent"/>
    <s v="Medium Risk"/>
  </r>
  <r>
    <d v="2020-09-13T00:00:00"/>
    <n v="70729"/>
    <s v="Finance - Manager"/>
    <s v="Finance"/>
    <s v="Manager"/>
    <n v="764"/>
    <n v="5"/>
    <n v="6"/>
    <d v="1991-05-09T00:00:00"/>
    <n v="677063"/>
    <x v="1"/>
    <n v="1991"/>
    <n v="9"/>
    <n v="35"/>
    <s v="Excellent"/>
    <s v="High Risk"/>
  </r>
  <r>
    <d v="2020-11-28T00:00:00"/>
    <n v="96414"/>
    <s v="Marketing - Intern"/>
    <s v="Marketing"/>
    <s v="Intern"/>
    <n v="745"/>
    <n v="5"/>
    <n v="9"/>
    <d v="1990-02-26T00:00:00"/>
    <n v="803817"/>
    <x v="0"/>
    <n v="1990"/>
    <n v="11"/>
    <n v="36"/>
    <s v="Good"/>
    <s v="High Risk"/>
  </r>
  <r>
    <d v="2020-08-02T00:00:00"/>
    <n v="33677"/>
    <s v="Growth - Director"/>
    <s v="Growth"/>
    <s v="Director"/>
    <n v="782"/>
    <n v="4"/>
    <n v="6"/>
    <d v="1992-07-24T00:00:00"/>
    <n v="821477"/>
    <x v="1"/>
    <n v="1992"/>
    <n v="8"/>
    <n v="34"/>
    <s v="Excellent"/>
    <s v="High Risk"/>
  </r>
  <r>
    <d v="2020-06-26T00:00:00"/>
    <n v="58063"/>
    <s v="Finance - Manager"/>
    <s v="Finance"/>
    <s v="Manager"/>
    <n v="765"/>
    <n v="2"/>
    <n v="9"/>
    <d v="1982-11-01T00:00:00"/>
    <n v="657984"/>
    <x v="1"/>
    <n v="1982"/>
    <n v="6"/>
    <n v="44"/>
    <s v="Excellent"/>
    <s v="High Risk"/>
  </r>
  <r>
    <d v="2020-10-27T00:00:00"/>
    <n v="81615"/>
    <s v="Operation - Executive"/>
    <s v="Operation"/>
    <s v="Executive"/>
    <n v="712"/>
    <n v="3"/>
    <n v="2"/>
    <d v="1981-12-25T00:00:00"/>
    <n v="679377"/>
    <x v="2"/>
    <n v="1981"/>
    <n v="10"/>
    <n v="45"/>
    <s v="Good"/>
    <s v="Medium Risk"/>
  </r>
  <r>
    <d v="2020-06-07T00:00:00"/>
    <n v="20244"/>
    <s v="Growth - Intern"/>
    <s v="Growth"/>
    <s v="Intern"/>
    <n v="767"/>
    <n v="1"/>
    <n v="10"/>
    <d v="1992-12-25T00:00:00"/>
    <n v="962286"/>
    <x v="1"/>
    <n v="1992"/>
    <n v="6"/>
    <n v="34"/>
    <s v="Excellent"/>
    <s v="High Risk"/>
  </r>
  <r>
    <d v="2020-05-11T00:00:00"/>
    <n v="97648"/>
    <s v="Growth - Manager"/>
    <s v="Growth"/>
    <s v="Manager"/>
    <n v="775"/>
    <n v="3"/>
    <n v="9"/>
    <d v="1990-10-28T00:00:00"/>
    <n v="860215"/>
    <x v="2"/>
    <n v="1990"/>
    <n v="5"/>
    <n v="36"/>
    <s v="Excellent"/>
    <s v="High Risk"/>
  </r>
  <r>
    <d v="2020-08-08T00:00:00"/>
    <n v="50647"/>
    <s v="Operation - Manager"/>
    <s v="Operation"/>
    <s v="Manager"/>
    <n v="753"/>
    <n v="5"/>
    <n v="2"/>
    <d v="1985-01-30T00:00:00"/>
    <n v="522681"/>
    <x v="1"/>
    <n v="1985"/>
    <n v="8"/>
    <n v="41"/>
    <s v="Excellent"/>
    <s v="Low Risk"/>
  </r>
  <r>
    <d v="2020-01-26T00:00:00"/>
    <n v="13236"/>
    <s v="Finance - Executive"/>
    <s v="Finance"/>
    <s v="Executive"/>
    <n v="728"/>
    <n v="2"/>
    <n v="3"/>
    <d v="1988-02-03T00:00:00"/>
    <n v="555277"/>
    <x v="0"/>
    <n v="1988"/>
    <n v="1"/>
    <n v="38"/>
    <s v="Good"/>
    <s v="Medium Risk"/>
  </r>
  <r>
    <d v="2020-07-06T00:00:00"/>
    <n v="61444"/>
    <s v="Marketing - Intern"/>
    <s v="Marketing"/>
    <s v="Intern"/>
    <n v="783"/>
    <n v="1"/>
    <n v="2"/>
    <d v="1983-11-24T00:00:00"/>
    <n v="857148"/>
    <x v="0"/>
    <n v="1983"/>
    <n v="7"/>
    <n v="43"/>
    <s v="Excellent"/>
    <s v="Low Risk"/>
  </r>
  <r>
    <d v="2020-06-22T00:00:00"/>
    <n v="26611"/>
    <s v="Marketing - Intern"/>
    <s v="Marketing"/>
    <s v="Intern"/>
    <n v="726"/>
    <n v="5"/>
    <n v="3"/>
    <d v="1981-05-15T00:00:00"/>
    <n v="870214"/>
    <x v="1"/>
    <n v="1981"/>
    <n v="6"/>
    <n v="45"/>
    <s v="Good"/>
    <s v="Medium Risk"/>
  </r>
  <r>
    <d v="2020-07-11T00:00:00"/>
    <n v="91537"/>
    <s v="Sales - Executive"/>
    <s v="Sales"/>
    <s v="Executive"/>
    <n v="756"/>
    <n v="5"/>
    <n v="2"/>
    <d v="1991-02-20T00:00:00"/>
    <n v="627376"/>
    <x v="0"/>
    <n v="1991"/>
    <n v="7"/>
    <n v="35"/>
    <s v="Excellent"/>
    <s v="Low Risk"/>
  </r>
  <r>
    <d v="2020-10-24T00:00:00"/>
    <n v="32099"/>
    <s v="Finance - Director"/>
    <s v="Finance"/>
    <s v="Director"/>
    <n v="756"/>
    <n v="4"/>
    <n v="10"/>
    <d v="1984-07-15T00:00:00"/>
    <n v="954359"/>
    <x v="2"/>
    <n v="1984"/>
    <n v="10"/>
    <n v="42"/>
    <s v="Excellent"/>
    <s v="High Risk"/>
  </r>
  <r>
    <d v="2020-05-24T00:00:00"/>
    <n v="28619"/>
    <s v="Strategy - Manager"/>
    <s v="Strategy"/>
    <s v="Manager"/>
    <n v="704"/>
    <n v="4"/>
    <n v="1"/>
    <d v="1986-12-13T00:00:00"/>
    <n v="646469"/>
    <x v="0"/>
    <n v="1986"/>
    <n v="5"/>
    <n v="40"/>
    <s v="Good"/>
    <s v="Medium Risk"/>
  </r>
  <r>
    <d v="2020-08-12T00:00:00"/>
    <n v="20711"/>
    <s v="Strategy - Director"/>
    <s v="Strategy"/>
    <s v="Director"/>
    <n v="761"/>
    <n v="1"/>
    <n v="2"/>
    <d v="1988-05-25T00:00:00"/>
    <n v="826223"/>
    <x v="2"/>
    <n v="1988"/>
    <n v="8"/>
    <n v="38"/>
    <s v="Excellent"/>
    <s v="Low Risk"/>
  </r>
  <r>
    <d v="2020-07-25T00:00:00"/>
    <n v="75218"/>
    <s v="Strategy - Intern"/>
    <s v="Strategy"/>
    <s v="Intern"/>
    <n v="713"/>
    <n v="2"/>
    <n v="5"/>
    <d v="1990-01-06T00:00:00"/>
    <n v="876627"/>
    <x v="0"/>
    <n v="1990"/>
    <n v="7"/>
    <n v="36"/>
    <s v="Good"/>
    <s v="Medium Risk"/>
  </r>
  <r>
    <d v="2020-07-13T00:00:00"/>
    <n v="22308"/>
    <s v="Marketing - Executive"/>
    <s v="Marketing"/>
    <s v="Executive"/>
    <n v="782"/>
    <n v="3"/>
    <n v="4"/>
    <d v="1981-02-24T00:00:00"/>
    <n v="695501"/>
    <x v="2"/>
    <n v="1981"/>
    <n v="7"/>
    <n v="45"/>
    <s v="Excellent"/>
    <s v="Medium Risk"/>
  </r>
  <r>
    <d v="2020-04-30T00:00:00"/>
    <n v="40929"/>
    <s v="Finance - Executive"/>
    <s v="Finance"/>
    <s v="Executive"/>
    <n v="718"/>
    <n v="1"/>
    <n v="3"/>
    <d v="1988-12-16T00:00:00"/>
    <n v="533267"/>
    <x v="2"/>
    <n v="1988"/>
    <n v="4"/>
    <n v="38"/>
    <s v="Good"/>
    <s v="Medium Risk"/>
  </r>
  <r>
    <d v="2020-02-16T00:00:00"/>
    <n v="57724"/>
    <s v="Operation - Intern"/>
    <s v="Operation"/>
    <s v="Intern"/>
    <n v="786"/>
    <n v="5"/>
    <n v="1"/>
    <d v="1982-12-20T00:00:00"/>
    <n v="887534"/>
    <x v="1"/>
    <n v="1982"/>
    <n v="2"/>
    <n v="44"/>
    <s v="Excellent"/>
    <s v="Low Risk"/>
  </r>
  <r>
    <d v="2020-09-08T00:00:00"/>
    <n v="97800"/>
    <s v="Sales - Manager"/>
    <s v="Sales"/>
    <s v="Manager"/>
    <n v="763"/>
    <n v="3"/>
    <n v="4"/>
    <d v="1981-10-14T00:00:00"/>
    <n v="861672"/>
    <x v="1"/>
    <n v="1981"/>
    <n v="9"/>
    <n v="45"/>
    <s v="Excellent"/>
    <s v="Medium Risk"/>
  </r>
  <r>
    <d v="2020-10-08T00:00:00"/>
    <n v="11126"/>
    <s v="Operation - Executive"/>
    <s v="Operation"/>
    <s v="Executive"/>
    <n v="777"/>
    <n v="5"/>
    <n v="1"/>
    <d v="1989-08-19T00:00:00"/>
    <n v="672213"/>
    <x v="1"/>
    <n v="1989"/>
    <n v="10"/>
    <n v="37"/>
    <s v="Excellent"/>
    <s v="Low Risk"/>
  </r>
  <r>
    <d v="2020-08-12T00:00:00"/>
    <n v="94574"/>
    <s v="Finance - Director"/>
    <s v="Finance"/>
    <s v="Director"/>
    <n v="720"/>
    <n v="5"/>
    <n v="9"/>
    <d v="1991-09-27T00:00:00"/>
    <n v="906952"/>
    <x v="1"/>
    <n v="1991"/>
    <n v="8"/>
    <n v="35"/>
    <s v="Good"/>
    <s v="High Risk"/>
  </r>
  <r>
    <d v="2020-09-18T00:00:00"/>
    <n v="16350"/>
    <s v="Finance - Intern"/>
    <s v="Finance"/>
    <s v="Intern"/>
    <n v="716"/>
    <n v="5"/>
    <n v="10"/>
    <d v="1984-04-23T00:00:00"/>
    <n v="821944"/>
    <x v="0"/>
    <n v="1984"/>
    <n v="9"/>
    <n v="42"/>
    <s v="Good"/>
    <s v="High Risk"/>
  </r>
  <r>
    <d v="2020-05-11T00:00:00"/>
    <n v="82645"/>
    <s v="Finance - Manager"/>
    <s v="Finance"/>
    <s v="Manager"/>
    <n v="743"/>
    <n v="3"/>
    <n v="1"/>
    <d v="1980-03-28T00:00:00"/>
    <n v="680862"/>
    <x v="1"/>
    <n v="1980"/>
    <n v="5"/>
    <n v="46"/>
    <s v="Good"/>
    <s v="Medium Risk"/>
  </r>
  <r>
    <d v="2020-11-09T00:00:00"/>
    <n v="38073"/>
    <s v="Strategy - Director"/>
    <s v="Strategy"/>
    <s v="Director"/>
    <n v="798"/>
    <n v="3"/>
    <n v="3"/>
    <d v="1986-11-27T00:00:00"/>
    <n v="693830"/>
    <x v="2"/>
    <n v="1986"/>
    <n v="11"/>
    <n v="40"/>
    <s v="Excellent"/>
    <s v="Medium Risk"/>
  </r>
  <r>
    <d v="2020-11-25T00:00:00"/>
    <n v="14716"/>
    <s v="Growth - Manager"/>
    <s v="Growth"/>
    <s v="Manager"/>
    <n v="745"/>
    <n v="1"/>
    <n v="5"/>
    <d v="1986-09-12T00:00:00"/>
    <n v="777241"/>
    <x v="2"/>
    <n v="1986"/>
    <n v="11"/>
    <n v="40"/>
    <s v="Good"/>
    <s v="Medium Risk"/>
  </r>
  <r>
    <d v="2020-05-27T00:00:00"/>
    <n v="81159"/>
    <s v="Strategy - Intern"/>
    <s v="Strategy"/>
    <s v="Intern"/>
    <n v="763"/>
    <n v="3"/>
    <n v="9"/>
    <d v="1982-05-30T00:00:00"/>
    <n v="975228"/>
    <x v="0"/>
    <n v="1982"/>
    <n v="5"/>
    <n v="44"/>
    <s v="Excellent"/>
    <s v="High Risk"/>
  </r>
  <r>
    <d v="2020-07-19T00:00:00"/>
    <n v="53880"/>
    <s v="Strategy - Intern"/>
    <s v="Strategy"/>
    <s v="Intern"/>
    <n v="701"/>
    <n v="5"/>
    <n v="7"/>
    <d v="1983-12-14T00:00:00"/>
    <n v="771214"/>
    <x v="2"/>
    <n v="1983"/>
    <n v="7"/>
    <n v="43"/>
    <s v="Good"/>
    <s v="High Risk"/>
  </r>
  <r>
    <d v="2020-06-26T00:00:00"/>
    <n v="99629"/>
    <s v="Marketing - Executive"/>
    <s v="Marketing"/>
    <s v="Executive"/>
    <n v="740"/>
    <n v="2"/>
    <n v="10"/>
    <d v="1992-02-11T00:00:00"/>
    <n v="565545"/>
    <x v="1"/>
    <n v="1992"/>
    <n v="6"/>
    <n v="34"/>
    <s v="Good"/>
    <s v="High Risk"/>
  </r>
  <r>
    <d v="2020-06-30T00:00:00"/>
    <n v="24234"/>
    <s v="Growth - Director"/>
    <s v="Growth"/>
    <s v="Director"/>
    <n v="747"/>
    <n v="3"/>
    <n v="10"/>
    <d v="1992-11-08T00:00:00"/>
    <n v="765449"/>
    <x v="0"/>
    <n v="1992"/>
    <n v="6"/>
    <n v="34"/>
    <s v="Good"/>
    <s v="High Risk"/>
  </r>
  <r>
    <d v="2020-04-21T00:00:00"/>
    <n v="31539"/>
    <s v="Marketing - Director"/>
    <s v="Marketing"/>
    <s v="Director"/>
    <n v="790"/>
    <n v="1"/>
    <n v="7"/>
    <d v="1985-01-18T00:00:00"/>
    <n v="682740"/>
    <x v="2"/>
    <n v="1985"/>
    <n v="4"/>
    <n v="41"/>
    <s v="Excellent"/>
    <s v="High Risk"/>
  </r>
  <r>
    <d v="2020-09-14T00:00:00"/>
    <n v="81827"/>
    <s v="Growth - Manager"/>
    <s v="Growth"/>
    <s v="Manager"/>
    <n v="785"/>
    <n v="5"/>
    <n v="3"/>
    <d v="1986-03-24T00:00:00"/>
    <n v="980836"/>
    <x v="1"/>
    <n v="1986"/>
    <n v="9"/>
    <n v="40"/>
    <s v="Excellent"/>
    <s v="Medium Risk"/>
  </r>
  <r>
    <d v="2020-11-18T00:00:00"/>
    <n v="45458"/>
    <s v="Strategy - Director"/>
    <s v="Strategy"/>
    <s v="Director"/>
    <n v="755"/>
    <n v="1"/>
    <n v="7"/>
    <d v="1989-08-28T00:00:00"/>
    <n v="689069"/>
    <x v="2"/>
    <n v="1989"/>
    <n v="11"/>
    <n v="37"/>
    <s v="Excellent"/>
    <s v="High Risk"/>
  </r>
  <r>
    <d v="2020-03-28T00:00:00"/>
    <n v="67627"/>
    <s v="Operation - Manager"/>
    <s v="Operation"/>
    <s v="Manager"/>
    <n v="729"/>
    <n v="3"/>
    <n v="1"/>
    <d v="1992-11-17T00:00:00"/>
    <n v="806247"/>
    <x v="1"/>
    <n v="1992"/>
    <n v="3"/>
    <n v="34"/>
    <s v="Good"/>
    <s v="Medium Risk"/>
  </r>
  <r>
    <d v="2020-08-29T00:00:00"/>
    <n v="72047"/>
    <s v="Marketing - Manager"/>
    <s v="Marketing"/>
    <s v="Manager"/>
    <n v="705"/>
    <n v="4"/>
    <n v="1"/>
    <d v="1988-08-31T00:00:00"/>
    <n v="804174"/>
    <x v="2"/>
    <n v="1988"/>
    <n v="8"/>
    <n v="38"/>
    <s v="Good"/>
    <s v="Medium Risk"/>
  </r>
  <r>
    <d v="2020-09-04T00:00:00"/>
    <n v="93155"/>
    <s v="Marketing - Manager"/>
    <s v="Marketing"/>
    <s v="Manager"/>
    <n v="798"/>
    <n v="2"/>
    <n v="8"/>
    <d v="1991-04-24T00:00:00"/>
    <n v="966413"/>
    <x v="2"/>
    <n v="1991"/>
    <n v="9"/>
    <n v="35"/>
    <s v="Excellent"/>
    <s v="High Risk"/>
  </r>
  <r>
    <d v="2020-03-12T00:00:00"/>
    <n v="80058"/>
    <s v="Operation - Manager"/>
    <s v="Operation"/>
    <s v="Manager"/>
    <n v="795"/>
    <n v="4"/>
    <n v="6"/>
    <d v="1980-02-28T00:00:00"/>
    <n v="617424"/>
    <x v="1"/>
    <n v="1980"/>
    <n v="3"/>
    <n v="46"/>
    <s v="Excellent"/>
    <s v="High Risk"/>
  </r>
  <r>
    <d v="2020-03-10T00:00:00"/>
    <n v="79415"/>
    <s v="Marketing - Director"/>
    <s v="Marketing"/>
    <s v="Director"/>
    <n v="750"/>
    <n v="4"/>
    <n v="8"/>
    <d v="1989-01-18T00:00:00"/>
    <n v="539918"/>
    <x v="2"/>
    <n v="1989"/>
    <n v="3"/>
    <n v="37"/>
    <s v="Excellent"/>
    <s v="High Risk"/>
  </r>
  <r>
    <d v="2020-03-15T00:00:00"/>
    <n v="46354"/>
    <s v="Sales - Intern"/>
    <s v="Sales"/>
    <s v="Intern"/>
    <n v="700"/>
    <n v="3"/>
    <n v="3"/>
    <d v="1986-07-24T00:00:00"/>
    <n v="598644"/>
    <x v="1"/>
    <n v="1986"/>
    <n v="3"/>
    <n v="40"/>
    <s v="Good"/>
    <s v="Medium Risk"/>
  </r>
  <r>
    <d v="2020-04-25T00:00:00"/>
    <n v="12868"/>
    <s v="Strategy - Director"/>
    <s v="Strategy"/>
    <s v="Director"/>
    <n v="747"/>
    <n v="4"/>
    <n v="9"/>
    <d v="1994-05-16T00:00:00"/>
    <n v="624403"/>
    <x v="0"/>
    <n v="1994"/>
    <n v="4"/>
    <n v="32"/>
    <s v="Good"/>
    <s v="High Risk"/>
  </r>
  <r>
    <d v="2020-10-23T00:00:00"/>
    <n v="54769"/>
    <s v="Operation - Manager"/>
    <s v="Operation"/>
    <s v="Manager"/>
    <n v="732"/>
    <n v="2"/>
    <n v="3"/>
    <d v="1984-02-28T00:00:00"/>
    <n v="788050"/>
    <x v="2"/>
    <n v="1984"/>
    <n v="10"/>
    <n v="42"/>
    <s v="Good"/>
    <s v="Medium Risk"/>
  </r>
  <r>
    <d v="2020-06-03T00:00:00"/>
    <n v="18483"/>
    <s v="Strategy - Intern"/>
    <s v="Strategy"/>
    <s v="Intern"/>
    <n v="800"/>
    <n v="2"/>
    <n v="6"/>
    <d v="1987-07-18T00:00:00"/>
    <n v="707675"/>
    <x v="0"/>
    <n v="1987"/>
    <n v="6"/>
    <n v="39"/>
    <s v="Excellent"/>
    <s v="High Risk"/>
  </r>
  <r>
    <d v="2020-04-11T00:00:00"/>
    <n v="78797"/>
    <s v="Growth - Manager"/>
    <s v="Growth"/>
    <s v="Manager"/>
    <n v="735"/>
    <n v="5"/>
    <n v="5"/>
    <d v="1986-09-28T00:00:00"/>
    <n v="832627"/>
    <x v="0"/>
    <n v="1986"/>
    <n v="4"/>
    <n v="40"/>
    <s v="Good"/>
    <s v="Medium Risk"/>
  </r>
  <r>
    <d v="2020-11-15T00:00:00"/>
    <n v="32940"/>
    <s v="Finance - Director"/>
    <s v="Finance"/>
    <s v="Director"/>
    <n v="765"/>
    <n v="1"/>
    <n v="2"/>
    <d v="1985-01-30T00:00:00"/>
    <n v="804818"/>
    <x v="0"/>
    <n v="1985"/>
    <n v="11"/>
    <n v="41"/>
    <s v="Excellent"/>
    <s v="Low Risk"/>
  </r>
  <r>
    <d v="2020-10-16T00:00:00"/>
    <n v="54381"/>
    <s v="Finance - Director"/>
    <s v="Finance"/>
    <s v="Director"/>
    <n v="798"/>
    <n v="2"/>
    <n v="2"/>
    <d v="1986-02-04T00:00:00"/>
    <n v="869201"/>
    <x v="1"/>
    <n v="1986"/>
    <n v="10"/>
    <n v="40"/>
    <s v="Excellent"/>
    <s v="Low Risk"/>
  </r>
  <r>
    <d v="2020-08-06T00:00:00"/>
    <n v="64344"/>
    <s v="Sales - Executive"/>
    <s v="Sales"/>
    <s v="Executive"/>
    <n v="701"/>
    <n v="2"/>
    <n v="10"/>
    <d v="1983-11-14T00:00:00"/>
    <n v="824500"/>
    <x v="1"/>
    <n v="1983"/>
    <n v="8"/>
    <n v="43"/>
    <s v="Good"/>
    <s v="High Risk"/>
  </r>
  <r>
    <d v="2020-03-10T00:00:00"/>
    <n v="41689"/>
    <s v="Growth - Manager"/>
    <s v="Growth"/>
    <s v="Manager"/>
    <n v="714"/>
    <n v="4"/>
    <n v="5"/>
    <d v="1990-10-25T00:00:00"/>
    <n v="631899"/>
    <x v="0"/>
    <n v="1990"/>
    <n v="3"/>
    <n v="36"/>
    <s v="Good"/>
    <s v="Medium Risk"/>
  </r>
  <r>
    <d v="2020-10-27T00:00:00"/>
    <n v="95894"/>
    <s v="Sales - Manager"/>
    <s v="Sales"/>
    <s v="Manager"/>
    <n v="715"/>
    <n v="3"/>
    <n v="8"/>
    <d v="1980-07-12T00:00:00"/>
    <n v="695967"/>
    <x v="0"/>
    <n v="1980"/>
    <n v="10"/>
    <n v="46"/>
    <s v="Good"/>
    <s v="High Risk"/>
  </r>
  <r>
    <d v="2020-03-04T00:00:00"/>
    <n v="35780"/>
    <s v="Marketing - Executive"/>
    <s v="Marketing"/>
    <s v="Executive"/>
    <n v="763"/>
    <n v="1"/>
    <n v="7"/>
    <d v="1981-08-11T00:00:00"/>
    <n v="526782"/>
    <x v="0"/>
    <n v="1981"/>
    <n v="3"/>
    <n v="45"/>
    <s v="Excellent"/>
    <s v="High Risk"/>
  </r>
  <r>
    <d v="2020-07-07T00:00:00"/>
    <n v="28120"/>
    <s v="Marketing - Executive"/>
    <s v="Marketing"/>
    <s v="Executive"/>
    <n v="735"/>
    <n v="3"/>
    <n v="3"/>
    <d v="1993-03-27T00:00:00"/>
    <n v="761956"/>
    <x v="0"/>
    <n v="1993"/>
    <n v="7"/>
    <n v="33"/>
    <s v="Good"/>
    <s v="Medium Risk"/>
  </r>
  <r>
    <d v="2020-11-16T00:00:00"/>
    <n v="98400"/>
    <s v="Marketing - Manager"/>
    <s v="Marketing"/>
    <s v="Manager"/>
    <n v="728"/>
    <n v="1"/>
    <n v="3"/>
    <d v="1983-02-18T00:00:00"/>
    <n v="928898"/>
    <x v="1"/>
    <n v="1983"/>
    <n v="11"/>
    <n v="43"/>
    <s v="Good"/>
    <s v="Medium Risk"/>
  </r>
  <r>
    <d v="2020-07-07T00:00:00"/>
    <n v="39285"/>
    <s v="Strategy - Executive"/>
    <s v="Strategy"/>
    <s v="Executive"/>
    <n v="800"/>
    <n v="5"/>
    <n v="1"/>
    <d v="1980-09-20T00:00:00"/>
    <n v="845711"/>
    <x v="0"/>
    <n v="1980"/>
    <n v="7"/>
    <n v="46"/>
    <s v="Excellent"/>
    <s v="Low Risk"/>
  </r>
  <r>
    <d v="2020-03-29T00:00:00"/>
    <n v="60601"/>
    <s v="Strategy - Executive"/>
    <s v="Strategy"/>
    <s v="Executive"/>
    <n v="718"/>
    <n v="1"/>
    <n v="9"/>
    <d v="1986-04-05T00:00:00"/>
    <n v="659772"/>
    <x v="2"/>
    <n v="1986"/>
    <n v="3"/>
    <n v="40"/>
    <s v="Good"/>
    <s v="High Risk"/>
  </r>
  <r>
    <d v="2020-01-16T00:00:00"/>
    <n v="52124"/>
    <s v="Strategy - Intern"/>
    <s v="Strategy"/>
    <s v="Intern"/>
    <n v="704"/>
    <n v="4"/>
    <n v="4"/>
    <d v="1985-12-25T00:00:00"/>
    <n v="883451"/>
    <x v="1"/>
    <n v="1985"/>
    <n v="1"/>
    <n v="41"/>
    <s v="Good"/>
    <s v="Medium Risk"/>
  </r>
  <r>
    <d v="2020-11-02T00:00:00"/>
    <n v="48906"/>
    <s v="Growth - Manager"/>
    <s v="Growth"/>
    <s v="Manager"/>
    <n v="764"/>
    <n v="4"/>
    <n v="3"/>
    <d v="1993-10-23T00:00:00"/>
    <n v="598402"/>
    <x v="2"/>
    <n v="1993"/>
    <n v="11"/>
    <n v="33"/>
    <s v="Excellent"/>
    <s v="Medium Risk"/>
  </r>
  <r>
    <d v="2020-06-02T00:00:00"/>
    <n v="94013"/>
    <s v="Growth - Intern"/>
    <s v="Growth"/>
    <s v="Intern"/>
    <n v="746"/>
    <n v="5"/>
    <n v="3"/>
    <d v="1989-01-17T00:00:00"/>
    <n v="766825"/>
    <x v="1"/>
    <n v="1989"/>
    <n v="6"/>
    <n v="37"/>
    <s v="Good"/>
    <s v="Medium Risk"/>
  </r>
  <r>
    <d v="2020-11-04T00:00:00"/>
    <n v="91564"/>
    <s v="Marketing - Intern"/>
    <s v="Marketing"/>
    <s v="Intern"/>
    <n v="733"/>
    <n v="3"/>
    <n v="3"/>
    <d v="1993-10-28T00:00:00"/>
    <n v="520185"/>
    <x v="2"/>
    <n v="1993"/>
    <n v="11"/>
    <n v="33"/>
    <s v="Good"/>
    <s v="Medium Risk"/>
  </r>
  <r>
    <d v="2020-09-21T00:00:00"/>
    <n v="77571"/>
    <s v="Strategy - Intern"/>
    <s v="Strategy"/>
    <s v="Intern"/>
    <n v="768"/>
    <n v="5"/>
    <n v="3"/>
    <d v="1985-07-25T00:00:00"/>
    <n v="652693"/>
    <x v="0"/>
    <n v="1985"/>
    <n v="9"/>
    <n v="41"/>
    <s v="Excellent"/>
    <s v="Medium Risk"/>
  </r>
  <r>
    <d v="2020-06-30T00:00:00"/>
    <n v="62920"/>
    <s v="Operation - Intern"/>
    <s v="Operation"/>
    <s v="Intern"/>
    <n v="797"/>
    <n v="4"/>
    <n v="1"/>
    <d v="1984-07-23T00:00:00"/>
    <n v="974604"/>
    <x v="1"/>
    <n v="1984"/>
    <n v="6"/>
    <n v="42"/>
    <s v="Excellent"/>
    <s v="Low Risk"/>
  </r>
  <r>
    <d v="2020-09-07T00:00:00"/>
    <n v="51657"/>
    <s v="Finance - Executive"/>
    <s v="Finance"/>
    <s v="Executive"/>
    <n v="700"/>
    <n v="3"/>
    <n v="10"/>
    <d v="1994-02-08T00:00:00"/>
    <n v="652556"/>
    <x v="0"/>
    <n v="1994"/>
    <n v="9"/>
    <n v="32"/>
    <s v="Good"/>
    <s v="High Risk"/>
  </r>
  <r>
    <d v="2020-08-14T00:00:00"/>
    <n v="27189"/>
    <s v="Strategy - Executive"/>
    <s v="Strategy"/>
    <s v="Executive"/>
    <n v="792"/>
    <n v="5"/>
    <n v="8"/>
    <d v="1980-11-09T00:00:00"/>
    <n v="981713"/>
    <x v="1"/>
    <n v="1980"/>
    <n v="8"/>
    <n v="46"/>
    <s v="Excellent"/>
    <s v="High Risk"/>
  </r>
  <r>
    <d v="2020-03-06T00:00:00"/>
    <n v="95814"/>
    <s v="Operation - Director"/>
    <s v="Operation"/>
    <s v="Director"/>
    <n v="780"/>
    <n v="3"/>
    <n v="7"/>
    <d v="1980-04-22T00:00:00"/>
    <n v="825297"/>
    <x v="1"/>
    <n v="1980"/>
    <n v="3"/>
    <n v="46"/>
    <s v="Excellent"/>
    <s v="High Risk"/>
  </r>
  <r>
    <d v="2020-06-08T00:00:00"/>
    <n v="56624"/>
    <s v="Operation - Executive"/>
    <s v="Operation"/>
    <s v="Executive"/>
    <n v="732"/>
    <n v="4"/>
    <n v="9"/>
    <d v="1983-09-28T00:00:00"/>
    <n v="848351"/>
    <x v="2"/>
    <n v="1983"/>
    <n v="6"/>
    <n v="43"/>
    <s v="Good"/>
    <s v="High Risk"/>
  </r>
  <r>
    <d v="2020-07-22T00:00:00"/>
    <n v="60042"/>
    <s v="Finance - Executive"/>
    <s v="Finance"/>
    <s v="Executive"/>
    <n v="775"/>
    <n v="5"/>
    <n v="8"/>
    <d v="1981-03-14T00:00:00"/>
    <n v="777439"/>
    <x v="0"/>
    <n v="1981"/>
    <n v="7"/>
    <n v="45"/>
    <s v="Excellent"/>
    <s v="High Risk"/>
  </r>
  <r>
    <d v="2020-01-04T00:00:00"/>
    <n v="54677"/>
    <s v="Marketing - Director"/>
    <s v="Marketing"/>
    <s v="Director"/>
    <n v="775"/>
    <n v="2"/>
    <n v="9"/>
    <d v="1988-02-02T00:00:00"/>
    <n v="792628"/>
    <x v="1"/>
    <n v="1988"/>
    <n v="1"/>
    <n v="38"/>
    <s v="Excellent"/>
    <s v="High Risk"/>
  </r>
  <r>
    <d v="2020-07-07T00:00:00"/>
    <n v="95702"/>
    <s v="Growth - Manager"/>
    <s v="Growth"/>
    <s v="Manager"/>
    <n v="776"/>
    <n v="1"/>
    <n v="8"/>
    <d v="1980-04-14T00:00:00"/>
    <n v="849554"/>
    <x v="1"/>
    <n v="1980"/>
    <n v="7"/>
    <n v="46"/>
    <s v="Excellent"/>
    <s v="High Risk"/>
  </r>
  <r>
    <d v="2020-11-24T00:00:00"/>
    <n v="33695"/>
    <s v="Growth - Director"/>
    <s v="Growth"/>
    <s v="Director"/>
    <n v="752"/>
    <n v="4"/>
    <n v="10"/>
    <d v="1983-01-28T00:00:00"/>
    <n v="542294"/>
    <x v="1"/>
    <n v="1983"/>
    <n v="11"/>
    <n v="43"/>
    <s v="Excellent"/>
    <s v="High Risk"/>
  </r>
  <r>
    <d v="2020-09-10T00:00:00"/>
    <n v="60864"/>
    <s v="Sales - Director"/>
    <s v="Sales"/>
    <s v="Director"/>
    <n v="780"/>
    <n v="2"/>
    <n v="5"/>
    <d v="1981-04-24T00:00:00"/>
    <n v="701846"/>
    <x v="2"/>
    <n v="1981"/>
    <n v="9"/>
    <n v="45"/>
    <s v="Excellent"/>
    <s v="Medium Risk"/>
  </r>
  <r>
    <d v="2020-06-29T00:00:00"/>
    <n v="85562"/>
    <s v="Operation - Director"/>
    <s v="Operation"/>
    <s v="Director"/>
    <n v="800"/>
    <n v="3"/>
    <n v="1"/>
    <d v="1990-07-30T00:00:00"/>
    <n v="714928"/>
    <x v="1"/>
    <n v="1990"/>
    <n v="6"/>
    <n v="36"/>
    <s v="Excellent"/>
    <s v="Low Risk"/>
  </r>
  <r>
    <d v="2020-03-20T00:00:00"/>
    <n v="95010"/>
    <s v="Finance - Manager"/>
    <s v="Finance"/>
    <s v="Manager"/>
    <n v="765"/>
    <n v="1"/>
    <n v="4"/>
    <d v="1994-09-30T00:00:00"/>
    <n v="649481"/>
    <x v="2"/>
    <n v="1994"/>
    <n v="3"/>
    <n v="32"/>
    <s v="Excellent"/>
    <s v="Medium Risk"/>
  </r>
  <r>
    <d v="2020-01-23T00:00:00"/>
    <n v="89337"/>
    <s v="Finance - Executive"/>
    <s v="Finance"/>
    <s v="Executive"/>
    <n v="706"/>
    <n v="1"/>
    <n v="2"/>
    <d v="1988-02-18T00:00:00"/>
    <n v="818937"/>
    <x v="2"/>
    <n v="1988"/>
    <n v="1"/>
    <n v="38"/>
    <s v="Good"/>
    <s v="Medium Risk"/>
  </r>
  <r>
    <d v="2020-08-27T00:00:00"/>
    <n v="80935"/>
    <s v="Sales - Executive"/>
    <s v="Sales"/>
    <s v="Executive"/>
    <n v="794"/>
    <n v="1"/>
    <n v="9"/>
    <d v="1991-04-15T00:00:00"/>
    <n v="836244"/>
    <x v="0"/>
    <n v="1991"/>
    <n v="8"/>
    <n v="35"/>
    <s v="Excellent"/>
    <s v="High Risk"/>
  </r>
  <r>
    <d v="2020-04-24T00:00:00"/>
    <n v="91116"/>
    <s v="Sales - Intern"/>
    <s v="Sales"/>
    <s v="Intern"/>
    <n v="760"/>
    <n v="5"/>
    <n v="5"/>
    <d v="1981-05-05T00:00:00"/>
    <n v="976620"/>
    <x v="0"/>
    <n v="1981"/>
    <n v="4"/>
    <n v="45"/>
    <s v="Excellent"/>
    <s v="Medium Risk"/>
  </r>
  <r>
    <d v="2020-03-01T00:00:00"/>
    <n v="91781"/>
    <s v="Sales - Intern"/>
    <s v="Sales"/>
    <s v="Intern"/>
    <n v="712"/>
    <n v="2"/>
    <n v="3"/>
    <d v="1994-11-11T00:00:00"/>
    <n v="688316"/>
    <x v="2"/>
    <n v="1994"/>
    <n v="3"/>
    <n v="32"/>
    <s v="Good"/>
    <s v="Medium Risk"/>
  </r>
  <r>
    <d v="2020-02-12T00:00:00"/>
    <n v="31188"/>
    <s v="Operation - Director"/>
    <s v="Operation"/>
    <s v="Director"/>
    <n v="753"/>
    <n v="1"/>
    <n v="4"/>
    <d v="1990-07-06T00:00:00"/>
    <n v="507723"/>
    <x v="1"/>
    <n v="1990"/>
    <n v="2"/>
    <n v="36"/>
    <s v="Excellent"/>
    <s v="Medium Risk"/>
  </r>
  <r>
    <d v="2020-03-01T00:00:00"/>
    <n v="90362"/>
    <s v="Operation - Intern"/>
    <s v="Operation"/>
    <s v="Intern"/>
    <n v="729"/>
    <n v="2"/>
    <n v="5"/>
    <d v="1983-03-07T00:00:00"/>
    <n v="950691"/>
    <x v="0"/>
    <n v="1983"/>
    <n v="3"/>
    <n v="43"/>
    <s v="Good"/>
    <s v="Medium Risk"/>
  </r>
  <r>
    <d v="2020-12-06T00:00:00"/>
    <n v="13218"/>
    <s v="Marketing - Director"/>
    <s v="Marketing"/>
    <s v="Director"/>
    <n v="797"/>
    <n v="3"/>
    <n v="9"/>
    <d v="1988-03-31T00:00:00"/>
    <n v="905122"/>
    <x v="0"/>
    <n v="1988"/>
    <n v="12"/>
    <n v="38"/>
    <s v="Excellent"/>
    <s v="High Risk"/>
  </r>
  <r>
    <d v="2020-02-18T00:00:00"/>
    <n v="32247"/>
    <s v="Strategy - Executive"/>
    <s v="Strategy"/>
    <s v="Executive"/>
    <n v="773"/>
    <n v="2"/>
    <n v="5"/>
    <d v="1985-09-22T00:00:00"/>
    <n v="620964"/>
    <x v="1"/>
    <n v="1985"/>
    <n v="2"/>
    <n v="41"/>
    <s v="Excellent"/>
    <s v="Medium Risk"/>
  </r>
  <r>
    <d v="2020-08-31T00:00:00"/>
    <n v="54770"/>
    <s v="Finance - Executive"/>
    <s v="Finance"/>
    <s v="Executive"/>
    <n v="719"/>
    <n v="5"/>
    <n v="4"/>
    <d v="1984-03-25T00:00:00"/>
    <n v="888508"/>
    <x v="1"/>
    <n v="1984"/>
    <n v="8"/>
    <n v="42"/>
    <s v="Good"/>
    <s v="Medium Risk"/>
  </r>
  <r>
    <d v="2020-07-06T00:00:00"/>
    <n v="15093"/>
    <s v="Growth - Director"/>
    <s v="Growth"/>
    <s v="Director"/>
    <n v="799"/>
    <n v="3"/>
    <n v="8"/>
    <d v="1983-01-19T00:00:00"/>
    <n v="878722"/>
    <x v="0"/>
    <n v="1983"/>
    <n v="7"/>
    <n v="43"/>
    <s v="Excellent"/>
    <s v="High Risk"/>
  </r>
  <r>
    <d v="2020-10-28T00:00:00"/>
    <n v="41003"/>
    <s v="Sales - Manager"/>
    <s v="Sales"/>
    <s v="Manager"/>
    <n v="728"/>
    <n v="1"/>
    <n v="8"/>
    <d v="1994-08-19T00:00:00"/>
    <n v="840484"/>
    <x v="0"/>
    <n v="1994"/>
    <n v="10"/>
    <n v="32"/>
    <s v="Good"/>
    <s v="High Risk"/>
  </r>
  <r>
    <d v="2020-02-10T00:00:00"/>
    <n v="71360"/>
    <s v="Finance - Manager"/>
    <s v="Finance"/>
    <s v="Manager"/>
    <n v="759"/>
    <n v="1"/>
    <n v="2"/>
    <d v="1990-04-02T00:00:00"/>
    <n v="549585"/>
    <x v="1"/>
    <n v="1990"/>
    <n v="2"/>
    <n v="36"/>
    <s v="Excellent"/>
    <s v="Low Risk"/>
  </r>
  <r>
    <d v="2020-12-03T00:00:00"/>
    <n v="81825"/>
    <s v="Marketing - Manager"/>
    <s v="Marketing"/>
    <s v="Manager"/>
    <n v="799"/>
    <n v="4"/>
    <n v="3"/>
    <d v="1994-07-16T00:00:00"/>
    <n v="536781"/>
    <x v="1"/>
    <n v="1994"/>
    <n v="12"/>
    <n v="32"/>
    <s v="Excellent"/>
    <s v="Medium Risk"/>
  </r>
  <r>
    <d v="2020-04-01T00:00:00"/>
    <n v="51621"/>
    <s v="Operation - Director"/>
    <s v="Operation"/>
    <s v="Director"/>
    <n v="710"/>
    <n v="4"/>
    <n v="5"/>
    <d v="1990-03-24T00:00:00"/>
    <n v="595939"/>
    <x v="0"/>
    <n v="1990"/>
    <n v="4"/>
    <n v="36"/>
    <s v="Good"/>
    <s v="Medium Risk"/>
  </r>
  <r>
    <d v="2020-05-29T00:00:00"/>
    <n v="80975"/>
    <s v="Marketing - Executive"/>
    <s v="Marketing"/>
    <s v="Executive"/>
    <n v="721"/>
    <n v="5"/>
    <n v="5"/>
    <d v="1980-05-10T00:00:00"/>
    <n v="566056"/>
    <x v="0"/>
    <n v="1980"/>
    <n v="5"/>
    <n v="46"/>
    <s v="Good"/>
    <s v="Medium Risk"/>
  </r>
  <r>
    <d v="2020-04-09T00:00:00"/>
    <n v="51491"/>
    <s v="Marketing - Director"/>
    <s v="Marketing"/>
    <s v="Director"/>
    <n v="757"/>
    <n v="5"/>
    <n v="1"/>
    <d v="1991-05-02T00:00:00"/>
    <n v="986196"/>
    <x v="1"/>
    <n v="1991"/>
    <n v="4"/>
    <n v="35"/>
    <s v="Excellent"/>
    <s v="Low Risk"/>
  </r>
  <r>
    <d v="2020-03-19T00:00:00"/>
    <n v="69793"/>
    <s v="Finance - Director"/>
    <s v="Finance"/>
    <s v="Director"/>
    <n v="748"/>
    <n v="5"/>
    <n v="1"/>
    <d v="1989-09-05T00:00:00"/>
    <n v="813370"/>
    <x v="0"/>
    <n v="1989"/>
    <n v="3"/>
    <n v="37"/>
    <s v="Good"/>
    <s v="Medium Risk"/>
  </r>
  <r>
    <d v="2020-09-04T00:00:00"/>
    <n v="39086"/>
    <s v="Strategy - Director"/>
    <s v="Strategy"/>
    <s v="Director"/>
    <n v="729"/>
    <n v="3"/>
    <n v="2"/>
    <d v="1993-06-18T00:00:00"/>
    <n v="556577"/>
    <x v="0"/>
    <n v="1993"/>
    <n v="9"/>
    <n v="33"/>
    <s v="Good"/>
    <s v="Medium Risk"/>
  </r>
  <r>
    <d v="2020-11-18T00:00:00"/>
    <n v="23190"/>
    <s v="Operation - Intern"/>
    <s v="Operation"/>
    <s v="Intern"/>
    <n v="746"/>
    <n v="3"/>
    <n v="7"/>
    <d v="1985-06-09T00:00:00"/>
    <n v="690349"/>
    <x v="0"/>
    <n v="1985"/>
    <n v="11"/>
    <n v="41"/>
    <s v="Good"/>
    <s v="High Risk"/>
  </r>
  <r>
    <d v="2020-09-11T00:00:00"/>
    <n v="76476"/>
    <s v="Operation - Director"/>
    <s v="Operation"/>
    <s v="Director"/>
    <n v="768"/>
    <n v="2"/>
    <n v="10"/>
    <d v="1984-08-04T00:00:00"/>
    <n v="935092"/>
    <x v="2"/>
    <n v="1984"/>
    <n v="9"/>
    <n v="42"/>
    <s v="Excellent"/>
    <s v="High Risk"/>
  </r>
  <r>
    <d v="2020-06-14T00:00:00"/>
    <n v="60417"/>
    <s v="Growth - Manager"/>
    <s v="Growth"/>
    <s v="Manager"/>
    <n v="701"/>
    <n v="1"/>
    <n v="1"/>
    <d v="1994-09-01T00:00:00"/>
    <n v="966916"/>
    <x v="1"/>
    <n v="1994"/>
    <n v="6"/>
    <n v="32"/>
    <s v="Good"/>
    <s v="Medium Risk"/>
  </r>
  <r>
    <d v="2020-06-27T00:00:00"/>
    <n v="49213"/>
    <s v="Growth - Executive"/>
    <s v="Growth"/>
    <s v="Executive"/>
    <n v="799"/>
    <n v="1"/>
    <n v="6"/>
    <d v="1990-05-09T00:00:00"/>
    <n v="501499"/>
    <x v="0"/>
    <n v="1990"/>
    <n v="6"/>
    <n v="36"/>
    <s v="Excellent"/>
    <s v="High Risk"/>
  </r>
  <r>
    <d v="2020-02-27T00:00:00"/>
    <n v="62181"/>
    <s v="Finance - Executive"/>
    <s v="Finance"/>
    <s v="Executive"/>
    <n v="787"/>
    <n v="1"/>
    <n v="5"/>
    <d v="1989-05-03T00:00:00"/>
    <n v="518247"/>
    <x v="2"/>
    <n v="1989"/>
    <n v="2"/>
    <n v="37"/>
    <s v="Excellent"/>
    <s v="Medium Risk"/>
  </r>
  <r>
    <d v="2020-05-11T00:00:00"/>
    <n v="34654"/>
    <s v="Strategy - Intern"/>
    <s v="Strategy"/>
    <s v="Intern"/>
    <n v="720"/>
    <n v="2"/>
    <n v="1"/>
    <d v="1981-12-30T00:00:00"/>
    <n v="865045"/>
    <x v="1"/>
    <n v="1981"/>
    <n v="5"/>
    <n v="45"/>
    <s v="Good"/>
    <s v="Medium Risk"/>
  </r>
  <r>
    <d v="2020-04-10T00:00:00"/>
    <n v="46681"/>
    <s v="Strategy - Executive"/>
    <s v="Strategy"/>
    <s v="Executive"/>
    <n v="789"/>
    <n v="1"/>
    <n v="3"/>
    <d v="1993-11-30T00:00:00"/>
    <n v="731147"/>
    <x v="1"/>
    <n v="1993"/>
    <n v="4"/>
    <n v="33"/>
    <s v="Excellent"/>
    <s v="Medium Risk"/>
  </r>
  <r>
    <d v="2020-08-06T00:00:00"/>
    <n v="60004"/>
    <s v="Strategy - Executive"/>
    <s v="Strategy"/>
    <s v="Executive"/>
    <n v="705"/>
    <n v="3"/>
    <n v="7"/>
    <d v="1986-06-07T00:00:00"/>
    <n v="791950"/>
    <x v="1"/>
    <n v="1986"/>
    <n v="8"/>
    <n v="40"/>
    <s v="Good"/>
    <s v="High Risk"/>
  </r>
  <r>
    <d v="2020-09-15T00:00:00"/>
    <n v="67704"/>
    <s v="Strategy - Manager"/>
    <s v="Strategy"/>
    <s v="Manager"/>
    <n v="783"/>
    <n v="5"/>
    <n v="2"/>
    <d v="1988-06-17T00:00:00"/>
    <n v="911948"/>
    <x v="0"/>
    <n v="1988"/>
    <n v="9"/>
    <n v="38"/>
    <s v="Excellent"/>
    <s v="Low Risk"/>
  </r>
  <r>
    <d v="2020-05-25T00:00:00"/>
    <n v="39833"/>
    <s v="Marketing - Director"/>
    <s v="Marketing"/>
    <s v="Director"/>
    <n v="730"/>
    <n v="4"/>
    <n v="2"/>
    <d v="1992-06-03T00:00:00"/>
    <n v="932873"/>
    <x v="0"/>
    <n v="1992"/>
    <n v="5"/>
    <n v="34"/>
    <s v="Good"/>
    <s v="Medium Risk"/>
  </r>
  <r>
    <d v="2020-03-05T00:00:00"/>
    <n v="20617"/>
    <s v="Finance - Director"/>
    <s v="Finance"/>
    <s v="Director"/>
    <n v="739"/>
    <n v="3"/>
    <n v="9"/>
    <d v="1994-12-11T00:00:00"/>
    <n v="805851"/>
    <x v="0"/>
    <n v="1994"/>
    <n v="3"/>
    <n v="32"/>
    <s v="Good"/>
    <s v="High Risk"/>
  </r>
  <r>
    <d v="2020-04-02T00:00:00"/>
    <n v="29950"/>
    <s v="Strategy - Director"/>
    <s v="Strategy"/>
    <s v="Director"/>
    <n v="784"/>
    <n v="2"/>
    <n v="3"/>
    <d v="1983-10-29T00:00:00"/>
    <n v="555688"/>
    <x v="2"/>
    <n v="1983"/>
    <n v="4"/>
    <n v="43"/>
    <s v="Excellent"/>
    <s v="Medium Risk"/>
  </r>
  <r>
    <d v="2020-09-14T00:00:00"/>
    <n v="84211"/>
    <s v="Strategy - Intern"/>
    <s v="Strategy"/>
    <s v="Intern"/>
    <n v="781"/>
    <n v="2"/>
    <n v="4"/>
    <d v="1994-02-28T00:00:00"/>
    <n v="576772"/>
    <x v="0"/>
    <n v="1994"/>
    <n v="9"/>
    <n v="32"/>
    <s v="Excellent"/>
    <s v="Medium Risk"/>
  </r>
  <r>
    <d v="2020-09-19T00:00:00"/>
    <n v="84049"/>
    <s v="Sales - Executive"/>
    <s v="Sales"/>
    <s v="Executive"/>
    <n v="800"/>
    <n v="3"/>
    <n v="9"/>
    <d v="1982-02-23T00:00:00"/>
    <n v="593323"/>
    <x v="1"/>
    <n v="1982"/>
    <n v="9"/>
    <n v="44"/>
    <s v="Excellent"/>
    <s v="High Risk"/>
  </r>
  <r>
    <d v="2020-04-28T00:00:00"/>
    <n v="68344"/>
    <s v="Marketing - Manager"/>
    <s v="Marketing"/>
    <s v="Manager"/>
    <n v="756"/>
    <n v="3"/>
    <n v="3"/>
    <d v="1993-07-07T00:00:00"/>
    <n v="628220"/>
    <x v="2"/>
    <n v="1993"/>
    <n v="4"/>
    <n v="33"/>
    <s v="Excellent"/>
    <s v="Medium Risk"/>
  </r>
  <r>
    <d v="2020-04-29T00:00:00"/>
    <n v="43744"/>
    <s v="Sales - Director"/>
    <s v="Sales"/>
    <s v="Director"/>
    <n v="747"/>
    <n v="2"/>
    <n v="1"/>
    <d v="1990-01-16T00:00:00"/>
    <n v="693621"/>
    <x v="2"/>
    <n v="1990"/>
    <n v="4"/>
    <n v="36"/>
    <s v="Good"/>
    <s v="Medium Risk"/>
  </r>
  <r>
    <d v="2020-02-11T00:00:00"/>
    <n v="16002"/>
    <s v="Marketing - Intern"/>
    <s v="Marketing"/>
    <s v="Intern"/>
    <n v="783"/>
    <n v="2"/>
    <n v="8"/>
    <d v="1992-05-12T00:00:00"/>
    <n v="868112"/>
    <x v="1"/>
    <n v="1992"/>
    <n v="2"/>
    <n v="34"/>
    <s v="Excellent"/>
    <s v="High Risk"/>
  </r>
  <r>
    <d v="2020-10-31T00:00:00"/>
    <n v="53353"/>
    <s v="Strategy - Executive"/>
    <s v="Strategy"/>
    <s v="Executive"/>
    <n v="715"/>
    <n v="1"/>
    <n v="10"/>
    <d v="1994-09-11T00:00:00"/>
    <n v="883957"/>
    <x v="0"/>
    <n v="1994"/>
    <n v="10"/>
    <n v="32"/>
    <s v="Good"/>
    <s v="High Risk"/>
  </r>
  <r>
    <d v="2020-05-29T00:00:00"/>
    <n v="80050"/>
    <s v="Finance - Director"/>
    <s v="Finance"/>
    <s v="Director"/>
    <n v="726"/>
    <n v="1"/>
    <n v="9"/>
    <d v="1982-07-25T00:00:00"/>
    <n v="645331"/>
    <x v="0"/>
    <n v="1982"/>
    <n v="5"/>
    <n v="44"/>
    <s v="Good"/>
    <s v="High Risk"/>
  </r>
  <r>
    <d v="2020-11-16T00:00:00"/>
    <n v="20792"/>
    <s v="Marketing - Director"/>
    <s v="Marketing"/>
    <s v="Director"/>
    <n v="779"/>
    <n v="2"/>
    <n v="4"/>
    <d v="1986-01-09T00:00:00"/>
    <n v="693474"/>
    <x v="2"/>
    <n v="1986"/>
    <n v="11"/>
    <n v="40"/>
    <s v="Excellent"/>
    <s v="Medium Risk"/>
  </r>
  <r>
    <d v="2020-01-13T00:00:00"/>
    <n v="95386"/>
    <s v="Strategy - Manager"/>
    <s v="Strategy"/>
    <s v="Manager"/>
    <n v="732"/>
    <n v="5"/>
    <n v="5"/>
    <d v="1980-04-26T00:00:00"/>
    <n v="910949"/>
    <x v="0"/>
    <n v="1980"/>
    <n v="1"/>
    <n v="46"/>
    <s v="Good"/>
    <s v="Medium Risk"/>
  </r>
  <r>
    <d v="2020-06-16T00:00:00"/>
    <n v="61042"/>
    <s v="Strategy - Intern"/>
    <s v="Strategy"/>
    <s v="Intern"/>
    <n v="788"/>
    <n v="4"/>
    <n v="8"/>
    <d v="1984-01-10T00:00:00"/>
    <n v="742181"/>
    <x v="2"/>
    <n v="1984"/>
    <n v="6"/>
    <n v="42"/>
    <s v="Excellent"/>
    <s v="High Risk"/>
  </r>
  <r>
    <d v="2020-08-24T00:00:00"/>
    <n v="49163"/>
    <s v="Marketing - Manager"/>
    <s v="Marketing"/>
    <s v="Manager"/>
    <n v="735"/>
    <n v="1"/>
    <n v="2"/>
    <d v="1987-06-10T00:00:00"/>
    <n v="530738"/>
    <x v="1"/>
    <n v="1987"/>
    <n v="8"/>
    <n v="39"/>
    <s v="Good"/>
    <s v="Medium Risk"/>
  </r>
  <r>
    <d v="2020-12-04T00:00:00"/>
    <n v="89479"/>
    <s v="Operation - Manager"/>
    <s v="Operation"/>
    <s v="Manager"/>
    <n v="770"/>
    <n v="5"/>
    <n v="4"/>
    <d v="1983-07-23T00:00:00"/>
    <n v="966350"/>
    <x v="1"/>
    <n v="1983"/>
    <n v="12"/>
    <n v="43"/>
    <s v="Excellent"/>
    <s v="Medium Risk"/>
  </r>
  <r>
    <d v="2020-03-09T00:00:00"/>
    <n v="61277"/>
    <s v="Growth - Executive"/>
    <s v="Growth"/>
    <s v="Executive"/>
    <n v="761"/>
    <n v="4"/>
    <n v="3"/>
    <d v="1985-04-30T00:00:00"/>
    <n v="760297"/>
    <x v="1"/>
    <n v="1985"/>
    <n v="3"/>
    <n v="41"/>
    <s v="Excellent"/>
    <s v="Medium Risk"/>
  </r>
  <r>
    <d v="2020-10-24T00:00:00"/>
    <n v="40667"/>
    <s v="Growth - Intern"/>
    <s v="Growth"/>
    <s v="Intern"/>
    <n v="754"/>
    <n v="5"/>
    <n v="10"/>
    <d v="1988-05-02T00:00:00"/>
    <n v="941650"/>
    <x v="2"/>
    <n v="1988"/>
    <n v="10"/>
    <n v="38"/>
    <s v="Excellent"/>
    <s v="High Risk"/>
  </r>
  <r>
    <d v="2020-10-19T00:00:00"/>
    <n v="86938"/>
    <s v="Strategy - Executive"/>
    <s v="Strategy"/>
    <s v="Executive"/>
    <n v="743"/>
    <n v="1"/>
    <n v="6"/>
    <d v="1984-12-08T00:00:00"/>
    <n v="645045"/>
    <x v="0"/>
    <n v="1984"/>
    <n v="10"/>
    <n v="42"/>
    <s v="Good"/>
    <s v="High Risk"/>
  </r>
  <r>
    <d v="2020-08-05T00:00:00"/>
    <n v="46268"/>
    <s v="Strategy - Manager"/>
    <s v="Strategy"/>
    <s v="Manager"/>
    <n v="752"/>
    <n v="2"/>
    <n v="8"/>
    <d v="1992-01-06T00:00:00"/>
    <n v="519971"/>
    <x v="1"/>
    <n v="1992"/>
    <n v="8"/>
    <n v="34"/>
    <s v="Excellent"/>
    <s v="High Risk"/>
  </r>
  <r>
    <d v="2020-04-15T00:00:00"/>
    <n v="56840"/>
    <s v="Operation - Director"/>
    <s v="Operation"/>
    <s v="Director"/>
    <n v="755"/>
    <n v="5"/>
    <n v="2"/>
    <d v="1985-02-27T00:00:00"/>
    <n v="641697"/>
    <x v="1"/>
    <n v="1985"/>
    <n v="4"/>
    <n v="41"/>
    <s v="Excellent"/>
    <s v="Low Risk"/>
  </r>
  <r>
    <d v="2020-06-05T00:00:00"/>
    <n v="27730"/>
    <s v="Growth - Director"/>
    <s v="Growth"/>
    <s v="Director"/>
    <n v="755"/>
    <n v="1"/>
    <n v="10"/>
    <d v="1993-11-06T00:00:00"/>
    <n v="856240"/>
    <x v="0"/>
    <n v="1993"/>
    <n v="6"/>
    <n v="33"/>
    <s v="Excellent"/>
    <s v="High Risk"/>
  </r>
  <r>
    <d v="2020-03-14T00:00:00"/>
    <n v="37808"/>
    <s v="Strategy - Director"/>
    <s v="Strategy"/>
    <s v="Director"/>
    <n v="765"/>
    <n v="1"/>
    <n v="3"/>
    <d v="1991-01-25T00:00:00"/>
    <n v="670204"/>
    <x v="1"/>
    <n v="1991"/>
    <n v="3"/>
    <n v="35"/>
    <s v="Excellent"/>
    <s v="Medium Risk"/>
  </r>
  <r>
    <d v="2020-03-08T00:00:00"/>
    <n v="47096"/>
    <s v="Sales - Manager"/>
    <s v="Sales"/>
    <s v="Manager"/>
    <n v="732"/>
    <n v="4"/>
    <n v="9"/>
    <d v="1993-01-02T00:00:00"/>
    <n v="679278"/>
    <x v="1"/>
    <n v="1993"/>
    <n v="3"/>
    <n v="33"/>
    <s v="Good"/>
    <s v="High Risk"/>
  </r>
  <r>
    <d v="2020-11-22T00:00:00"/>
    <n v="33235"/>
    <s v="Operation - Executive"/>
    <s v="Operation"/>
    <s v="Executive"/>
    <n v="800"/>
    <n v="3"/>
    <n v="2"/>
    <d v="1981-10-06T00:00:00"/>
    <n v="889281"/>
    <x v="1"/>
    <n v="1981"/>
    <n v="11"/>
    <n v="45"/>
    <s v="Excellent"/>
    <s v="Low Risk"/>
  </r>
  <r>
    <d v="2020-05-20T00:00:00"/>
    <n v="12400"/>
    <s v="Operation - Manager"/>
    <s v="Operation"/>
    <s v="Manager"/>
    <n v="718"/>
    <n v="3"/>
    <n v="1"/>
    <d v="1989-02-07T00:00:00"/>
    <n v="869677"/>
    <x v="1"/>
    <n v="1989"/>
    <n v="5"/>
    <n v="37"/>
    <s v="Good"/>
    <s v="Medium Risk"/>
  </r>
  <r>
    <d v="2020-02-09T00:00:00"/>
    <n v="92748"/>
    <s v="Growth - Director"/>
    <s v="Growth"/>
    <s v="Director"/>
    <n v="762"/>
    <n v="3"/>
    <n v="5"/>
    <d v="1989-03-29T00:00:00"/>
    <n v="707598"/>
    <x v="0"/>
    <n v="1989"/>
    <n v="2"/>
    <n v="37"/>
    <s v="Excellent"/>
    <s v="Medium Risk"/>
  </r>
  <r>
    <d v="2020-12-02T00:00:00"/>
    <n v="40888"/>
    <s v="Sales - Executive"/>
    <s v="Sales"/>
    <s v="Executive"/>
    <n v="789"/>
    <n v="4"/>
    <n v="1"/>
    <d v="1987-06-23T00:00:00"/>
    <n v="519794"/>
    <x v="1"/>
    <n v="1987"/>
    <n v="12"/>
    <n v="39"/>
    <s v="Excellent"/>
    <s v="Low Risk"/>
  </r>
  <r>
    <d v="2020-05-17T00:00:00"/>
    <n v="22223"/>
    <s v="Marketing - Executive"/>
    <s v="Marketing"/>
    <s v="Executive"/>
    <n v="766"/>
    <n v="2"/>
    <n v="10"/>
    <d v="1982-07-10T00:00:00"/>
    <n v="801696"/>
    <x v="0"/>
    <n v="1982"/>
    <n v="5"/>
    <n v="44"/>
    <s v="Excellent"/>
    <s v="High Risk"/>
  </r>
  <r>
    <d v="2020-03-04T00:00:00"/>
    <n v="30644"/>
    <s v="Strategy - Manager"/>
    <s v="Strategy"/>
    <s v="Manager"/>
    <n v="756"/>
    <n v="1"/>
    <n v="6"/>
    <d v="1994-02-08T00:00:00"/>
    <n v="768649"/>
    <x v="2"/>
    <n v="1994"/>
    <n v="3"/>
    <n v="32"/>
    <s v="Excellent"/>
    <s v="High Risk"/>
  </r>
  <r>
    <d v="2020-12-02T00:00:00"/>
    <n v="15917"/>
    <s v="Strategy - Manager"/>
    <s v="Strategy"/>
    <s v="Manager"/>
    <n v="792"/>
    <n v="1"/>
    <n v="4"/>
    <d v="1985-11-17T00:00:00"/>
    <n v="560791"/>
    <x v="2"/>
    <n v="1985"/>
    <n v="12"/>
    <n v="41"/>
    <s v="Excellent"/>
    <s v="Medium Risk"/>
  </r>
  <r>
    <d v="2020-01-01T00:00:00"/>
    <n v="74081"/>
    <s v="Finance - Director"/>
    <s v="Finance"/>
    <s v="Director"/>
    <n v="782"/>
    <n v="2"/>
    <n v="8"/>
    <d v="1981-07-02T00:00:00"/>
    <n v="958927"/>
    <x v="2"/>
    <n v="1981"/>
    <n v="1"/>
    <n v="45"/>
    <s v="Excellent"/>
    <s v="High Risk"/>
  </r>
  <r>
    <d v="2020-03-13T00:00:00"/>
    <n v="38406"/>
    <s v="Growth - Director"/>
    <s v="Growth"/>
    <s v="Director"/>
    <n v="798"/>
    <n v="2"/>
    <n v="8"/>
    <d v="1983-09-28T00:00:00"/>
    <n v="746078"/>
    <x v="0"/>
    <n v="1983"/>
    <n v="3"/>
    <n v="43"/>
    <s v="Excellent"/>
    <s v="High Risk"/>
  </r>
  <r>
    <d v="2020-11-08T00:00:00"/>
    <n v="48986"/>
    <s v="Growth - Intern"/>
    <s v="Growth"/>
    <s v="Intern"/>
    <n v="723"/>
    <n v="1"/>
    <n v="3"/>
    <d v="1990-08-27T00:00:00"/>
    <n v="865697"/>
    <x v="0"/>
    <n v="1990"/>
    <n v="11"/>
    <n v="36"/>
    <s v="Good"/>
    <s v="Medium Risk"/>
  </r>
  <r>
    <d v="2020-02-10T00:00:00"/>
    <n v="42393"/>
    <s v="Sales - Director"/>
    <s v="Sales"/>
    <s v="Director"/>
    <n v="718"/>
    <n v="5"/>
    <n v="4"/>
    <d v="1986-04-19T00:00:00"/>
    <n v="856724"/>
    <x v="2"/>
    <n v="1986"/>
    <n v="2"/>
    <n v="40"/>
    <s v="Good"/>
    <s v="Medium Risk"/>
  </r>
  <r>
    <d v="2020-05-01T00:00:00"/>
    <n v="99825"/>
    <s v="Finance - Executive"/>
    <s v="Finance"/>
    <s v="Executive"/>
    <n v="722"/>
    <n v="2"/>
    <n v="6"/>
    <d v="1984-11-04T00:00:00"/>
    <n v="862656"/>
    <x v="0"/>
    <n v="1984"/>
    <n v="5"/>
    <n v="42"/>
    <s v="Good"/>
    <s v="High Risk"/>
  </r>
  <r>
    <d v="2020-02-15T00:00:00"/>
    <n v="80413"/>
    <s v="Strategy - Executive"/>
    <s v="Strategy"/>
    <s v="Executive"/>
    <n v="716"/>
    <n v="1"/>
    <n v="3"/>
    <d v="1992-04-25T00:00:00"/>
    <n v="610603"/>
    <x v="0"/>
    <n v="1992"/>
    <n v="2"/>
    <n v="34"/>
    <s v="Good"/>
    <s v="Medium Risk"/>
  </r>
  <r>
    <d v="2020-04-22T00:00:00"/>
    <n v="98909"/>
    <s v="Operation - Manager"/>
    <s v="Operation"/>
    <s v="Manager"/>
    <n v="706"/>
    <n v="4"/>
    <n v="10"/>
    <d v="1990-08-07T00:00:00"/>
    <n v="622627"/>
    <x v="2"/>
    <n v="1990"/>
    <n v="4"/>
    <n v="36"/>
    <s v="Good"/>
    <s v="High Risk"/>
  </r>
  <r>
    <d v="2020-11-23T00:00:00"/>
    <n v="17934"/>
    <s v="Finance - Manager"/>
    <s v="Finance"/>
    <s v="Manager"/>
    <n v="752"/>
    <n v="2"/>
    <n v="5"/>
    <d v="1991-09-25T00:00:00"/>
    <n v="621307"/>
    <x v="0"/>
    <n v="1991"/>
    <n v="11"/>
    <n v="35"/>
    <s v="Excellent"/>
    <s v="Medium Risk"/>
  </r>
  <r>
    <d v="2020-03-06T00:00:00"/>
    <n v="53632"/>
    <s v="Growth - Director"/>
    <s v="Growth"/>
    <s v="Director"/>
    <n v="729"/>
    <n v="2"/>
    <n v="1"/>
    <d v="1985-06-21T00:00:00"/>
    <n v="546261"/>
    <x v="0"/>
    <n v="1985"/>
    <n v="3"/>
    <n v="41"/>
    <s v="Good"/>
    <s v="Medium Risk"/>
  </r>
  <r>
    <d v="2020-09-14T00:00:00"/>
    <n v="14147"/>
    <s v="Operation - Intern"/>
    <s v="Operation"/>
    <s v="Intern"/>
    <n v="774"/>
    <n v="3"/>
    <n v="5"/>
    <d v="1986-06-27T00:00:00"/>
    <n v="765398"/>
    <x v="0"/>
    <n v="1986"/>
    <n v="9"/>
    <n v="40"/>
    <s v="Excellent"/>
    <s v="Medium Risk"/>
  </r>
  <r>
    <d v="2020-05-15T00:00:00"/>
    <n v="14886"/>
    <s v="Marketing - Director"/>
    <s v="Marketing"/>
    <s v="Director"/>
    <n v="740"/>
    <n v="4"/>
    <n v="8"/>
    <d v="1981-04-01T00:00:00"/>
    <n v="675410"/>
    <x v="1"/>
    <n v="1981"/>
    <n v="5"/>
    <n v="45"/>
    <s v="Good"/>
    <s v="High Risk"/>
  </r>
  <r>
    <d v="2020-11-29T00:00:00"/>
    <n v="17693"/>
    <s v="Marketing - Executive"/>
    <s v="Marketing"/>
    <s v="Executive"/>
    <n v="737"/>
    <n v="4"/>
    <n v="9"/>
    <d v="1986-11-14T00:00:00"/>
    <n v="934943"/>
    <x v="1"/>
    <n v="1986"/>
    <n v="11"/>
    <n v="40"/>
    <s v="Good"/>
    <s v="High Risk"/>
  </r>
  <r>
    <d v="2020-04-27T00:00:00"/>
    <n v="63705"/>
    <s v="Growth - Executive"/>
    <s v="Growth"/>
    <s v="Executive"/>
    <n v="769"/>
    <n v="2"/>
    <n v="9"/>
    <d v="1985-06-02T00:00:00"/>
    <n v="753887"/>
    <x v="0"/>
    <n v="1985"/>
    <n v="4"/>
    <n v="41"/>
    <s v="Excellent"/>
    <s v="High Risk"/>
  </r>
  <r>
    <d v="2020-08-11T00:00:00"/>
    <n v="79227"/>
    <s v="Operation - Executive"/>
    <s v="Operation"/>
    <s v="Executive"/>
    <n v="716"/>
    <n v="4"/>
    <n v="1"/>
    <d v="1981-07-01T00:00:00"/>
    <n v="815919"/>
    <x v="0"/>
    <n v="1981"/>
    <n v="8"/>
    <n v="45"/>
    <s v="Good"/>
    <s v="Medium Risk"/>
  </r>
  <r>
    <d v="2020-08-26T00:00:00"/>
    <n v="50994"/>
    <s v="Operation - Executive"/>
    <s v="Operation"/>
    <s v="Executive"/>
    <n v="778"/>
    <n v="5"/>
    <n v="4"/>
    <d v="1993-06-25T00:00:00"/>
    <n v="683977"/>
    <x v="2"/>
    <n v="1993"/>
    <n v="8"/>
    <n v="33"/>
    <s v="Excellent"/>
    <s v="Medium Risk"/>
  </r>
  <r>
    <d v="2020-01-07T00:00:00"/>
    <n v="28960"/>
    <s v="Growth - Director"/>
    <s v="Growth"/>
    <s v="Director"/>
    <n v="758"/>
    <n v="3"/>
    <n v="5"/>
    <d v="1985-09-08T00:00:00"/>
    <n v="503619"/>
    <x v="1"/>
    <n v="1985"/>
    <n v="1"/>
    <n v="41"/>
    <s v="Excellent"/>
    <s v="Medium Risk"/>
  </r>
  <r>
    <d v="2020-12-02T00:00:00"/>
    <n v="80217"/>
    <s v="Sales - Intern"/>
    <s v="Sales"/>
    <s v="Intern"/>
    <n v="777"/>
    <n v="2"/>
    <n v="9"/>
    <d v="1982-07-16T00:00:00"/>
    <n v="889056"/>
    <x v="0"/>
    <n v="1982"/>
    <n v="12"/>
    <n v="44"/>
    <s v="Excellent"/>
    <s v="High Risk"/>
  </r>
  <r>
    <d v="2020-06-12T00:00:00"/>
    <n v="30845"/>
    <s v="Finance - Executive"/>
    <s v="Finance"/>
    <s v="Executive"/>
    <n v="738"/>
    <n v="4"/>
    <n v="4"/>
    <d v="1991-08-17T00:00:00"/>
    <n v="702299"/>
    <x v="0"/>
    <n v="1991"/>
    <n v="6"/>
    <n v="35"/>
    <s v="Good"/>
    <s v="Medium Risk"/>
  </r>
  <r>
    <d v="2020-09-22T00:00:00"/>
    <n v="56704"/>
    <s v="Operation - Manager"/>
    <s v="Operation"/>
    <s v="Manager"/>
    <n v="772"/>
    <n v="3"/>
    <n v="2"/>
    <d v="1994-11-08T00:00:00"/>
    <n v="582495"/>
    <x v="2"/>
    <n v="1994"/>
    <n v="9"/>
    <n v="32"/>
    <s v="Excellent"/>
    <s v="Low Risk"/>
  </r>
  <r>
    <d v="2020-05-25T00:00:00"/>
    <n v="86488"/>
    <s v="Marketing - Director"/>
    <s v="Marketing"/>
    <s v="Director"/>
    <n v="764"/>
    <n v="2"/>
    <n v="6"/>
    <d v="1988-04-27T00:00:00"/>
    <n v="658127"/>
    <x v="1"/>
    <n v="1988"/>
    <n v="5"/>
    <n v="38"/>
    <s v="Excellent"/>
    <s v="High Risk"/>
  </r>
  <r>
    <d v="2020-07-09T00:00:00"/>
    <n v="79462"/>
    <s v="Growth - Intern"/>
    <s v="Growth"/>
    <s v="Intern"/>
    <n v="739"/>
    <n v="2"/>
    <n v="5"/>
    <d v="1982-05-21T00:00:00"/>
    <n v="955880"/>
    <x v="1"/>
    <n v="1982"/>
    <n v="7"/>
    <n v="44"/>
    <s v="Good"/>
    <s v="Medium Risk"/>
  </r>
  <r>
    <d v="2020-04-24T00:00:00"/>
    <n v="64677"/>
    <s v="Marketing - Executive"/>
    <s v="Marketing"/>
    <s v="Executive"/>
    <n v="703"/>
    <n v="2"/>
    <n v="7"/>
    <d v="1994-09-22T00:00:00"/>
    <n v="913943"/>
    <x v="2"/>
    <n v="1994"/>
    <n v="4"/>
    <n v="32"/>
    <s v="Good"/>
    <s v="High Risk"/>
  </r>
  <r>
    <d v="2020-09-14T00:00:00"/>
    <n v="53751"/>
    <s v="Marketing - Manager"/>
    <s v="Marketing"/>
    <s v="Manager"/>
    <n v="704"/>
    <n v="3"/>
    <n v="1"/>
    <d v="1982-05-29T00:00:00"/>
    <n v="992032"/>
    <x v="2"/>
    <n v="1982"/>
    <n v="9"/>
    <n v="44"/>
    <s v="Good"/>
    <s v="Medium Risk"/>
  </r>
  <r>
    <d v="2020-01-16T00:00:00"/>
    <n v="27788"/>
    <s v="Operation - Executive"/>
    <s v="Operation"/>
    <s v="Executive"/>
    <n v="758"/>
    <n v="2"/>
    <n v="6"/>
    <d v="1986-01-13T00:00:00"/>
    <n v="780827"/>
    <x v="2"/>
    <n v="1986"/>
    <n v="1"/>
    <n v="40"/>
    <s v="Excellent"/>
    <s v="High Risk"/>
  </r>
  <r>
    <d v="2020-01-13T00:00:00"/>
    <n v="70713"/>
    <s v="Strategy - Executive"/>
    <s v="Strategy"/>
    <s v="Executive"/>
    <n v="729"/>
    <n v="5"/>
    <n v="6"/>
    <d v="1992-03-17T00:00:00"/>
    <n v="763949"/>
    <x v="0"/>
    <n v="1992"/>
    <n v="1"/>
    <n v="34"/>
    <s v="Good"/>
    <s v="High Risk"/>
  </r>
  <r>
    <d v="2020-05-28T00:00:00"/>
    <n v="33264"/>
    <s v="Marketing - Director"/>
    <s v="Marketing"/>
    <s v="Director"/>
    <n v="761"/>
    <n v="1"/>
    <n v="8"/>
    <d v="1985-05-08T00:00:00"/>
    <n v="874282"/>
    <x v="1"/>
    <n v="1985"/>
    <n v="5"/>
    <n v="41"/>
    <s v="Excellent"/>
    <s v="High Risk"/>
  </r>
  <r>
    <d v="2020-04-28T00:00:00"/>
    <n v="88783"/>
    <s v="Sales - Director"/>
    <s v="Sales"/>
    <s v="Director"/>
    <n v="708"/>
    <n v="2"/>
    <n v="8"/>
    <d v="1983-02-04T00:00:00"/>
    <n v="829846"/>
    <x v="1"/>
    <n v="1983"/>
    <n v="4"/>
    <n v="43"/>
    <s v="Good"/>
    <s v="High Risk"/>
  </r>
  <r>
    <d v="2020-10-17T00:00:00"/>
    <n v="10804"/>
    <s v="Sales - Director"/>
    <s v="Sales"/>
    <s v="Director"/>
    <n v="771"/>
    <n v="2"/>
    <n v="4"/>
    <d v="1991-08-11T00:00:00"/>
    <n v="721772"/>
    <x v="0"/>
    <n v="1991"/>
    <n v="10"/>
    <n v="35"/>
    <s v="Excellent"/>
    <s v="Medium Risk"/>
  </r>
  <r>
    <d v="2020-07-23T00:00:00"/>
    <n v="40150"/>
    <s v="Strategy - Director"/>
    <s v="Strategy"/>
    <s v="Director"/>
    <n v="799"/>
    <n v="5"/>
    <n v="4"/>
    <d v="1989-02-14T00:00:00"/>
    <n v="867129"/>
    <x v="2"/>
    <n v="1989"/>
    <n v="7"/>
    <n v="37"/>
    <s v="Excellent"/>
    <s v="Medium Risk"/>
  </r>
  <r>
    <d v="2020-03-22T00:00:00"/>
    <n v="11377"/>
    <s v="Finance - Manager"/>
    <s v="Finance"/>
    <s v="Manager"/>
    <n v="729"/>
    <n v="1"/>
    <n v="10"/>
    <d v="1980-07-19T00:00:00"/>
    <n v="761341"/>
    <x v="1"/>
    <n v="1980"/>
    <n v="3"/>
    <n v="46"/>
    <s v="Good"/>
    <s v="High Risk"/>
  </r>
  <r>
    <d v="2020-07-21T00:00:00"/>
    <n v="37782"/>
    <s v="Operation - Manager"/>
    <s v="Operation"/>
    <s v="Manager"/>
    <n v="732"/>
    <n v="3"/>
    <n v="1"/>
    <d v="1980-06-11T00:00:00"/>
    <n v="769686"/>
    <x v="1"/>
    <n v="1980"/>
    <n v="7"/>
    <n v="46"/>
    <s v="Good"/>
    <s v="Medium Risk"/>
  </r>
  <r>
    <d v="2020-07-14T00:00:00"/>
    <n v="66876"/>
    <s v="Sales - Intern"/>
    <s v="Sales"/>
    <s v="Intern"/>
    <n v="708"/>
    <n v="2"/>
    <n v="8"/>
    <d v="1982-09-07T00:00:00"/>
    <n v="947120"/>
    <x v="1"/>
    <n v="1982"/>
    <n v="7"/>
    <n v="44"/>
    <s v="Good"/>
    <s v="High Risk"/>
  </r>
  <r>
    <d v="2020-09-05T00:00:00"/>
    <n v="35347"/>
    <s v="Growth - Director"/>
    <s v="Growth"/>
    <s v="Director"/>
    <n v="707"/>
    <n v="1"/>
    <n v="7"/>
    <d v="1980-02-25T00:00:00"/>
    <n v="748484"/>
    <x v="2"/>
    <n v="1980"/>
    <n v="9"/>
    <n v="46"/>
    <s v="Good"/>
    <s v="High Risk"/>
  </r>
  <r>
    <d v="2020-11-26T00:00:00"/>
    <n v="71659"/>
    <s v="Sales - Manager"/>
    <s v="Sales"/>
    <s v="Manager"/>
    <n v="770"/>
    <n v="1"/>
    <n v="6"/>
    <d v="1981-08-23T00:00:00"/>
    <n v="550140"/>
    <x v="2"/>
    <n v="1981"/>
    <n v="11"/>
    <n v="45"/>
    <s v="Excellent"/>
    <s v="High Risk"/>
  </r>
  <r>
    <d v="2020-07-06T00:00:00"/>
    <n v="77381"/>
    <s v="Operation - Director"/>
    <s v="Operation"/>
    <s v="Director"/>
    <n v="704"/>
    <n v="1"/>
    <n v="4"/>
    <d v="1989-04-28T00:00:00"/>
    <n v="541629"/>
    <x v="2"/>
    <n v="1989"/>
    <n v="7"/>
    <n v="37"/>
    <s v="Good"/>
    <s v="Medium Risk"/>
  </r>
  <r>
    <d v="2020-05-16T00:00:00"/>
    <n v="22762"/>
    <s v="Growth - Manager"/>
    <s v="Growth"/>
    <s v="Manager"/>
    <n v="748"/>
    <n v="4"/>
    <n v="10"/>
    <d v="1994-10-01T00:00:00"/>
    <n v="918180"/>
    <x v="1"/>
    <n v="1994"/>
    <n v="5"/>
    <n v="32"/>
    <s v="Good"/>
    <s v="High Risk"/>
  </r>
  <r>
    <d v="2020-05-03T00:00:00"/>
    <n v="91326"/>
    <s v="Finance - Intern"/>
    <s v="Finance"/>
    <s v="Intern"/>
    <n v="726"/>
    <n v="3"/>
    <n v="8"/>
    <d v="1986-11-15T00:00:00"/>
    <n v="573154"/>
    <x v="0"/>
    <n v="1986"/>
    <n v="5"/>
    <n v="40"/>
    <s v="Good"/>
    <s v="High Risk"/>
  </r>
  <r>
    <d v="2020-03-11T00:00:00"/>
    <n v="21644"/>
    <s v="Growth - Director"/>
    <s v="Growth"/>
    <s v="Director"/>
    <n v="791"/>
    <n v="3"/>
    <n v="4"/>
    <d v="1988-06-02T00:00:00"/>
    <n v="677195"/>
    <x v="1"/>
    <n v="1988"/>
    <n v="3"/>
    <n v="38"/>
    <s v="Excellent"/>
    <s v="Medium Risk"/>
  </r>
  <r>
    <d v="2020-11-25T00:00:00"/>
    <n v="58510"/>
    <s v="Marketing - Intern"/>
    <s v="Marketing"/>
    <s v="Intern"/>
    <n v="764"/>
    <n v="5"/>
    <n v="3"/>
    <d v="1988-10-19T00:00:00"/>
    <n v="526636"/>
    <x v="0"/>
    <n v="1988"/>
    <n v="11"/>
    <n v="38"/>
    <s v="Excellent"/>
    <s v="Medium Risk"/>
  </r>
  <r>
    <d v="2020-07-19T00:00:00"/>
    <n v="15330"/>
    <s v="Operation - Manager"/>
    <s v="Operation"/>
    <s v="Manager"/>
    <n v="715"/>
    <n v="1"/>
    <n v="10"/>
    <d v="1985-01-09T00:00:00"/>
    <n v="685537"/>
    <x v="1"/>
    <n v="1985"/>
    <n v="7"/>
    <n v="41"/>
    <s v="Good"/>
    <s v="High Risk"/>
  </r>
  <r>
    <d v="2020-02-09T00:00:00"/>
    <n v="96815"/>
    <s v="Strategy - Manager"/>
    <s v="Strategy"/>
    <s v="Manager"/>
    <n v="722"/>
    <n v="5"/>
    <n v="1"/>
    <d v="1988-03-17T00:00:00"/>
    <n v="909554"/>
    <x v="2"/>
    <n v="1988"/>
    <n v="2"/>
    <n v="38"/>
    <s v="Good"/>
    <s v="Medium Risk"/>
  </r>
  <r>
    <d v="2020-10-28T00:00:00"/>
    <n v="54329"/>
    <s v="Sales - Manager"/>
    <s v="Sales"/>
    <s v="Manager"/>
    <n v="728"/>
    <n v="4"/>
    <n v="6"/>
    <d v="1993-05-11T00:00:00"/>
    <n v="949802"/>
    <x v="0"/>
    <n v="1993"/>
    <n v="10"/>
    <n v="33"/>
    <s v="Good"/>
    <s v="High Risk"/>
  </r>
  <r>
    <d v="2020-11-19T00:00:00"/>
    <n v="89827"/>
    <s v="Marketing - Intern"/>
    <s v="Marketing"/>
    <s v="Intern"/>
    <n v="743"/>
    <n v="4"/>
    <n v="2"/>
    <d v="1980-07-16T00:00:00"/>
    <n v="729346"/>
    <x v="1"/>
    <n v="1980"/>
    <n v="11"/>
    <n v="46"/>
    <s v="Good"/>
    <s v="Medium Risk"/>
  </r>
  <r>
    <d v="2020-02-19T00:00:00"/>
    <n v="81215"/>
    <s v="Growth - Executive"/>
    <s v="Growth"/>
    <s v="Executive"/>
    <n v="700"/>
    <n v="2"/>
    <n v="5"/>
    <d v="1993-07-22T00:00:00"/>
    <n v="665224"/>
    <x v="2"/>
    <n v="1993"/>
    <n v="2"/>
    <n v="33"/>
    <s v="Good"/>
    <s v="Medium Risk"/>
  </r>
  <r>
    <d v="2020-01-21T00:00:00"/>
    <n v="63995"/>
    <s v="Growth - Director"/>
    <s v="Growth"/>
    <s v="Director"/>
    <n v="728"/>
    <n v="1"/>
    <n v="2"/>
    <d v="1990-10-07T00:00:00"/>
    <n v="816454"/>
    <x v="1"/>
    <n v="1990"/>
    <n v="1"/>
    <n v="36"/>
    <s v="Good"/>
    <s v="Medium Risk"/>
  </r>
  <r>
    <d v="2020-07-30T00:00:00"/>
    <n v="80718"/>
    <s v="Strategy - Director"/>
    <s v="Strategy"/>
    <s v="Director"/>
    <n v="792"/>
    <n v="1"/>
    <n v="8"/>
    <d v="1990-06-09T00:00:00"/>
    <n v="902138"/>
    <x v="1"/>
    <n v="1990"/>
    <n v="7"/>
    <n v="36"/>
    <s v="Excellent"/>
    <s v="High Risk"/>
  </r>
  <r>
    <d v="2020-08-25T00:00:00"/>
    <n v="61503"/>
    <s v="Operation - Executive"/>
    <s v="Operation"/>
    <s v="Executive"/>
    <n v="780"/>
    <n v="5"/>
    <n v="1"/>
    <d v="1986-04-23T00:00:00"/>
    <n v="573943"/>
    <x v="1"/>
    <n v="1986"/>
    <n v="8"/>
    <n v="40"/>
    <s v="Excellent"/>
    <s v="Low Risk"/>
  </r>
  <r>
    <d v="2020-02-28T00:00:00"/>
    <n v="42387"/>
    <s v="Strategy - Director"/>
    <s v="Strategy"/>
    <s v="Director"/>
    <n v="765"/>
    <n v="5"/>
    <n v="10"/>
    <d v="1986-12-26T00:00:00"/>
    <n v="701014"/>
    <x v="0"/>
    <n v="1986"/>
    <n v="2"/>
    <n v="40"/>
    <s v="Excellent"/>
    <s v="High Risk"/>
  </r>
  <r>
    <d v="2020-01-21T00:00:00"/>
    <n v="79422"/>
    <s v="Marketing - Manager"/>
    <s v="Marketing"/>
    <s v="Manager"/>
    <n v="791"/>
    <n v="5"/>
    <n v="2"/>
    <d v="1988-10-23T00:00:00"/>
    <n v="612963"/>
    <x v="1"/>
    <n v="1988"/>
    <n v="1"/>
    <n v="38"/>
    <s v="Excellent"/>
    <s v="Low Risk"/>
  </r>
  <r>
    <d v="2020-05-20T00:00:00"/>
    <n v="91123"/>
    <s v="Finance - Director"/>
    <s v="Finance"/>
    <s v="Director"/>
    <n v="782"/>
    <n v="4"/>
    <n v="3"/>
    <d v="1982-01-10T00:00:00"/>
    <n v="613798"/>
    <x v="1"/>
    <n v="1982"/>
    <n v="5"/>
    <n v="44"/>
    <s v="Excellent"/>
    <s v="Medium Risk"/>
  </r>
  <r>
    <d v="2020-05-05T00:00:00"/>
    <n v="87501"/>
    <s v="Strategy - Director"/>
    <s v="Strategy"/>
    <s v="Director"/>
    <n v="713"/>
    <n v="1"/>
    <n v="3"/>
    <d v="1990-02-22T00:00:00"/>
    <n v="534795"/>
    <x v="0"/>
    <n v="1990"/>
    <n v="5"/>
    <n v="36"/>
    <s v="Good"/>
    <s v="Medium Risk"/>
  </r>
  <r>
    <d v="2020-08-02T00:00:00"/>
    <n v="36206"/>
    <s v="Strategy - Executive"/>
    <s v="Strategy"/>
    <s v="Executive"/>
    <n v="759"/>
    <n v="4"/>
    <n v="3"/>
    <d v="1989-05-17T00:00:00"/>
    <n v="843646"/>
    <x v="0"/>
    <n v="1989"/>
    <n v="8"/>
    <n v="37"/>
    <s v="Excellent"/>
    <s v="Medium Risk"/>
  </r>
  <r>
    <d v="2020-05-12T00:00:00"/>
    <n v="64255"/>
    <s v="Sales - Intern"/>
    <s v="Sales"/>
    <s v="Intern"/>
    <n v="775"/>
    <n v="1"/>
    <n v="5"/>
    <d v="1990-05-04T00:00:00"/>
    <n v="987219"/>
    <x v="0"/>
    <n v="1990"/>
    <n v="5"/>
    <n v="36"/>
    <s v="Excellent"/>
    <s v="Medium Risk"/>
  </r>
  <r>
    <d v="2020-08-11T00:00:00"/>
    <n v="63913"/>
    <s v="Finance - Intern"/>
    <s v="Finance"/>
    <s v="Intern"/>
    <n v="711"/>
    <n v="3"/>
    <n v="3"/>
    <d v="1982-12-29T00:00:00"/>
    <n v="909770"/>
    <x v="1"/>
    <n v="1982"/>
    <n v="8"/>
    <n v="44"/>
    <s v="Good"/>
    <s v="Medium Risk"/>
  </r>
  <r>
    <d v="2020-08-12T00:00:00"/>
    <n v="42291"/>
    <s v="Finance - Manager"/>
    <s v="Finance"/>
    <s v="Manager"/>
    <n v="714"/>
    <n v="3"/>
    <n v="10"/>
    <d v="1980-03-17T00:00:00"/>
    <n v="876707"/>
    <x v="0"/>
    <n v="1980"/>
    <n v="8"/>
    <n v="46"/>
    <s v="Good"/>
    <s v="High Risk"/>
  </r>
  <r>
    <d v="2020-07-19T00:00:00"/>
    <n v="94337"/>
    <s v="Sales - Executive"/>
    <s v="Sales"/>
    <s v="Executive"/>
    <n v="760"/>
    <n v="5"/>
    <n v="1"/>
    <d v="1988-05-30T00:00:00"/>
    <n v="697741"/>
    <x v="1"/>
    <n v="1988"/>
    <n v="7"/>
    <n v="38"/>
    <s v="Excellent"/>
    <s v="Low Risk"/>
  </r>
  <r>
    <d v="2020-08-31T00:00:00"/>
    <n v="58536"/>
    <s v="Strategy - Director"/>
    <s v="Strategy"/>
    <s v="Director"/>
    <n v="778"/>
    <n v="5"/>
    <n v="4"/>
    <d v="1994-05-25T00:00:00"/>
    <n v="718981"/>
    <x v="0"/>
    <n v="1994"/>
    <n v="8"/>
    <n v="32"/>
    <s v="Excellent"/>
    <s v="Medium Risk"/>
  </r>
  <r>
    <d v="2020-07-08T00:00:00"/>
    <n v="80060"/>
    <s v="Sales - Intern"/>
    <s v="Sales"/>
    <s v="Intern"/>
    <n v="714"/>
    <n v="4"/>
    <n v="10"/>
    <d v="1980-04-24T00:00:00"/>
    <n v="624104"/>
    <x v="1"/>
    <n v="1980"/>
    <n v="7"/>
    <n v="46"/>
    <s v="Good"/>
    <s v="High Risk"/>
  </r>
  <r>
    <d v="2020-08-07T00:00:00"/>
    <n v="49766"/>
    <s v="Operation - Executive"/>
    <s v="Operation"/>
    <s v="Executive"/>
    <n v="797"/>
    <n v="3"/>
    <n v="9"/>
    <d v="1988-09-08T00:00:00"/>
    <n v="875743"/>
    <x v="2"/>
    <n v="1988"/>
    <n v="8"/>
    <n v="38"/>
    <s v="Excellent"/>
    <s v="High Risk"/>
  </r>
  <r>
    <d v="2020-09-27T00:00:00"/>
    <n v="10463"/>
    <s v="Growth - Director"/>
    <s v="Growth"/>
    <s v="Director"/>
    <n v="754"/>
    <n v="5"/>
    <n v="10"/>
    <d v="1980-07-30T00:00:00"/>
    <n v="681450"/>
    <x v="0"/>
    <n v="1980"/>
    <n v="9"/>
    <n v="46"/>
    <s v="Excellent"/>
    <s v="High Risk"/>
  </r>
  <r>
    <d v="2020-03-23T00:00:00"/>
    <n v="32408"/>
    <s v="Sales - Executive"/>
    <s v="Sales"/>
    <s v="Executive"/>
    <n v="723"/>
    <n v="2"/>
    <n v="4"/>
    <d v="1992-02-22T00:00:00"/>
    <n v="708158"/>
    <x v="2"/>
    <n v="1992"/>
    <n v="3"/>
    <n v="34"/>
    <s v="Good"/>
    <s v="Medium Risk"/>
  </r>
  <r>
    <d v="2020-03-01T00:00:00"/>
    <n v="60891"/>
    <s v="Operation - Manager"/>
    <s v="Operation"/>
    <s v="Manager"/>
    <n v="720"/>
    <n v="3"/>
    <n v="6"/>
    <d v="1981-02-10T00:00:00"/>
    <n v="661419"/>
    <x v="2"/>
    <n v="1981"/>
    <n v="3"/>
    <n v="45"/>
    <s v="Good"/>
    <s v="High Risk"/>
  </r>
  <r>
    <d v="2020-09-26T00:00:00"/>
    <n v="84687"/>
    <s v="Marketing - Intern"/>
    <s v="Marketing"/>
    <s v="Intern"/>
    <n v="764"/>
    <n v="3"/>
    <n v="7"/>
    <d v="1984-04-07T00:00:00"/>
    <n v="828750"/>
    <x v="1"/>
    <n v="1984"/>
    <n v="9"/>
    <n v="42"/>
    <s v="Excellent"/>
    <s v="High Risk"/>
  </r>
  <r>
    <d v="2020-05-29T00:00:00"/>
    <n v="80726"/>
    <s v="Operation - Executive"/>
    <s v="Operation"/>
    <s v="Executive"/>
    <n v="704"/>
    <n v="5"/>
    <n v="2"/>
    <d v="1986-03-22T00:00:00"/>
    <n v="756646"/>
    <x v="1"/>
    <n v="1986"/>
    <n v="5"/>
    <n v="40"/>
    <s v="Good"/>
    <s v="Medium Risk"/>
  </r>
  <r>
    <d v="2020-05-08T00:00:00"/>
    <n v="32817"/>
    <s v="Growth - Executive"/>
    <s v="Growth"/>
    <s v="Executive"/>
    <n v="794"/>
    <n v="1"/>
    <n v="8"/>
    <d v="1990-03-01T00:00:00"/>
    <n v="852706"/>
    <x v="1"/>
    <n v="1990"/>
    <n v="5"/>
    <n v="36"/>
    <s v="Excellent"/>
    <s v="High Risk"/>
  </r>
  <r>
    <d v="2020-10-19T00:00:00"/>
    <n v="12243"/>
    <s v="Sales - Executive"/>
    <s v="Sales"/>
    <s v="Executive"/>
    <n v="774"/>
    <n v="3"/>
    <n v="6"/>
    <d v="1993-07-03T00:00:00"/>
    <n v="624082"/>
    <x v="0"/>
    <n v="1993"/>
    <n v="10"/>
    <n v="33"/>
    <s v="Excellent"/>
    <s v="High Risk"/>
  </r>
  <r>
    <d v="2020-11-13T00:00:00"/>
    <n v="25020"/>
    <s v="Operation - Executive"/>
    <s v="Operation"/>
    <s v="Executive"/>
    <n v="705"/>
    <n v="1"/>
    <n v="8"/>
    <d v="1984-12-05T00:00:00"/>
    <n v="612503"/>
    <x v="0"/>
    <n v="1984"/>
    <n v="11"/>
    <n v="42"/>
    <s v="Good"/>
    <s v="High Risk"/>
  </r>
  <r>
    <d v="2020-02-03T00:00:00"/>
    <n v="96631"/>
    <s v="Marketing - Director"/>
    <s v="Marketing"/>
    <s v="Director"/>
    <n v="716"/>
    <n v="3"/>
    <n v="4"/>
    <d v="1981-12-12T00:00:00"/>
    <n v="951262"/>
    <x v="1"/>
    <n v="1981"/>
    <n v="2"/>
    <n v="45"/>
    <s v="Good"/>
    <s v="Medium Risk"/>
  </r>
  <r>
    <d v="2020-10-28T00:00:00"/>
    <n v="90785"/>
    <s v="Strategy - Director"/>
    <s v="Strategy"/>
    <s v="Director"/>
    <n v="765"/>
    <n v="4"/>
    <n v="7"/>
    <d v="1988-02-01T00:00:00"/>
    <n v="807954"/>
    <x v="0"/>
    <n v="1988"/>
    <n v="10"/>
    <n v="38"/>
    <s v="Excellent"/>
    <s v="High Risk"/>
  </r>
  <r>
    <d v="2020-11-10T00:00:00"/>
    <n v="50257"/>
    <s v="Strategy - Director"/>
    <s v="Strategy"/>
    <s v="Director"/>
    <n v="741"/>
    <n v="3"/>
    <n v="3"/>
    <d v="1994-01-28T00:00:00"/>
    <n v="892679"/>
    <x v="0"/>
    <n v="1994"/>
    <n v="11"/>
    <n v="32"/>
    <s v="Good"/>
    <s v="Medium Risk"/>
  </r>
  <r>
    <d v="2020-10-20T00:00:00"/>
    <n v="79559"/>
    <s v="Strategy - Manager"/>
    <s v="Strategy"/>
    <s v="Manager"/>
    <n v="780"/>
    <n v="4"/>
    <n v="10"/>
    <d v="1980-02-27T00:00:00"/>
    <n v="717221"/>
    <x v="2"/>
    <n v="1980"/>
    <n v="10"/>
    <n v="46"/>
    <s v="Excellent"/>
    <s v="High Risk"/>
  </r>
  <r>
    <d v="2020-11-20T00:00:00"/>
    <n v="19368"/>
    <s v="Finance - Director"/>
    <s v="Finance"/>
    <s v="Director"/>
    <n v="700"/>
    <n v="5"/>
    <n v="10"/>
    <d v="1987-06-21T00:00:00"/>
    <n v="789854"/>
    <x v="0"/>
    <n v="1987"/>
    <n v="11"/>
    <n v="39"/>
    <s v="Good"/>
    <s v="High Risk"/>
  </r>
  <r>
    <d v="2020-02-28T00:00:00"/>
    <n v="61780"/>
    <s v="Marketing - Director"/>
    <s v="Marketing"/>
    <s v="Director"/>
    <n v="702"/>
    <n v="2"/>
    <n v="7"/>
    <d v="1987-10-25T00:00:00"/>
    <n v="696125"/>
    <x v="1"/>
    <n v="1987"/>
    <n v="2"/>
    <n v="39"/>
    <s v="Good"/>
    <s v="High Risk"/>
  </r>
  <r>
    <d v="2020-08-01T00:00:00"/>
    <n v="13669"/>
    <s v="Operation - Director"/>
    <s v="Operation"/>
    <s v="Director"/>
    <n v="757"/>
    <n v="2"/>
    <n v="6"/>
    <d v="1983-07-30T00:00:00"/>
    <n v="541389"/>
    <x v="1"/>
    <n v="1983"/>
    <n v="8"/>
    <n v="43"/>
    <s v="Excellent"/>
    <s v="High Risk"/>
  </r>
  <r>
    <d v="2020-06-22T00:00:00"/>
    <n v="76498"/>
    <s v="Marketing - Manager"/>
    <s v="Marketing"/>
    <s v="Manager"/>
    <n v="713"/>
    <n v="2"/>
    <n v="8"/>
    <d v="1984-04-07T00:00:00"/>
    <n v="617205"/>
    <x v="1"/>
    <n v="1984"/>
    <n v="6"/>
    <n v="42"/>
    <s v="Good"/>
    <s v="High Risk"/>
  </r>
  <r>
    <d v="2020-02-17T00:00:00"/>
    <n v="17859"/>
    <s v="Strategy - Director"/>
    <s v="Strategy"/>
    <s v="Director"/>
    <n v="770"/>
    <n v="2"/>
    <n v="4"/>
    <d v="1992-03-01T00:00:00"/>
    <n v="530186"/>
    <x v="1"/>
    <n v="1992"/>
    <n v="2"/>
    <n v="34"/>
    <s v="Excellent"/>
    <s v="Medium Risk"/>
  </r>
  <r>
    <d v="2020-07-21T00:00:00"/>
    <n v="17004"/>
    <s v="Growth - Intern"/>
    <s v="Growth"/>
    <s v="Intern"/>
    <n v="792"/>
    <n v="1"/>
    <n v="5"/>
    <d v="1991-02-25T00:00:00"/>
    <n v="673875"/>
    <x v="1"/>
    <n v="1991"/>
    <n v="7"/>
    <n v="35"/>
    <s v="Excellent"/>
    <s v="Medium Risk"/>
  </r>
  <r>
    <d v="2020-01-10T00:00:00"/>
    <n v="61867"/>
    <s v="Growth - Manager"/>
    <s v="Growth"/>
    <s v="Manager"/>
    <n v="705"/>
    <n v="2"/>
    <n v="10"/>
    <d v="1989-10-28T00:00:00"/>
    <n v="915797"/>
    <x v="1"/>
    <n v="1989"/>
    <n v="1"/>
    <n v="37"/>
    <s v="Good"/>
    <s v="High Risk"/>
  </r>
  <r>
    <d v="2020-03-23T00:00:00"/>
    <n v="38163"/>
    <s v="Sales - Director"/>
    <s v="Sales"/>
    <s v="Director"/>
    <n v="789"/>
    <n v="4"/>
    <n v="2"/>
    <d v="1980-05-10T00:00:00"/>
    <n v="620332"/>
    <x v="2"/>
    <n v="1980"/>
    <n v="3"/>
    <n v="46"/>
    <s v="Excellent"/>
    <s v="Low Risk"/>
  </r>
  <r>
    <d v="2020-03-31T00:00:00"/>
    <n v="79897"/>
    <s v="Marketing - Intern"/>
    <s v="Marketing"/>
    <s v="Intern"/>
    <n v="780"/>
    <n v="4"/>
    <n v="4"/>
    <d v="1987-07-20T00:00:00"/>
    <n v="838547"/>
    <x v="0"/>
    <n v="1987"/>
    <n v="3"/>
    <n v="39"/>
    <s v="Excellent"/>
    <s v="Medium Risk"/>
  </r>
  <r>
    <d v="2020-03-25T00:00:00"/>
    <n v="16104"/>
    <s v="Operation - Director"/>
    <s v="Operation"/>
    <s v="Director"/>
    <n v="771"/>
    <n v="2"/>
    <n v="8"/>
    <d v="1993-06-06T00:00:00"/>
    <n v="733075"/>
    <x v="0"/>
    <n v="1993"/>
    <n v="3"/>
    <n v="33"/>
    <s v="Excellent"/>
    <s v="High Risk"/>
  </r>
  <r>
    <d v="2020-01-31T00:00:00"/>
    <n v="53546"/>
    <s v="Operation - Executive"/>
    <s v="Operation"/>
    <s v="Executive"/>
    <n v="766"/>
    <n v="1"/>
    <n v="2"/>
    <d v="1991-12-03T00:00:00"/>
    <n v="535279"/>
    <x v="0"/>
    <n v="1991"/>
    <n v="1"/>
    <n v="35"/>
    <s v="Excellent"/>
    <s v="Low Risk"/>
  </r>
  <r>
    <d v="2020-01-22T00:00:00"/>
    <n v="85809"/>
    <s v="Strategy - Executive"/>
    <s v="Strategy"/>
    <s v="Executive"/>
    <n v="787"/>
    <n v="5"/>
    <n v="7"/>
    <d v="1986-08-10T00:00:00"/>
    <n v="762307"/>
    <x v="1"/>
    <n v="1986"/>
    <n v="1"/>
    <n v="40"/>
    <s v="Excellent"/>
    <s v="High Risk"/>
  </r>
  <r>
    <d v="2020-02-21T00:00:00"/>
    <n v="46575"/>
    <s v="Sales - Manager"/>
    <s v="Sales"/>
    <s v="Manager"/>
    <n v="727"/>
    <n v="2"/>
    <n v="9"/>
    <d v="1981-05-04T00:00:00"/>
    <n v="962245"/>
    <x v="2"/>
    <n v="1981"/>
    <n v="2"/>
    <n v="45"/>
    <s v="Good"/>
    <s v="High Risk"/>
  </r>
  <r>
    <d v="2020-04-17T00:00:00"/>
    <n v="33717"/>
    <s v="Marketing - Intern"/>
    <s v="Marketing"/>
    <s v="Intern"/>
    <n v="745"/>
    <n v="2"/>
    <n v="1"/>
    <d v="1988-11-23T00:00:00"/>
    <n v="646858"/>
    <x v="2"/>
    <n v="1988"/>
    <n v="4"/>
    <n v="38"/>
    <s v="Good"/>
    <s v="Medium Risk"/>
  </r>
  <r>
    <d v="2020-03-03T00:00:00"/>
    <n v="57492"/>
    <s v="Strategy - Intern"/>
    <s v="Strategy"/>
    <s v="Intern"/>
    <n v="778"/>
    <n v="5"/>
    <n v="6"/>
    <d v="1992-05-30T00:00:00"/>
    <n v="732657"/>
    <x v="0"/>
    <n v="1992"/>
    <n v="3"/>
    <n v="34"/>
    <s v="Excellent"/>
    <s v="High Risk"/>
  </r>
  <r>
    <d v="2020-11-14T00:00:00"/>
    <n v="36629"/>
    <s v="Finance - Intern"/>
    <s v="Finance"/>
    <s v="Intern"/>
    <n v="754"/>
    <n v="3"/>
    <n v="1"/>
    <d v="1987-10-18T00:00:00"/>
    <n v="768223"/>
    <x v="0"/>
    <n v="1987"/>
    <n v="11"/>
    <n v="39"/>
    <s v="Excellent"/>
    <s v="Low Risk"/>
  </r>
  <r>
    <d v="2020-07-20T00:00:00"/>
    <n v="73789"/>
    <s v="Strategy - Executive"/>
    <s v="Strategy"/>
    <s v="Executive"/>
    <n v="799"/>
    <n v="2"/>
    <n v="2"/>
    <d v="1984-01-11T00:00:00"/>
    <n v="918795"/>
    <x v="2"/>
    <n v="1984"/>
    <n v="7"/>
    <n v="42"/>
    <s v="Excellent"/>
    <s v="Low Risk"/>
  </r>
  <r>
    <d v="2020-10-11T00:00:00"/>
    <n v="19295"/>
    <s v="Finance - Intern"/>
    <s v="Finance"/>
    <s v="Intern"/>
    <n v="740"/>
    <n v="5"/>
    <n v="5"/>
    <d v="1988-02-13T00:00:00"/>
    <n v="985779"/>
    <x v="1"/>
    <n v="1988"/>
    <n v="10"/>
    <n v="38"/>
    <s v="Good"/>
    <s v="Medium Risk"/>
  </r>
  <r>
    <d v="2020-01-30T00:00:00"/>
    <n v="49386"/>
    <s v="Sales - Executive"/>
    <s v="Sales"/>
    <s v="Executive"/>
    <n v="757"/>
    <n v="1"/>
    <n v="1"/>
    <d v="1980-08-24T00:00:00"/>
    <n v="776038"/>
    <x v="2"/>
    <n v="1980"/>
    <n v="1"/>
    <n v="46"/>
    <s v="Excellent"/>
    <s v="Low Risk"/>
  </r>
  <r>
    <d v="2020-01-14T00:00:00"/>
    <n v="61144"/>
    <s v="Marketing - Intern"/>
    <s v="Marketing"/>
    <s v="Intern"/>
    <n v="752"/>
    <n v="5"/>
    <n v="3"/>
    <d v="1984-03-15T00:00:00"/>
    <n v="940912"/>
    <x v="1"/>
    <n v="1984"/>
    <n v="1"/>
    <n v="42"/>
    <s v="Excellent"/>
    <s v="Medium Risk"/>
  </r>
  <r>
    <d v="2020-08-08T00:00:00"/>
    <n v="19566"/>
    <s v="Strategy - Manager"/>
    <s v="Strategy"/>
    <s v="Manager"/>
    <n v="766"/>
    <n v="3"/>
    <n v="9"/>
    <d v="1992-08-14T00:00:00"/>
    <n v="618476"/>
    <x v="0"/>
    <n v="1992"/>
    <n v="8"/>
    <n v="34"/>
    <s v="Excellent"/>
    <s v="High Risk"/>
  </r>
  <r>
    <d v="2020-06-04T00:00:00"/>
    <n v="11445"/>
    <s v="Growth - Executive"/>
    <s v="Growth"/>
    <s v="Executive"/>
    <n v="712"/>
    <n v="2"/>
    <n v="1"/>
    <d v="1980-03-08T00:00:00"/>
    <n v="687683"/>
    <x v="2"/>
    <n v="1980"/>
    <n v="6"/>
    <n v="46"/>
    <s v="Good"/>
    <s v="Medium Risk"/>
  </r>
  <r>
    <d v="2020-02-23T00:00:00"/>
    <n v="20026"/>
    <s v="Sales - Intern"/>
    <s v="Sales"/>
    <s v="Intern"/>
    <n v="755"/>
    <n v="2"/>
    <n v="1"/>
    <d v="1986-06-20T00:00:00"/>
    <n v="609843"/>
    <x v="2"/>
    <n v="1986"/>
    <n v="2"/>
    <n v="40"/>
    <s v="Excellent"/>
    <s v="Low Risk"/>
  </r>
  <r>
    <d v="2020-01-07T00:00:00"/>
    <n v="35201"/>
    <s v="Growth - Executive"/>
    <s v="Growth"/>
    <s v="Executive"/>
    <n v="799"/>
    <n v="5"/>
    <n v="4"/>
    <d v="1990-08-24T00:00:00"/>
    <n v="837532"/>
    <x v="0"/>
    <n v="1990"/>
    <n v="1"/>
    <n v="36"/>
    <s v="Excellent"/>
    <s v="Medium Risk"/>
  </r>
  <r>
    <d v="2020-04-01T00:00:00"/>
    <n v="43002"/>
    <s v="Finance - Director"/>
    <s v="Finance"/>
    <s v="Director"/>
    <n v="733"/>
    <n v="2"/>
    <n v="8"/>
    <d v="1980-08-07T00:00:00"/>
    <n v="546755"/>
    <x v="2"/>
    <n v="1980"/>
    <n v="4"/>
    <n v="46"/>
    <s v="Good"/>
    <s v="High Risk"/>
  </r>
  <r>
    <d v="2020-06-13T00:00:00"/>
    <n v="49971"/>
    <s v="Strategy - Manager"/>
    <s v="Strategy"/>
    <s v="Manager"/>
    <n v="760"/>
    <n v="5"/>
    <n v="2"/>
    <d v="1983-07-23T00:00:00"/>
    <n v="899368"/>
    <x v="2"/>
    <n v="1983"/>
    <n v="6"/>
    <n v="43"/>
    <s v="Excellent"/>
    <s v="Low Risk"/>
  </r>
  <r>
    <d v="2020-07-16T00:00:00"/>
    <n v="36343"/>
    <s v="Strategy - Intern"/>
    <s v="Strategy"/>
    <s v="Intern"/>
    <n v="730"/>
    <n v="3"/>
    <n v="10"/>
    <d v="1986-01-29T00:00:00"/>
    <n v="824547"/>
    <x v="0"/>
    <n v="1986"/>
    <n v="7"/>
    <n v="40"/>
    <s v="Good"/>
    <s v="High Risk"/>
  </r>
  <r>
    <d v="2020-05-22T00:00:00"/>
    <n v="95876"/>
    <s v="Sales - Director"/>
    <s v="Sales"/>
    <s v="Director"/>
    <n v="731"/>
    <n v="4"/>
    <n v="10"/>
    <d v="1983-12-12T00:00:00"/>
    <n v="850116"/>
    <x v="2"/>
    <n v="1983"/>
    <n v="5"/>
    <n v="43"/>
    <s v="Good"/>
    <s v="High Risk"/>
  </r>
  <r>
    <d v="2020-10-20T00:00:00"/>
    <n v="73856"/>
    <s v="Growth - Director"/>
    <s v="Growth"/>
    <s v="Director"/>
    <n v="745"/>
    <n v="3"/>
    <n v="1"/>
    <d v="1982-08-15T00:00:00"/>
    <n v="582643"/>
    <x v="1"/>
    <n v="1982"/>
    <n v="10"/>
    <n v="44"/>
    <s v="Good"/>
    <s v="Medium Risk"/>
  </r>
  <r>
    <d v="2020-01-30T00:00:00"/>
    <n v="71244"/>
    <s v="Operation - Manager"/>
    <s v="Operation"/>
    <s v="Manager"/>
    <n v="700"/>
    <n v="3"/>
    <n v="2"/>
    <d v="1986-09-30T00:00:00"/>
    <n v="516827"/>
    <x v="1"/>
    <n v="1986"/>
    <n v="1"/>
    <n v="40"/>
    <s v="Good"/>
    <s v="Medium Risk"/>
  </r>
  <r>
    <d v="2020-05-22T00:00:00"/>
    <n v="52836"/>
    <s v="Marketing - Manager"/>
    <s v="Marketing"/>
    <s v="Manager"/>
    <n v="738"/>
    <n v="1"/>
    <n v="10"/>
    <d v="1986-08-24T00:00:00"/>
    <n v="957585"/>
    <x v="0"/>
    <n v="1986"/>
    <n v="5"/>
    <n v="40"/>
    <s v="Good"/>
    <s v="High Risk"/>
  </r>
  <r>
    <d v="2020-04-10T00:00:00"/>
    <n v="59488"/>
    <s v="Growth - Director"/>
    <s v="Growth"/>
    <s v="Director"/>
    <n v="748"/>
    <n v="5"/>
    <n v="7"/>
    <d v="1982-03-25T00:00:00"/>
    <n v="611961"/>
    <x v="2"/>
    <n v="1982"/>
    <n v="4"/>
    <n v="44"/>
    <s v="Good"/>
    <s v="High Risk"/>
  </r>
  <r>
    <d v="2020-10-22T00:00:00"/>
    <n v="45960"/>
    <s v="Growth - Manager"/>
    <s v="Growth"/>
    <s v="Manager"/>
    <n v="725"/>
    <n v="2"/>
    <n v="4"/>
    <d v="1983-02-01T00:00:00"/>
    <n v="793273"/>
    <x v="0"/>
    <n v="1983"/>
    <n v="10"/>
    <n v="43"/>
    <s v="Good"/>
    <s v="Medium Risk"/>
  </r>
  <r>
    <d v="2020-03-04T00:00:00"/>
    <n v="33980"/>
    <s v="Finance - Executive"/>
    <s v="Finance"/>
    <s v="Executive"/>
    <n v="743"/>
    <n v="1"/>
    <n v="4"/>
    <d v="1988-10-10T00:00:00"/>
    <n v="631678"/>
    <x v="2"/>
    <n v="1988"/>
    <n v="3"/>
    <n v="38"/>
    <s v="Good"/>
    <s v="Medium Risk"/>
  </r>
  <r>
    <d v="2020-10-09T00:00:00"/>
    <n v="75088"/>
    <s v="Marketing - Manager"/>
    <s v="Marketing"/>
    <s v="Manager"/>
    <n v="730"/>
    <n v="3"/>
    <n v="4"/>
    <d v="1992-12-06T00:00:00"/>
    <n v="537568"/>
    <x v="1"/>
    <n v="1992"/>
    <n v="10"/>
    <n v="34"/>
    <s v="Good"/>
    <s v="Medium Risk"/>
  </r>
  <r>
    <d v="2020-10-30T00:00:00"/>
    <n v="39103"/>
    <s v="Finance - Executive"/>
    <s v="Finance"/>
    <s v="Executive"/>
    <n v="711"/>
    <n v="5"/>
    <n v="3"/>
    <d v="1984-08-31T00:00:00"/>
    <n v="777747"/>
    <x v="2"/>
    <n v="1984"/>
    <n v="10"/>
    <n v="42"/>
    <s v="Good"/>
    <s v="Medium Risk"/>
  </r>
  <r>
    <d v="2020-02-17T00:00:00"/>
    <n v="87455"/>
    <s v="Sales - Manager"/>
    <s v="Sales"/>
    <s v="Manager"/>
    <n v="703"/>
    <n v="2"/>
    <n v="10"/>
    <d v="1994-11-11T00:00:00"/>
    <n v="906813"/>
    <x v="0"/>
    <n v="1994"/>
    <n v="2"/>
    <n v="32"/>
    <s v="Good"/>
    <s v="High Risk"/>
  </r>
  <r>
    <d v="2020-01-08T00:00:00"/>
    <n v="96599"/>
    <s v="Sales - Intern"/>
    <s v="Sales"/>
    <s v="Intern"/>
    <n v="702"/>
    <n v="5"/>
    <n v="5"/>
    <d v="1990-09-03T00:00:00"/>
    <n v="983428"/>
    <x v="2"/>
    <n v="1990"/>
    <n v="1"/>
    <n v="36"/>
    <s v="Good"/>
    <s v="Medium Risk"/>
  </r>
  <r>
    <d v="2020-03-31T00:00:00"/>
    <n v="44345"/>
    <s v="Operation - Manager"/>
    <s v="Operation"/>
    <s v="Manager"/>
    <n v="797"/>
    <n v="3"/>
    <n v="2"/>
    <d v="1982-04-09T00:00:00"/>
    <n v="575822"/>
    <x v="2"/>
    <n v="1982"/>
    <n v="3"/>
    <n v="44"/>
    <s v="Excellent"/>
    <s v="Low Risk"/>
  </r>
  <r>
    <d v="2020-11-19T00:00:00"/>
    <n v="78197"/>
    <s v="Sales - Executive"/>
    <s v="Sales"/>
    <s v="Executive"/>
    <n v="713"/>
    <n v="2"/>
    <n v="2"/>
    <d v="1988-12-27T00:00:00"/>
    <n v="662184"/>
    <x v="2"/>
    <n v="1988"/>
    <n v="11"/>
    <n v="38"/>
    <s v="Good"/>
    <s v="Medium Risk"/>
  </r>
  <r>
    <d v="2020-03-20T00:00:00"/>
    <n v="29117"/>
    <s v="Operation - Executive"/>
    <s v="Operation"/>
    <s v="Executive"/>
    <n v="727"/>
    <n v="5"/>
    <n v="3"/>
    <d v="1992-05-16T00:00:00"/>
    <n v="540688"/>
    <x v="1"/>
    <n v="1992"/>
    <n v="3"/>
    <n v="34"/>
    <s v="Good"/>
    <s v="Medium Risk"/>
  </r>
  <r>
    <d v="2020-03-26T00:00:00"/>
    <n v="91489"/>
    <s v="Finance - Executive"/>
    <s v="Finance"/>
    <s v="Executive"/>
    <n v="790"/>
    <n v="3"/>
    <n v="3"/>
    <d v="1989-04-06T00:00:00"/>
    <n v="676377"/>
    <x v="0"/>
    <n v="1989"/>
    <n v="3"/>
    <n v="37"/>
    <s v="Excellent"/>
    <s v="Medium Risk"/>
  </r>
  <r>
    <d v="2020-10-28T00:00:00"/>
    <n v="25479"/>
    <s v="Finance - Manager"/>
    <s v="Finance"/>
    <s v="Manager"/>
    <n v="750"/>
    <n v="5"/>
    <n v="2"/>
    <d v="1994-09-01T00:00:00"/>
    <n v="682869"/>
    <x v="0"/>
    <n v="1994"/>
    <n v="10"/>
    <n v="32"/>
    <s v="Excellent"/>
    <s v="Low Risk"/>
  </r>
  <r>
    <d v="2020-05-09T00:00:00"/>
    <n v="98022"/>
    <s v="Strategy - Intern"/>
    <s v="Strategy"/>
    <s v="Intern"/>
    <n v="794"/>
    <n v="3"/>
    <n v="3"/>
    <d v="1991-04-27T00:00:00"/>
    <n v="989564"/>
    <x v="1"/>
    <n v="1991"/>
    <n v="5"/>
    <n v="35"/>
    <s v="Excellent"/>
    <s v="Medium Risk"/>
  </r>
  <r>
    <d v="2020-11-11T00:00:00"/>
    <n v="43666"/>
    <s v="Marketing - Executive"/>
    <s v="Marketing"/>
    <s v="Executive"/>
    <n v="798"/>
    <n v="5"/>
    <n v="3"/>
    <d v="1981-02-07T00:00:00"/>
    <n v="539585"/>
    <x v="1"/>
    <n v="1981"/>
    <n v="11"/>
    <n v="45"/>
    <s v="Excellent"/>
    <s v="Medium Risk"/>
  </r>
  <r>
    <d v="2020-10-27T00:00:00"/>
    <n v="89531"/>
    <s v="Sales - Director"/>
    <s v="Sales"/>
    <s v="Director"/>
    <n v="736"/>
    <n v="3"/>
    <n v="9"/>
    <d v="1992-08-16T00:00:00"/>
    <n v="745259"/>
    <x v="0"/>
    <n v="1992"/>
    <n v="10"/>
    <n v="34"/>
    <s v="Good"/>
    <s v="High Risk"/>
  </r>
  <r>
    <d v="2020-01-17T00:00:00"/>
    <n v="73361"/>
    <s v="Marketing - Executive"/>
    <s v="Marketing"/>
    <s v="Executive"/>
    <n v="750"/>
    <n v="1"/>
    <n v="2"/>
    <d v="1994-08-13T00:00:00"/>
    <n v="546600"/>
    <x v="2"/>
    <n v="1994"/>
    <n v="1"/>
    <n v="32"/>
    <s v="Excellent"/>
    <s v="Low Risk"/>
  </r>
  <r>
    <d v="2020-11-09T00:00:00"/>
    <n v="83936"/>
    <s v="Growth - Manager"/>
    <s v="Growth"/>
    <s v="Manager"/>
    <n v="789"/>
    <n v="4"/>
    <n v="6"/>
    <d v="1983-02-26T00:00:00"/>
    <n v="877440"/>
    <x v="1"/>
    <n v="1983"/>
    <n v="11"/>
    <n v="43"/>
    <s v="Excellent"/>
    <s v="High Risk"/>
  </r>
  <r>
    <d v="2020-02-01T00:00:00"/>
    <n v="87663"/>
    <s v="Sales - Executive"/>
    <s v="Sales"/>
    <s v="Executive"/>
    <n v="784"/>
    <n v="4"/>
    <n v="8"/>
    <d v="1988-04-13T00:00:00"/>
    <n v="784708"/>
    <x v="1"/>
    <n v="1988"/>
    <n v="2"/>
    <n v="38"/>
    <s v="Excellent"/>
    <s v="High Risk"/>
  </r>
  <r>
    <d v="2020-12-07T00:00:00"/>
    <n v="21478"/>
    <s v="Finance - Intern"/>
    <s v="Finance"/>
    <s v="Intern"/>
    <n v="744"/>
    <n v="2"/>
    <n v="7"/>
    <d v="1980-01-25T00:00:00"/>
    <n v="668408"/>
    <x v="0"/>
    <n v="1980"/>
    <n v="12"/>
    <n v="46"/>
    <s v="Good"/>
    <s v="High Risk"/>
  </r>
  <r>
    <d v="2020-06-13T00:00:00"/>
    <n v="32550"/>
    <s v="Operation - Intern"/>
    <s v="Operation"/>
    <s v="Intern"/>
    <n v="789"/>
    <n v="3"/>
    <n v="3"/>
    <d v="1989-07-19T00:00:00"/>
    <n v="532370"/>
    <x v="1"/>
    <n v="1989"/>
    <n v="6"/>
    <n v="37"/>
    <s v="Excellent"/>
    <s v="Medium Risk"/>
  </r>
  <r>
    <d v="2020-10-20T00:00:00"/>
    <n v="62304"/>
    <s v="Strategy - Director"/>
    <s v="Strategy"/>
    <s v="Director"/>
    <n v="709"/>
    <n v="4"/>
    <n v="9"/>
    <d v="1994-08-21T00:00:00"/>
    <n v="982857"/>
    <x v="2"/>
    <n v="1994"/>
    <n v="10"/>
    <n v="32"/>
    <s v="Good"/>
    <s v="High Risk"/>
  </r>
  <r>
    <d v="2020-09-04T00:00:00"/>
    <n v="51482"/>
    <s v="Finance - Manager"/>
    <s v="Finance"/>
    <s v="Manager"/>
    <n v="737"/>
    <n v="2"/>
    <n v="5"/>
    <d v="1987-08-12T00:00:00"/>
    <n v="850423"/>
    <x v="1"/>
    <n v="1987"/>
    <n v="9"/>
    <n v="39"/>
    <s v="Good"/>
    <s v="Medium Risk"/>
  </r>
  <r>
    <d v="2020-11-30T00:00:00"/>
    <n v="10264"/>
    <s v="Operation - Manager"/>
    <s v="Operation"/>
    <s v="Manager"/>
    <n v="739"/>
    <n v="5"/>
    <n v="10"/>
    <d v="1992-09-19T00:00:00"/>
    <n v="993245"/>
    <x v="1"/>
    <n v="1992"/>
    <n v="11"/>
    <n v="34"/>
    <s v="Good"/>
    <s v="High Risk"/>
  </r>
  <r>
    <d v="2020-03-29T00:00:00"/>
    <n v="89174"/>
    <s v="Strategy - Director"/>
    <s v="Strategy"/>
    <s v="Director"/>
    <n v="730"/>
    <n v="5"/>
    <n v="1"/>
    <d v="1980-11-11T00:00:00"/>
    <n v="502469"/>
    <x v="1"/>
    <n v="1980"/>
    <n v="3"/>
    <n v="46"/>
    <s v="Good"/>
    <s v="Medium Risk"/>
  </r>
  <r>
    <d v="2020-02-20T00:00:00"/>
    <n v="43193"/>
    <s v="Marketing - Intern"/>
    <s v="Marketing"/>
    <s v="Intern"/>
    <n v="748"/>
    <n v="3"/>
    <n v="7"/>
    <d v="1984-01-10T00:00:00"/>
    <n v="953477"/>
    <x v="2"/>
    <n v="1984"/>
    <n v="2"/>
    <n v="42"/>
    <s v="Good"/>
    <s v="High Risk"/>
  </r>
  <r>
    <d v="2020-05-24T00:00:00"/>
    <n v="89946"/>
    <s v="Sales - Director"/>
    <s v="Sales"/>
    <s v="Director"/>
    <n v="799"/>
    <n v="5"/>
    <n v="7"/>
    <d v="1994-03-13T00:00:00"/>
    <n v="957311"/>
    <x v="2"/>
    <n v="1994"/>
    <n v="5"/>
    <n v="32"/>
    <s v="Excellent"/>
    <s v="High Risk"/>
  </r>
  <r>
    <d v="2020-01-02T00:00:00"/>
    <n v="74711"/>
    <s v="Finance - Director"/>
    <s v="Finance"/>
    <s v="Director"/>
    <n v="707"/>
    <n v="5"/>
    <n v="7"/>
    <d v="1985-12-06T00:00:00"/>
    <n v="896044"/>
    <x v="0"/>
    <n v="1985"/>
    <n v="1"/>
    <n v="41"/>
    <s v="Good"/>
    <s v="High Risk"/>
  </r>
  <r>
    <d v="2020-05-31T00:00:00"/>
    <n v="77498"/>
    <s v="Marketing - Manager"/>
    <s v="Marketing"/>
    <s v="Manager"/>
    <n v="767"/>
    <n v="1"/>
    <n v="4"/>
    <d v="1983-02-24T00:00:00"/>
    <n v="551373"/>
    <x v="2"/>
    <n v="1983"/>
    <n v="5"/>
    <n v="43"/>
    <s v="Excellent"/>
    <s v="Medium Risk"/>
  </r>
  <r>
    <d v="2020-03-11T00:00:00"/>
    <n v="50068"/>
    <s v="Finance - Director"/>
    <s v="Finance"/>
    <s v="Director"/>
    <n v="710"/>
    <n v="1"/>
    <n v="2"/>
    <d v="1984-09-22T00:00:00"/>
    <n v="678013"/>
    <x v="0"/>
    <n v="1984"/>
    <n v="3"/>
    <n v="42"/>
    <s v="Good"/>
    <s v="Medium Risk"/>
  </r>
  <r>
    <d v="2020-03-26T00:00:00"/>
    <n v="25864"/>
    <s v="Finance - Director"/>
    <s v="Finance"/>
    <s v="Director"/>
    <n v="748"/>
    <n v="1"/>
    <n v="9"/>
    <d v="1984-08-19T00:00:00"/>
    <n v="576506"/>
    <x v="2"/>
    <n v="1984"/>
    <n v="3"/>
    <n v="42"/>
    <s v="Good"/>
    <s v="High Risk"/>
  </r>
  <r>
    <d v="2020-08-24T00:00:00"/>
    <n v="15523"/>
    <s v="Strategy - Director"/>
    <s v="Strategy"/>
    <s v="Director"/>
    <n v="703"/>
    <n v="5"/>
    <n v="5"/>
    <d v="1989-05-21T00:00:00"/>
    <n v="578683"/>
    <x v="2"/>
    <n v="1989"/>
    <n v="8"/>
    <n v="37"/>
    <s v="Good"/>
    <s v="Medium Risk"/>
  </r>
  <r>
    <d v="2020-07-30T00:00:00"/>
    <n v="12810"/>
    <s v="Marketing - Executive"/>
    <s v="Marketing"/>
    <s v="Executive"/>
    <n v="783"/>
    <n v="2"/>
    <n v="8"/>
    <d v="1991-03-25T00:00:00"/>
    <n v="773923"/>
    <x v="1"/>
    <n v="1991"/>
    <n v="7"/>
    <n v="35"/>
    <s v="Excellent"/>
    <s v="High Risk"/>
  </r>
  <r>
    <d v="2020-02-16T00:00:00"/>
    <n v="28938"/>
    <s v="Finance - Executive"/>
    <s v="Finance"/>
    <s v="Executive"/>
    <n v="714"/>
    <n v="3"/>
    <n v="7"/>
    <d v="1992-06-11T00:00:00"/>
    <n v="567036"/>
    <x v="2"/>
    <n v="1992"/>
    <n v="2"/>
    <n v="34"/>
    <s v="Good"/>
    <s v="High Risk"/>
  </r>
  <r>
    <d v="2020-03-08T00:00:00"/>
    <n v="38868"/>
    <s v="Finance - Manager"/>
    <s v="Finance"/>
    <s v="Manager"/>
    <n v="786"/>
    <n v="5"/>
    <n v="9"/>
    <d v="1991-10-21T00:00:00"/>
    <n v="774453"/>
    <x v="0"/>
    <n v="1991"/>
    <n v="3"/>
    <n v="35"/>
    <s v="Excellent"/>
    <s v="High Risk"/>
  </r>
  <r>
    <d v="2020-05-16T00:00:00"/>
    <n v="98711"/>
    <s v="Finance - Director"/>
    <s v="Finance"/>
    <s v="Director"/>
    <n v="744"/>
    <n v="2"/>
    <n v="9"/>
    <d v="1992-09-19T00:00:00"/>
    <n v="622283"/>
    <x v="0"/>
    <n v="1992"/>
    <n v="5"/>
    <n v="34"/>
    <s v="Good"/>
    <s v="High Risk"/>
  </r>
  <r>
    <d v="2020-06-09T00:00:00"/>
    <n v="79287"/>
    <s v="Marketing - Executive"/>
    <s v="Marketing"/>
    <s v="Executive"/>
    <n v="760"/>
    <n v="1"/>
    <n v="3"/>
    <d v="1981-03-14T00:00:00"/>
    <n v="611744"/>
    <x v="0"/>
    <n v="1981"/>
    <n v="6"/>
    <n v="45"/>
    <s v="Excellent"/>
    <s v="Medium Risk"/>
  </r>
  <r>
    <d v="2020-07-04T00:00:00"/>
    <n v="19045"/>
    <s v="Operation - Executive"/>
    <s v="Operation"/>
    <s v="Executive"/>
    <n v="796"/>
    <n v="2"/>
    <n v="10"/>
    <d v="1984-04-11T00:00:00"/>
    <n v="628943"/>
    <x v="1"/>
    <n v="1984"/>
    <n v="7"/>
    <n v="42"/>
    <s v="Excellent"/>
    <s v="High Risk"/>
  </r>
  <r>
    <d v="2020-05-07T00:00:00"/>
    <n v="85012"/>
    <s v="Sales - Director"/>
    <s v="Sales"/>
    <s v="Director"/>
    <n v="732"/>
    <n v="4"/>
    <n v="7"/>
    <d v="1990-03-05T00:00:00"/>
    <n v="708934"/>
    <x v="2"/>
    <n v="1990"/>
    <n v="5"/>
    <n v="36"/>
    <s v="Good"/>
    <s v="High Risk"/>
  </r>
  <r>
    <d v="2020-05-18T00:00:00"/>
    <n v="26130"/>
    <s v="Marketing - Executive"/>
    <s v="Marketing"/>
    <s v="Executive"/>
    <n v="750"/>
    <n v="3"/>
    <n v="3"/>
    <d v="1986-07-31T00:00:00"/>
    <n v="702540"/>
    <x v="2"/>
    <n v="1986"/>
    <n v="5"/>
    <n v="40"/>
    <s v="Excellent"/>
    <s v="Medium Risk"/>
  </r>
  <r>
    <d v="2020-02-02T00:00:00"/>
    <n v="75676"/>
    <s v="Finance - Director"/>
    <s v="Finance"/>
    <s v="Director"/>
    <n v="782"/>
    <n v="5"/>
    <n v="9"/>
    <d v="1992-07-12T00:00:00"/>
    <n v="972215"/>
    <x v="1"/>
    <n v="1992"/>
    <n v="2"/>
    <n v="34"/>
    <s v="Excellent"/>
    <s v="High Risk"/>
  </r>
  <r>
    <d v="2020-04-03T00:00:00"/>
    <n v="33039"/>
    <s v="Growth - Manager"/>
    <s v="Growth"/>
    <s v="Manager"/>
    <n v="727"/>
    <n v="3"/>
    <n v="1"/>
    <d v="1991-11-18T00:00:00"/>
    <n v="768217"/>
    <x v="2"/>
    <n v="1991"/>
    <n v="4"/>
    <n v="35"/>
    <s v="Good"/>
    <s v="Medium Risk"/>
  </r>
  <r>
    <d v="2020-06-09T00:00:00"/>
    <n v="25933"/>
    <s v="Marketing - Intern"/>
    <s v="Marketing"/>
    <s v="Intern"/>
    <n v="795"/>
    <n v="1"/>
    <n v="6"/>
    <d v="1989-03-25T00:00:00"/>
    <n v="551272"/>
    <x v="2"/>
    <n v="1989"/>
    <n v="6"/>
    <n v="37"/>
    <s v="Excellent"/>
    <s v="High Risk"/>
  </r>
  <r>
    <d v="2020-05-28T00:00:00"/>
    <n v="87206"/>
    <s v="Marketing - Executive"/>
    <s v="Marketing"/>
    <s v="Executive"/>
    <n v="797"/>
    <n v="2"/>
    <n v="4"/>
    <d v="1989-07-10T00:00:00"/>
    <n v="778299"/>
    <x v="1"/>
    <n v="1989"/>
    <n v="5"/>
    <n v="37"/>
    <s v="Excellent"/>
    <s v="Medium Risk"/>
  </r>
  <r>
    <d v="2020-06-30T00:00:00"/>
    <n v="90629"/>
    <s v="Operation - Executive"/>
    <s v="Operation"/>
    <s v="Executive"/>
    <n v="762"/>
    <n v="4"/>
    <n v="8"/>
    <d v="1993-04-18T00:00:00"/>
    <n v="885277"/>
    <x v="0"/>
    <n v="1993"/>
    <n v="6"/>
    <n v="33"/>
    <s v="Excellent"/>
    <s v="High Risk"/>
  </r>
  <r>
    <d v="2020-02-16T00:00:00"/>
    <n v="21163"/>
    <s v="Operation - Director"/>
    <s v="Operation"/>
    <s v="Director"/>
    <n v="731"/>
    <n v="5"/>
    <n v="10"/>
    <d v="1984-04-24T00:00:00"/>
    <n v="678764"/>
    <x v="2"/>
    <n v="1984"/>
    <n v="2"/>
    <n v="42"/>
    <s v="Good"/>
    <s v="High Risk"/>
  </r>
  <r>
    <d v="2020-02-28T00:00:00"/>
    <n v="66933"/>
    <s v="Finance - Manager"/>
    <s v="Finance"/>
    <s v="Manager"/>
    <n v="721"/>
    <n v="4"/>
    <n v="1"/>
    <d v="1987-07-17T00:00:00"/>
    <n v="554995"/>
    <x v="1"/>
    <n v="1987"/>
    <n v="2"/>
    <n v="39"/>
    <s v="Good"/>
    <s v="Medium Risk"/>
  </r>
  <r>
    <d v="2020-09-19T00:00:00"/>
    <n v="52669"/>
    <s v="Growth - Director"/>
    <s v="Growth"/>
    <s v="Director"/>
    <n v="777"/>
    <n v="3"/>
    <n v="1"/>
    <d v="1989-04-14T00:00:00"/>
    <n v="878597"/>
    <x v="1"/>
    <n v="1989"/>
    <n v="9"/>
    <n v="37"/>
    <s v="Excellent"/>
    <s v="Low Risk"/>
  </r>
  <r>
    <d v="2020-06-11T00:00:00"/>
    <n v="34096"/>
    <s v="Sales - Director"/>
    <s v="Sales"/>
    <s v="Director"/>
    <n v="762"/>
    <n v="1"/>
    <n v="7"/>
    <d v="1985-10-10T00:00:00"/>
    <n v="787237"/>
    <x v="0"/>
    <n v="1985"/>
    <n v="6"/>
    <n v="41"/>
    <s v="Excellent"/>
    <s v="High Risk"/>
  </r>
  <r>
    <d v="2020-05-08T00:00:00"/>
    <n v="52047"/>
    <s v="Operation - Director"/>
    <s v="Operation"/>
    <s v="Director"/>
    <n v="717"/>
    <n v="2"/>
    <n v="5"/>
    <d v="1990-07-03T00:00:00"/>
    <n v="731639"/>
    <x v="2"/>
    <n v="1990"/>
    <n v="5"/>
    <n v="36"/>
    <s v="Good"/>
    <s v="Medium Risk"/>
  </r>
  <r>
    <d v="2020-09-29T00:00:00"/>
    <n v="84754"/>
    <s v="Finance - Intern"/>
    <s v="Finance"/>
    <s v="Intern"/>
    <n v="737"/>
    <n v="1"/>
    <n v="3"/>
    <d v="1993-01-17T00:00:00"/>
    <n v="915415"/>
    <x v="1"/>
    <n v="1993"/>
    <n v="9"/>
    <n v="33"/>
    <s v="Good"/>
    <s v="Medium Risk"/>
  </r>
  <r>
    <d v="2020-04-26T00:00:00"/>
    <n v="18361"/>
    <s v="Operation - Intern"/>
    <s v="Operation"/>
    <s v="Intern"/>
    <n v="769"/>
    <n v="2"/>
    <n v="5"/>
    <d v="1983-09-29T00:00:00"/>
    <n v="786099"/>
    <x v="2"/>
    <n v="1983"/>
    <n v="4"/>
    <n v="43"/>
    <s v="Excellent"/>
    <s v="Medium Risk"/>
  </r>
  <r>
    <d v="2020-05-19T00:00:00"/>
    <n v="30488"/>
    <s v="Operation - Manager"/>
    <s v="Operation"/>
    <s v="Manager"/>
    <n v="752"/>
    <n v="2"/>
    <n v="4"/>
    <d v="1993-07-28T00:00:00"/>
    <n v="839620"/>
    <x v="0"/>
    <n v="1993"/>
    <n v="5"/>
    <n v="33"/>
    <s v="Excellent"/>
    <s v="Medium Risk"/>
  </r>
  <r>
    <d v="2020-02-27T00:00:00"/>
    <n v="77076"/>
    <s v="Growth - Executive"/>
    <s v="Growth"/>
    <s v="Executive"/>
    <n v="727"/>
    <n v="4"/>
    <n v="2"/>
    <d v="1982-03-15T00:00:00"/>
    <n v="842570"/>
    <x v="0"/>
    <n v="1982"/>
    <n v="2"/>
    <n v="44"/>
    <s v="Good"/>
    <s v="Medium Risk"/>
  </r>
  <r>
    <d v="2020-07-09T00:00:00"/>
    <n v="51851"/>
    <s v="Strategy - Manager"/>
    <s v="Strategy"/>
    <s v="Manager"/>
    <n v="765"/>
    <n v="4"/>
    <n v="1"/>
    <d v="1987-04-01T00:00:00"/>
    <n v="528387"/>
    <x v="0"/>
    <n v="1987"/>
    <n v="7"/>
    <n v="39"/>
    <s v="Excellent"/>
    <s v="Low Risk"/>
  </r>
  <r>
    <d v="2020-06-22T00:00:00"/>
    <n v="78225"/>
    <s v="Marketing - Director"/>
    <s v="Marketing"/>
    <s v="Director"/>
    <n v="701"/>
    <n v="2"/>
    <n v="3"/>
    <d v="1991-08-12T00:00:00"/>
    <n v="932665"/>
    <x v="2"/>
    <n v="1991"/>
    <n v="6"/>
    <n v="35"/>
    <s v="Good"/>
    <s v="Medium Risk"/>
  </r>
  <r>
    <d v="2020-10-31T00:00:00"/>
    <n v="19307"/>
    <s v="Marketing - Manager"/>
    <s v="Marketing"/>
    <s v="Manager"/>
    <n v="765"/>
    <n v="5"/>
    <n v="7"/>
    <d v="1983-05-03T00:00:00"/>
    <n v="791645"/>
    <x v="0"/>
    <n v="1983"/>
    <n v="10"/>
    <n v="43"/>
    <s v="Excellent"/>
    <s v="High Risk"/>
  </r>
  <r>
    <d v="2020-02-26T00:00:00"/>
    <n v="42060"/>
    <s v="Strategy - Manager"/>
    <s v="Strategy"/>
    <s v="Manager"/>
    <n v="731"/>
    <n v="4"/>
    <n v="4"/>
    <d v="1990-12-31T00:00:00"/>
    <n v="973062"/>
    <x v="2"/>
    <n v="1990"/>
    <n v="2"/>
    <n v="36"/>
    <s v="Good"/>
    <s v="Medium Risk"/>
  </r>
  <r>
    <d v="2020-09-30T00:00:00"/>
    <n v="85001"/>
    <s v="Marketing - Manager"/>
    <s v="Marketing"/>
    <s v="Manager"/>
    <n v="787"/>
    <n v="3"/>
    <n v="2"/>
    <d v="1982-12-01T00:00:00"/>
    <n v="931330"/>
    <x v="0"/>
    <n v="1982"/>
    <n v="9"/>
    <n v="44"/>
    <s v="Excellent"/>
    <s v="Low Risk"/>
  </r>
  <r>
    <d v="2020-01-14T00:00:00"/>
    <n v="13133"/>
    <s v="Growth - Intern"/>
    <s v="Growth"/>
    <s v="Intern"/>
    <n v="795"/>
    <n v="5"/>
    <n v="6"/>
    <d v="1986-08-09T00:00:00"/>
    <n v="873159"/>
    <x v="0"/>
    <n v="1986"/>
    <n v="1"/>
    <n v="40"/>
    <s v="Excellent"/>
    <s v="High Risk"/>
  </r>
  <r>
    <d v="2020-12-08T00:00:00"/>
    <n v="47674"/>
    <s v="Operation - Manager"/>
    <s v="Operation"/>
    <s v="Manager"/>
    <n v="789"/>
    <n v="3"/>
    <n v="3"/>
    <d v="1986-10-12T00:00:00"/>
    <n v="541750"/>
    <x v="1"/>
    <n v="1986"/>
    <n v="12"/>
    <n v="40"/>
    <s v="Excellent"/>
    <s v="Medium Risk"/>
  </r>
  <r>
    <d v="2020-06-03T00:00:00"/>
    <n v="90047"/>
    <s v="Growth - Director"/>
    <s v="Growth"/>
    <s v="Director"/>
    <n v="723"/>
    <n v="1"/>
    <n v="6"/>
    <d v="1987-11-05T00:00:00"/>
    <n v="720035"/>
    <x v="0"/>
    <n v="1987"/>
    <n v="6"/>
    <n v="39"/>
    <s v="Good"/>
    <s v="High Risk"/>
  </r>
  <r>
    <d v="2020-03-02T00:00:00"/>
    <n v="78042"/>
    <s v="Growth - Intern"/>
    <s v="Growth"/>
    <s v="Intern"/>
    <n v="766"/>
    <n v="5"/>
    <n v="9"/>
    <d v="1981-12-08T00:00:00"/>
    <n v="816203"/>
    <x v="1"/>
    <n v="1981"/>
    <n v="3"/>
    <n v="45"/>
    <s v="Excellent"/>
    <s v="High Risk"/>
  </r>
  <r>
    <d v="2020-12-05T00:00:00"/>
    <n v="61426"/>
    <s v="Marketing - Manager"/>
    <s v="Marketing"/>
    <s v="Manager"/>
    <n v="718"/>
    <n v="2"/>
    <n v="4"/>
    <d v="1984-10-02T00:00:00"/>
    <n v="863899"/>
    <x v="1"/>
    <n v="1984"/>
    <n v="12"/>
    <n v="42"/>
    <s v="Good"/>
    <s v="Medium Risk"/>
  </r>
  <r>
    <d v="2020-09-29T00:00:00"/>
    <n v="12276"/>
    <s v="Finance - Manager"/>
    <s v="Finance"/>
    <s v="Manager"/>
    <n v="745"/>
    <n v="3"/>
    <n v="3"/>
    <d v="1980-10-11T00:00:00"/>
    <n v="952092"/>
    <x v="0"/>
    <n v="1980"/>
    <n v="9"/>
    <n v="46"/>
    <s v="Good"/>
    <s v="Medium Risk"/>
  </r>
  <r>
    <d v="2020-08-18T00:00:00"/>
    <n v="57318"/>
    <s v="Strategy - Executive"/>
    <s v="Strategy"/>
    <s v="Executive"/>
    <n v="739"/>
    <n v="4"/>
    <n v="4"/>
    <d v="1986-09-07T00:00:00"/>
    <n v="844742"/>
    <x v="0"/>
    <n v="1986"/>
    <n v="8"/>
    <n v="40"/>
    <s v="Good"/>
    <s v="Medium Risk"/>
  </r>
  <r>
    <d v="2020-01-07T00:00:00"/>
    <n v="50692"/>
    <s v="Operation - Manager"/>
    <s v="Operation"/>
    <s v="Manager"/>
    <n v="766"/>
    <n v="3"/>
    <n v="7"/>
    <d v="1990-09-03T00:00:00"/>
    <n v="673770"/>
    <x v="1"/>
    <n v="1990"/>
    <n v="1"/>
    <n v="36"/>
    <s v="Excellent"/>
    <s v="High Risk"/>
  </r>
  <r>
    <d v="2020-04-16T00:00:00"/>
    <n v="87524"/>
    <s v="Finance - Intern"/>
    <s v="Finance"/>
    <s v="Intern"/>
    <n v="729"/>
    <n v="1"/>
    <n v="8"/>
    <d v="1981-06-02T00:00:00"/>
    <n v="956323"/>
    <x v="1"/>
    <n v="1981"/>
    <n v="4"/>
    <n v="45"/>
    <s v="Good"/>
    <s v="High Risk"/>
  </r>
  <r>
    <d v="2020-03-06T00:00:00"/>
    <n v="54876"/>
    <s v="Finance - Manager"/>
    <s v="Finance"/>
    <s v="Manager"/>
    <n v="798"/>
    <n v="1"/>
    <n v="2"/>
    <d v="1980-03-13T00:00:00"/>
    <n v="912727"/>
    <x v="2"/>
    <n v="1980"/>
    <n v="3"/>
    <n v="46"/>
    <s v="Excellent"/>
    <s v="Low Risk"/>
  </r>
  <r>
    <d v="2020-04-06T00:00:00"/>
    <n v="95528"/>
    <s v="Marketing - Executive"/>
    <s v="Marketing"/>
    <s v="Executive"/>
    <n v="767"/>
    <n v="2"/>
    <n v="10"/>
    <d v="1994-06-01T00:00:00"/>
    <n v="915427"/>
    <x v="1"/>
    <n v="1994"/>
    <n v="4"/>
    <n v="32"/>
    <s v="Excellent"/>
    <s v="High Risk"/>
  </r>
  <r>
    <d v="2020-07-30T00:00:00"/>
    <n v="81067"/>
    <s v="Operation - Director"/>
    <s v="Operation"/>
    <s v="Director"/>
    <n v="731"/>
    <n v="5"/>
    <n v="8"/>
    <d v="1985-10-23T00:00:00"/>
    <n v="806031"/>
    <x v="2"/>
    <n v="1985"/>
    <n v="7"/>
    <n v="41"/>
    <s v="Good"/>
    <s v="High Risk"/>
  </r>
  <r>
    <d v="2020-07-31T00:00:00"/>
    <n v="51072"/>
    <s v="Strategy - Intern"/>
    <s v="Strategy"/>
    <s v="Intern"/>
    <n v="703"/>
    <n v="4"/>
    <n v="6"/>
    <d v="1993-05-12T00:00:00"/>
    <n v="792854"/>
    <x v="0"/>
    <n v="1993"/>
    <n v="7"/>
    <n v="33"/>
    <s v="Good"/>
    <s v="High Risk"/>
  </r>
  <r>
    <d v="2020-10-08T00:00:00"/>
    <n v="95387"/>
    <s v="Sales - Executive"/>
    <s v="Sales"/>
    <s v="Executive"/>
    <n v="767"/>
    <n v="5"/>
    <n v="10"/>
    <d v="1991-09-04T00:00:00"/>
    <n v="556417"/>
    <x v="0"/>
    <n v="1991"/>
    <n v="10"/>
    <n v="35"/>
    <s v="Excellent"/>
    <s v="High Risk"/>
  </r>
  <r>
    <d v="2020-07-18T00:00:00"/>
    <n v="94660"/>
    <s v="Sales - Director"/>
    <s v="Sales"/>
    <s v="Director"/>
    <n v="788"/>
    <n v="1"/>
    <n v="2"/>
    <d v="1990-01-23T00:00:00"/>
    <n v="722600"/>
    <x v="2"/>
    <n v="1990"/>
    <n v="7"/>
    <n v="36"/>
    <s v="Excellent"/>
    <s v="Low Risk"/>
  </r>
  <r>
    <d v="2020-07-19T00:00:00"/>
    <n v="48357"/>
    <s v="Growth - Executive"/>
    <s v="Growth"/>
    <s v="Executive"/>
    <n v="710"/>
    <n v="3"/>
    <n v="2"/>
    <d v="1990-11-28T00:00:00"/>
    <n v="536867"/>
    <x v="0"/>
    <n v="1990"/>
    <n v="7"/>
    <n v="36"/>
    <s v="Good"/>
    <s v="Medium Risk"/>
  </r>
  <r>
    <d v="2020-11-18T00:00:00"/>
    <n v="82429"/>
    <s v="Growth - Director"/>
    <s v="Growth"/>
    <s v="Director"/>
    <n v="751"/>
    <n v="2"/>
    <n v="2"/>
    <d v="1994-10-13T00:00:00"/>
    <n v="797411"/>
    <x v="0"/>
    <n v="1994"/>
    <n v="11"/>
    <n v="32"/>
    <s v="Excellent"/>
    <s v="Low Risk"/>
  </r>
  <r>
    <d v="2020-01-28T00:00:00"/>
    <n v="42072"/>
    <s v="Marketing - Executive"/>
    <s v="Marketing"/>
    <s v="Executive"/>
    <n v="769"/>
    <n v="2"/>
    <n v="9"/>
    <d v="1994-09-24T00:00:00"/>
    <n v="776408"/>
    <x v="0"/>
    <n v="1994"/>
    <n v="1"/>
    <n v="32"/>
    <s v="Excellent"/>
    <s v="High Risk"/>
  </r>
  <r>
    <d v="2020-01-06T00:00:00"/>
    <n v="96186"/>
    <s v="Strategy - Executive"/>
    <s v="Strategy"/>
    <s v="Executive"/>
    <n v="798"/>
    <n v="3"/>
    <n v="9"/>
    <d v="1993-12-07T00:00:00"/>
    <n v="949902"/>
    <x v="1"/>
    <n v="1993"/>
    <n v="1"/>
    <n v="33"/>
    <s v="Excellent"/>
    <s v="High Ris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x v="0"/>
    <n v="91270"/>
    <s v="Marketing - Director"/>
    <x v="0"/>
    <s v="Director"/>
    <n v="700"/>
    <n v="3"/>
    <x v="0"/>
    <d v="1988-10-20T00:00:00"/>
    <n v="724892"/>
    <x v="0"/>
    <n v="1988"/>
    <n v="8"/>
    <n v="38"/>
    <x v="0"/>
    <x v="0"/>
  </r>
  <r>
    <x v="1"/>
    <n v="19419"/>
    <s v="Operation - Executive"/>
    <x v="1"/>
    <s v="Executive"/>
    <n v="738"/>
    <n v="1"/>
    <x v="1"/>
    <d v="1990-05-16T00:00:00"/>
    <n v="619419"/>
    <x v="0"/>
    <n v="1990"/>
    <n v="4"/>
    <n v="36"/>
    <x v="0"/>
    <x v="1"/>
  </r>
  <r>
    <x v="2"/>
    <n v="33678"/>
    <s v="Marketing - Executive"/>
    <x v="0"/>
    <s v="Executive"/>
    <n v="797"/>
    <n v="5"/>
    <x v="2"/>
    <d v="1992-01-14T00:00:00"/>
    <n v="546715"/>
    <x v="0"/>
    <n v="1992"/>
    <n v="9"/>
    <n v="34"/>
    <x v="1"/>
    <x v="1"/>
  </r>
  <r>
    <x v="3"/>
    <n v="66356"/>
    <s v="Growth - Manager"/>
    <x v="2"/>
    <s v="Manager"/>
    <n v="798"/>
    <n v="1"/>
    <x v="3"/>
    <d v="1986-09-25T00:00:00"/>
    <n v="591212"/>
    <x v="1"/>
    <n v="1986"/>
    <n v="7"/>
    <n v="40"/>
    <x v="1"/>
    <x v="0"/>
  </r>
  <r>
    <x v="4"/>
    <n v="85241"/>
    <s v="Marketing - Manager"/>
    <x v="0"/>
    <s v="Manager"/>
    <n v="712"/>
    <n v="2"/>
    <x v="4"/>
    <d v="1993-02-19T00:00:00"/>
    <n v="853015"/>
    <x v="0"/>
    <n v="1993"/>
    <n v="1"/>
    <n v="33"/>
    <x v="0"/>
    <x v="0"/>
  </r>
  <r>
    <x v="5"/>
    <n v="83733"/>
    <s v="Operation - Manager"/>
    <x v="1"/>
    <s v="Manager"/>
    <n v="783"/>
    <n v="4"/>
    <x v="3"/>
    <d v="1984-08-17T00:00:00"/>
    <n v="873595"/>
    <x v="2"/>
    <n v="1984"/>
    <n v="6"/>
    <n v="42"/>
    <x v="1"/>
    <x v="0"/>
  </r>
  <r>
    <x v="6"/>
    <n v="40255"/>
    <s v="Strategy - Executive"/>
    <x v="3"/>
    <s v="Executive"/>
    <n v="725"/>
    <n v="1"/>
    <x v="0"/>
    <d v="1983-04-14T00:00:00"/>
    <n v="779732"/>
    <x v="2"/>
    <n v="1983"/>
    <n v="3"/>
    <n v="43"/>
    <x v="0"/>
    <x v="0"/>
  </r>
  <r>
    <x v="7"/>
    <n v="23150"/>
    <s v="Marketing - Intern"/>
    <x v="0"/>
    <s v="Intern"/>
    <n v="795"/>
    <n v="3"/>
    <x v="5"/>
    <d v="1992-04-02T00:00:00"/>
    <n v="827502"/>
    <x v="0"/>
    <n v="1992"/>
    <n v="8"/>
    <n v="34"/>
    <x v="1"/>
    <x v="2"/>
  </r>
  <r>
    <x v="8"/>
    <n v="61923"/>
    <s v="Strategy - Intern"/>
    <x v="3"/>
    <s v="Intern"/>
    <n v="730"/>
    <n v="4"/>
    <x v="4"/>
    <d v="1994-06-07T00:00:00"/>
    <n v="939272"/>
    <x v="0"/>
    <n v="1994"/>
    <n v="4"/>
    <n v="32"/>
    <x v="0"/>
    <x v="0"/>
  </r>
  <r>
    <x v="9"/>
    <n v="32314"/>
    <s v="Sales - Manager"/>
    <x v="4"/>
    <s v="Manager"/>
    <n v="711"/>
    <n v="5"/>
    <x v="6"/>
    <d v="1989-08-27T00:00:00"/>
    <n v="748267"/>
    <x v="0"/>
    <n v="1989"/>
    <n v="5"/>
    <n v="37"/>
    <x v="0"/>
    <x v="0"/>
  </r>
  <r>
    <x v="10"/>
    <n v="51904"/>
    <s v="Marketing - Executive"/>
    <x v="0"/>
    <s v="Executive"/>
    <n v="718"/>
    <n v="4"/>
    <x v="1"/>
    <d v="1991-05-10T00:00:00"/>
    <n v="845409"/>
    <x v="0"/>
    <n v="1991"/>
    <n v="11"/>
    <n v="35"/>
    <x v="0"/>
    <x v="1"/>
  </r>
  <r>
    <x v="11"/>
    <n v="10949"/>
    <s v="Strategy - Manager"/>
    <x v="3"/>
    <s v="Manager"/>
    <n v="701"/>
    <n v="5"/>
    <x v="6"/>
    <d v="1990-12-04T00:00:00"/>
    <n v="855796"/>
    <x v="0"/>
    <n v="1990"/>
    <n v="5"/>
    <n v="36"/>
    <x v="0"/>
    <x v="0"/>
  </r>
  <r>
    <x v="12"/>
    <n v="42544"/>
    <s v="Operation - Intern"/>
    <x v="1"/>
    <s v="Intern"/>
    <n v="776"/>
    <n v="2"/>
    <x v="3"/>
    <d v="1988-09-12T00:00:00"/>
    <n v="558415"/>
    <x v="1"/>
    <n v="1988"/>
    <n v="2"/>
    <n v="38"/>
    <x v="1"/>
    <x v="0"/>
  </r>
  <r>
    <x v="13"/>
    <n v="10892"/>
    <s v="Operation - Manager"/>
    <x v="1"/>
    <s v="Manager"/>
    <n v="719"/>
    <n v="2"/>
    <x v="3"/>
    <d v="1986-08-16T00:00:00"/>
    <n v="832131"/>
    <x v="1"/>
    <n v="1986"/>
    <n v="8"/>
    <n v="40"/>
    <x v="0"/>
    <x v="0"/>
  </r>
  <r>
    <x v="14"/>
    <n v="11082"/>
    <s v="Growth - Director"/>
    <x v="2"/>
    <s v="Director"/>
    <n v="789"/>
    <n v="2"/>
    <x v="6"/>
    <d v="1992-08-05T00:00:00"/>
    <n v="729265"/>
    <x v="0"/>
    <n v="1992"/>
    <n v="3"/>
    <n v="34"/>
    <x v="1"/>
    <x v="0"/>
  </r>
  <r>
    <x v="15"/>
    <n v="23890"/>
    <s v="Sales - Director"/>
    <x v="4"/>
    <s v="Director"/>
    <n v="800"/>
    <n v="1"/>
    <x v="3"/>
    <d v="1992-12-16T00:00:00"/>
    <n v="689012"/>
    <x v="2"/>
    <n v="1992"/>
    <n v="1"/>
    <n v="34"/>
    <x v="1"/>
    <x v="0"/>
  </r>
  <r>
    <x v="16"/>
    <n v="60179"/>
    <s v="Strategy - Intern"/>
    <x v="3"/>
    <s v="Intern"/>
    <n v="799"/>
    <n v="5"/>
    <x v="5"/>
    <d v="1992-01-31T00:00:00"/>
    <n v="520227"/>
    <x v="0"/>
    <n v="1992"/>
    <n v="6"/>
    <n v="34"/>
    <x v="1"/>
    <x v="2"/>
  </r>
  <r>
    <x v="17"/>
    <n v="99876"/>
    <s v="Marketing - Manager"/>
    <x v="0"/>
    <s v="Manager"/>
    <n v="734"/>
    <n v="2"/>
    <x v="2"/>
    <d v="1980-02-22T00:00:00"/>
    <n v="751406"/>
    <x v="2"/>
    <n v="1980"/>
    <n v="4"/>
    <n v="46"/>
    <x v="0"/>
    <x v="1"/>
  </r>
  <r>
    <x v="18"/>
    <n v="35086"/>
    <s v="Operation - Director"/>
    <x v="1"/>
    <s v="Director"/>
    <n v="745"/>
    <n v="5"/>
    <x v="7"/>
    <d v="1991-08-12T00:00:00"/>
    <n v="960724"/>
    <x v="2"/>
    <n v="1991"/>
    <n v="8"/>
    <n v="35"/>
    <x v="0"/>
    <x v="1"/>
  </r>
  <r>
    <x v="19"/>
    <n v="45939"/>
    <s v="Growth - Director"/>
    <x v="2"/>
    <s v="Director"/>
    <n v="700"/>
    <n v="3"/>
    <x v="8"/>
    <d v="1988-09-20T00:00:00"/>
    <n v="593047"/>
    <x v="2"/>
    <n v="1988"/>
    <n v="5"/>
    <n v="38"/>
    <x v="0"/>
    <x v="1"/>
  </r>
  <r>
    <x v="20"/>
    <n v="43592"/>
    <s v="Strategy - Executive"/>
    <x v="3"/>
    <s v="Executive"/>
    <n v="731"/>
    <n v="5"/>
    <x v="0"/>
    <d v="1990-05-31T00:00:00"/>
    <n v="712524"/>
    <x v="2"/>
    <n v="1990"/>
    <n v="2"/>
    <n v="36"/>
    <x v="0"/>
    <x v="0"/>
  </r>
  <r>
    <x v="21"/>
    <n v="77140"/>
    <s v="Marketing - Intern"/>
    <x v="0"/>
    <s v="Intern"/>
    <n v="783"/>
    <n v="3"/>
    <x v="7"/>
    <d v="1984-07-18T00:00:00"/>
    <n v="562825"/>
    <x v="1"/>
    <n v="1984"/>
    <n v="3"/>
    <n v="42"/>
    <x v="1"/>
    <x v="1"/>
  </r>
  <r>
    <x v="22"/>
    <n v="67126"/>
    <s v="Marketing - Executive"/>
    <x v="0"/>
    <s v="Executive"/>
    <n v="787"/>
    <n v="1"/>
    <x v="1"/>
    <d v="1987-04-17T00:00:00"/>
    <n v="625401"/>
    <x v="1"/>
    <n v="1987"/>
    <n v="7"/>
    <n v="39"/>
    <x v="1"/>
    <x v="1"/>
  </r>
  <r>
    <x v="23"/>
    <n v="19794"/>
    <s v="Finance - Intern"/>
    <x v="5"/>
    <s v="Intern"/>
    <n v="726"/>
    <n v="1"/>
    <x v="4"/>
    <d v="1985-12-17T00:00:00"/>
    <n v="850151"/>
    <x v="2"/>
    <n v="1985"/>
    <n v="4"/>
    <n v="41"/>
    <x v="0"/>
    <x v="0"/>
  </r>
  <r>
    <x v="24"/>
    <n v="65225"/>
    <s v="Sales - Manager"/>
    <x v="4"/>
    <s v="Manager"/>
    <n v="733"/>
    <n v="2"/>
    <x v="8"/>
    <d v="1980-10-25T00:00:00"/>
    <n v="944492"/>
    <x v="0"/>
    <n v="1980"/>
    <n v="9"/>
    <n v="46"/>
    <x v="0"/>
    <x v="1"/>
  </r>
  <r>
    <x v="25"/>
    <n v="94260"/>
    <s v="Growth - Director"/>
    <x v="2"/>
    <s v="Director"/>
    <n v="752"/>
    <n v="3"/>
    <x v="7"/>
    <d v="1990-05-14T00:00:00"/>
    <n v="780278"/>
    <x v="2"/>
    <n v="1990"/>
    <n v="10"/>
    <n v="36"/>
    <x v="1"/>
    <x v="1"/>
  </r>
  <r>
    <x v="26"/>
    <n v="53504"/>
    <s v="Finance - Executive"/>
    <x v="5"/>
    <s v="Executive"/>
    <n v="721"/>
    <n v="3"/>
    <x v="3"/>
    <d v="1994-05-29T00:00:00"/>
    <n v="543448"/>
    <x v="1"/>
    <n v="1994"/>
    <n v="11"/>
    <n v="32"/>
    <x v="0"/>
    <x v="0"/>
  </r>
  <r>
    <x v="27"/>
    <n v="44329"/>
    <s v="Sales - Executive"/>
    <x v="4"/>
    <s v="Executive"/>
    <n v="713"/>
    <n v="5"/>
    <x v="7"/>
    <d v="1980-02-24T00:00:00"/>
    <n v="939519"/>
    <x v="2"/>
    <n v="1980"/>
    <n v="1"/>
    <n v="46"/>
    <x v="0"/>
    <x v="1"/>
  </r>
  <r>
    <x v="28"/>
    <n v="45312"/>
    <s v="Sales - Executive"/>
    <x v="4"/>
    <s v="Executive"/>
    <n v="753"/>
    <n v="2"/>
    <x v="8"/>
    <d v="1986-05-21T00:00:00"/>
    <n v="709857"/>
    <x v="0"/>
    <n v="1986"/>
    <n v="10"/>
    <n v="40"/>
    <x v="1"/>
    <x v="1"/>
  </r>
  <r>
    <x v="29"/>
    <n v="67449"/>
    <s v="Sales - Director"/>
    <x v="4"/>
    <s v="Director"/>
    <n v="739"/>
    <n v="3"/>
    <x v="9"/>
    <d v="1986-03-15T00:00:00"/>
    <n v="531838"/>
    <x v="1"/>
    <n v="1986"/>
    <n v="5"/>
    <n v="40"/>
    <x v="0"/>
    <x v="1"/>
  </r>
  <r>
    <x v="30"/>
    <n v="17977"/>
    <s v="Strategy - Executive"/>
    <x v="3"/>
    <s v="Executive"/>
    <n v="735"/>
    <n v="2"/>
    <x v="4"/>
    <d v="1994-11-05T00:00:00"/>
    <n v="653325"/>
    <x v="1"/>
    <n v="1994"/>
    <n v="3"/>
    <n v="32"/>
    <x v="0"/>
    <x v="0"/>
  </r>
  <r>
    <x v="31"/>
    <n v="89671"/>
    <s v="Strategy - Manager"/>
    <x v="3"/>
    <s v="Manager"/>
    <n v="728"/>
    <n v="1"/>
    <x v="8"/>
    <d v="1983-11-22T00:00:00"/>
    <n v="818354"/>
    <x v="1"/>
    <n v="1983"/>
    <n v="4"/>
    <n v="43"/>
    <x v="0"/>
    <x v="1"/>
  </r>
  <r>
    <x v="32"/>
    <n v="38589"/>
    <s v="Operation - Executive"/>
    <x v="1"/>
    <s v="Executive"/>
    <n v="779"/>
    <n v="4"/>
    <x v="1"/>
    <d v="1983-08-22T00:00:00"/>
    <n v="614492"/>
    <x v="0"/>
    <n v="1983"/>
    <n v="12"/>
    <n v="43"/>
    <x v="1"/>
    <x v="1"/>
  </r>
  <r>
    <x v="28"/>
    <n v="16060"/>
    <s v="Sales - Executive"/>
    <x v="4"/>
    <s v="Executive"/>
    <n v="751"/>
    <n v="3"/>
    <x v="3"/>
    <d v="1989-03-31T00:00:00"/>
    <n v="983519"/>
    <x v="0"/>
    <n v="1989"/>
    <n v="10"/>
    <n v="37"/>
    <x v="1"/>
    <x v="0"/>
  </r>
  <r>
    <x v="20"/>
    <n v="86698"/>
    <s v="Strategy - Intern"/>
    <x v="3"/>
    <s v="Intern"/>
    <n v="739"/>
    <n v="2"/>
    <x v="3"/>
    <d v="1986-01-13T00:00:00"/>
    <n v="961148"/>
    <x v="0"/>
    <n v="1986"/>
    <n v="2"/>
    <n v="40"/>
    <x v="0"/>
    <x v="0"/>
  </r>
  <r>
    <x v="33"/>
    <n v="83729"/>
    <s v="Sales - Director"/>
    <x v="4"/>
    <s v="Director"/>
    <n v="797"/>
    <n v="2"/>
    <x v="4"/>
    <d v="1989-11-14T00:00:00"/>
    <n v="734953"/>
    <x v="1"/>
    <n v="1989"/>
    <n v="1"/>
    <n v="37"/>
    <x v="1"/>
    <x v="2"/>
  </r>
  <r>
    <x v="34"/>
    <n v="69797"/>
    <s v="Strategy - Manager"/>
    <x v="3"/>
    <s v="Manager"/>
    <n v="763"/>
    <n v="5"/>
    <x v="1"/>
    <d v="1987-06-17T00:00:00"/>
    <n v="577102"/>
    <x v="2"/>
    <n v="1987"/>
    <n v="10"/>
    <n v="39"/>
    <x v="1"/>
    <x v="1"/>
  </r>
  <r>
    <x v="35"/>
    <n v="93072"/>
    <s v="Sales - Manager"/>
    <x v="4"/>
    <s v="Manager"/>
    <n v="706"/>
    <n v="3"/>
    <x v="1"/>
    <d v="1991-07-19T00:00:00"/>
    <n v="847226"/>
    <x v="0"/>
    <n v="1991"/>
    <n v="10"/>
    <n v="35"/>
    <x v="0"/>
    <x v="1"/>
  </r>
  <r>
    <x v="36"/>
    <n v="78383"/>
    <s v="Marketing - Manager"/>
    <x v="0"/>
    <s v="Manager"/>
    <n v="743"/>
    <n v="4"/>
    <x v="9"/>
    <d v="1994-08-13T00:00:00"/>
    <n v="580035"/>
    <x v="2"/>
    <n v="1994"/>
    <n v="7"/>
    <n v="32"/>
    <x v="0"/>
    <x v="1"/>
  </r>
  <r>
    <x v="37"/>
    <n v="68415"/>
    <s v="Finance - Director"/>
    <x v="5"/>
    <s v="Director"/>
    <n v="709"/>
    <n v="4"/>
    <x v="3"/>
    <d v="1990-02-24T00:00:00"/>
    <n v="749893"/>
    <x v="2"/>
    <n v="1990"/>
    <n v="11"/>
    <n v="36"/>
    <x v="0"/>
    <x v="0"/>
  </r>
  <r>
    <x v="38"/>
    <n v="52910"/>
    <s v="Growth - Intern"/>
    <x v="2"/>
    <s v="Intern"/>
    <n v="732"/>
    <n v="1"/>
    <x v="7"/>
    <d v="1986-09-02T00:00:00"/>
    <n v="664298"/>
    <x v="2"/>
    <n v="1986"/>
    <n v="1"/>
    <n v="40"/>
    <x v="0"/>
    <x v="1"/>
  </r>
  <r>
    <x v="39"/>
    <n v="20581"/>
    <s v="Sales - Executive"/>
    <x v="4"/>
    <s v="Executive"/>
    <n v="720"/>
    <n v="5"/>
    <x v="6"/>
    <d v="1994-02-19T00:00:00"/>
    <n v="530989"/>
    <x v="0"/>
    <n v="1994"/>
    <n v="3"/>
    <n v="32"/>
    <x v="0"/>
    <x v="0"/>
  </r>
  <r>
    <x v="40"/>
    <n v="30426"/>
    <s v="Finance - Director"/>
    <x v="5"/>
    <s v="Director"/>
    <n v="708"/>
    <n v="3"/>
    <x v="4"/>
    <d v="1982-06-11T00:00:00"/>
    <n v="592934"/>
    <x v="0"/>
    <n v="1982"/>
    <n v="8"/>
    <n v="44"/>
    <x v="0"/>
    <x v="0"/>
  </r>
  <r>
    <x v="41"/>
    <n v="49292"/>
    <s v="Strategy - Intern"/>
    <x v="3"/>
    <s v="Intern"/>
    <n v="780"/>
    <n v="5"/>
    <x v="9"/>
    <d v="1980-03-31T00:00:00"/>
    <n v="977284"/>
    <x v="0"/>
    <n v="1980"/>
    <n v="1"/>
    <n v="46"/>
    <x v="1"/>
    <x v="1"/>
  </r>
  <r>
    <x v="42"/>
    <n v="94448"/>
    <s v="Sales - Manager"/>
    <x v="4"/>
    <s v="Manager"/>
    <n v="745"/>
    <n v="2"/>
    <x v="7"/>
    <d v="1987-09-02T00:00:00"/>
    <n v="972108"/>
    <x v="2"/>
    <n v="1987"/>
    <n v="9"/>
    <n v="39"/>
    <x v="0"/>
    <x v="1"/>
  </r>
  <r>
    <x v="43"/>
    <n v="22500"/>
    <s v="Strategy - Intern"/>
    <x v="3"/>
    <s v="Intern"/>
    <n v="770"/>
    <n v="2"/>
    <x v="4"/>
    <d v="1984-11-14T00:00:00"/>
    <n v="825108"/>
    <x v="1"/>
    <n v="1984"/>
    <n v="2"/>
    <n v="42"/>
    <x v="1"/>
    <x v="2"/>
  </r>
  <r>
    <x v="44"/>
    <n v="47899"/>
    <s v="Strategy - Manager"/>
    <x v="3"/>
    <s v="Manager"/>
    <n v="730"/>
    <n v="3"/>
    <x v="7"/>
    <d v="1993-01-25T00:00:00"/>
    <n v="987840"/>
    <x v="0"/>
    <n v="1993"/>
    <n v="9"/>
    <n v="33"/>
    <x v="0"/>
    <x v="1"/>
  </r>
  <r>
    <x v="45"/>
    <n v="75076"/>
    <s v="Growth - Intern"/>
    <x v="2"/>
    <s v="Intern"/>
    <n v="784"/>
    <n v="2"/>
    <x v="6"/>
    <d v="1993-02-28T00:00:00"/>
    <n v="663661"/>
    <x v="2"/>
    <n v="1993"/>
    <n v="4"/>
    <n v="33"/>
    <x v="1"/>
    <x v="0"/>
  </r>
  <r>
    <x v="46"/>
    <n v="56315"/>
    <s v="Marketing - Director"/>
    <x v="0"/>
    <s v="Director"/>
    <n v="764"/>
    <n v="4"/>
    <x v="2"/>
    <d v="1980-01-15T00:00:00"/>
    <n v="777563"/>
    <x v="1"/>
    <n v="1980"/>
    <n v="2"/>
    <n v="46"/>
    <x v="1"/>
    <x v="1"/>
  </r>
  <r>
    <x v="47"/>
    <n v="92530"/>
    <s v="Marketing - Director"/>
    <x v="0"/>
    <s v="Director"/>
    <n v="745"/>
    <n v="5"/>
    <x v="0"/>
    <d v="1989-12-02T00:00:00"/>
    <n v="707004"/>
    <x v="2"/>
    <n v="1989"/>
    <n v="2"/>
    <n v="37"/>
    <x v="0"/>
    <x v="0"/>
  </r>
  <r>
    <x v="48"/>
    <n v="57609"/>
    <s v="Strategy - Manager"/>
    <x v="3"/>
    <s v="Manager"/>
    <n v="725"/>
    <n v="2"/>
    <x v="7"/>
    <d v="1983-01-15T00:00:00"/>
    <n v="631296"/>
    <x v="2"/>
    <n v="1983"/>
    <n v="7"/>
    <n v="43"/>
    <x v="0"/>
    <x v="1"/>
  </r>
  <r>
    <x v="49"/>
    <n v="27949"/>
    <s v="Growth - Manager"/>
    <x v="2"/>
    <s v="Manager"/>
    <n v="766"/>
    <n v="3"/>
    <x v="2"/>
    <d v="1989-11-03T00:00:00"/>
    <n v="839227"/>
    <x v="1"/>
    <n v="1989"/>
    <n v="11"/>
    <n v="37"/>
    <x v="1"/>
    <x v="1"/>
  </r>
  <r>
    <x v="50"/>
    <n v="40974"/>
    <s v="Operation - Director"/>
    <x v="1"/>
    <s v="Director"/>
    <n v="766"/>
    <n v="3"/>
    <x v="5"/>
    <d v="1990-05-07T00:00:00"/>
    <n v="824832"/>
    <x v="2"/>
    <n v="1990"/>
    <n v="10"/>
    <n v="36"/>
    <x v="1"/>
    <x v="2"/>
  </r>
  <r>
    <x v="51"/>
    <n v="13714"/>
    <s v="Sales - Intern"/>
    <x v="4"/>
    <s v="Intern"/>
    <n v="764"/>
    <n v="1"/>
    <x v="4"/>
    <d v="1981-02-16T00:00:00"/>
    <n v="723543"/>
    <x v="2"/>
    <n v="1981"/>
    <n v="2"/>
    <n v="45"/>
    <x v="1"/>
    <x v="2"/>
  </r>
  <r>
    <x v="52"/>
    <n v="97726"/>
    <s v="Strategy - Director"/>
    <x v="3"/>
    <s v="Director"/>
    <n v="764"/>
    <n v="5"/>
    <x v="0"/>
    <d v="1994-03-14T00:00:00"/>
    <n v="590718"/>
    <x v="0"/>
    <n v="1994"/>
    <n v="4"/>
    <n v="32"/>
    <x v="1"/>
    <x v="0"/>
  </r>
  <r>
    <x v="53"/>
    <n v="47573"/>
    <s v="Finance - Manager"/>
    <x v="5"/>
    <s v="Manager"/>
    <n v="713"/>
    <n v="5"/>
    <x v="4"/>
    <d v="1990-09-18T00:00:00"/>
    <n v="594633"/>
    <x v="2"/>
    <n v="1990"/>
    <n v="9"/>
    <n v="36"/>
    <x v="0"/>
    <x v="0"/>
  </r>
  <r>
    <x v="54"/>
    <n v="74884"/>
    <s v="Marketing - Director"/>
    <x v="0"/>
    <s v="Director"/>
    <n v="747"/>
    <n v="3"/>
    <x v="5"/>
    <d v="1988-11-26T00:00:00"/>
    <n v="593509"/>
    <x v="1"/>
    <n v="1988"/>
    <n v="3"/>
    <n v="38"/>
    <x v="0"/>
    <x v="0"/>
  </r>
  <r>
    <x v="55"/>
    <n v="76428"/>
    <s v="Growth - Intern"/>
    <x v="2"/>
    <s v="Intern"/>
    <n v="765"/>
    <n v="5"/>
    <x v="7"/>
    <d v="1981-09-09T00:00:00"/>
    <n v="783116"/>
    <x v="2"/>
    <n v="1981"/>
    <n v="2"/>
    <n v="45"/>
    <x v="1"/>
    <x v="1"/>
  </r>
  <r>
    <x v="56"/>
    <n v="50387"/>
    <s v="Growth - Manager"/>
    <x v="2"/>
    <s v="Manager"/>
    <n v="730"/>
    <n v="3"/>
    <x v="1"/>
    <d v="1985-02-18T00:00:00"/>
    <n v="529032"/>
    <x v="1"/>
    <n v="1985"/>
    <n v="7"/>
    <n v="41"/>
    <x v="0"/>
    <x v="1"/>
  </r>
  <r>
    <x v="57"/>
    <n v="12937"/>
    <s v="Growth - Director"/>
    <x v="2"/>
    <s v="Director"/>
    <n v="793"/>
    <n v="4"/>
    <x v="6"/>
    <d v="1980-07-14T00:00:00"/>
    <n v="872565"/>
    <x v="0"/>
    <n v="1980"/>
    <n v="9"/>
    <n v="46"/>
    <x v="1"/>
    <x v="0"/>
  </r>
  <r>
    <x v="58"/>
    <n v="15616"/>
    <s v="Finance - Executive"/>
    <x v="5"/>
    <s v="Executive"/>
    <n v="744"/>
    <n v="4"/>
    <x v="8"/>
    <d v="1986-04-25T00:00:00"/>
    <n v="920076"/>
    <x v="1"/>
    <n v="1986"/>
    <n v="6"/>
    <n v="40"/>
    <x v="0"/>
    <x v="1"/>
  </r>
  <r>
    <x v="59"/>
    <n v="72192"/>
    <s v="Operation - Director"/>
    <x v="1"/>
    <s v="Director"/>
    <n v="721"/>
    <n v="4"/>
    <x v="1"/>
    <d v="1984-03-04T00:00:00"/>
    <n v="550092"/>
    <x v="1"/>
    <n v="1984"/>
    <n v="3"/>
    <n v="42"/>
    <x v="0"/>
    <x v="1"/>
  </r>
  <r>
    <x v="60"/>
    <n v="49278"/>
    <s v="Operation - Executive"/>
    <x v="1"/>
    <s v="Executive"/>
    <n v="766"/>
    <n v="4"/>
    <x v="0"/>
    <d v="1989-06-29T00:00:00"/>
    <n v="930726"/>
    <x v="1"/>
    <n v="1989"/>
    <n v="1"/>
    <n v="37"/>
    <x v="1"/>
    <x v="0"/>
  </r>
  <r>
    <x v="61"/>
    <n v="11412"/>
    <s v="Finance - Manager"/>
    <x v="5"/>
    <s v="Manager"/>
    <n v="728"/>
    <n v="2"/>
    <x v="5"/>
    <d v="1992-03-10T00:00:00"/>
    <n v="991788"/>
    <x v="2"/>
    <n v="1992"/>
    <n v="4"/>
    <n v="34"/>
    <x v="0"/>
    <x v="0"/>
  </r>
  <r>
    <x v="62"/>
    <n v="20769"/>
    <s v="Marketing - Intern"/>
    <x v="0"/>
    <s v="Intern"/>
    <n v="738"/>
    <n v="1"/>
    <x v="1"/>
    <d v="1981-10-30T00:00:00"/>
    <n v="976010"/>
    <x v="1"/>
    <n v="1981"/>
    <n v="5"/>
    <n v="45"/>
    <x v="0"/>
    <x v="1"/>
  </r>
  <r>
    <x v="63"/>
    <n v="74837"/>
    <s v="Strategy - Intern"/>
    <x v="3"/>
    <s v="Intern"/>
    <n v="743"/>
    <n v="4"/>
    <x v="2"/>
    <d v="1983-10-15T00:00:00"/>
    <n v="902767"/>
    <x v="2"/>
    <n v="1983"/>
    <n v="11"/>
    <n v="43"/>
    <x v="0"/>
    <x v="1"/>
  </r>
  <r>
    <x v="64"/>
    <n v="58946"/>
    <s v="Sales - Intern"/>
    <x v="4"/>
    <s v="Intern"/>
    <n v="746"/>
    <n v="1"/>
    <x v="1"/>
    <d v="1994-03-20T00:00:00"/>
    <n v="608505"/>
    <x v="1"/>
    <n v="1994"/>
    <n v="6"/>
    <n v="32"/>
    <x v="0"/>
    <x v="1"/>
  </r>
  <r>
    <x v="44"/>
    <n v="55374"/>
    <s v="Strategy - Manager"/>
    <x v="3"/>
    <s v="Manager"/>
    <n v="732"/>
    <n v="5"/>
    <x v="6"/>
    <d v="1983-12-21T00:00:00"/>
    <n v="628484"/>
    <x v="2"/>
    <n v="1983"/>
    <n v="9"/>
    <n v="43"/>
    <x v="0"/>
    <x v="0"/>
  </r>
  <r>
    <x v="64"/>
    <n v="86884"/>
    <s v="Sales - Director"/>
    <x v="4"/>
    <s v="Director"/>
    <n v="757"/>
    <n v="4"/>
    <x v="6"/>
    <d v="1980-01-31T00:00:00"/>
    <n v="768611"/>
    <x v="2"/>
    <n v="1980"/>
    <n v="6"/>
    <n v="46"/>
    <x v="1"/>
    <x v="0"/>
  </r>
  <r>
    <x v="60"/>
    <n v="77116"/>
    <s v="Growth - Director"/>
    <x v="2"/>
    <s v="Director"/>
    <n v="733"/>
    <n v="5"/>
    <x v="7"/>
    <d v="1986-04-21T00:00:00"/>
    <n v="931758"/>
    <x v="0"/>
    <n v="1986"/>
    <n v="1"/>
    <n v="40"/>
    <x v="0"/>
    <x v="1"/>
  </r>
  <r>
    <x v="65"/>
    <n v="54328"/>
    <s v="Sales - Manager"/>
    <x v="4"/>
    <s v="Manager"/>
    <n v="774"/>
    <n v="1"/>
    <x v="0"/>
    <d v="1991-08-06T00:00:00"/>
    <n v="768131"/>
    <x v="2"/>
    <n v="1991"/>
    <n v="4"/>
    <n v="35"/>
    <x v="1"/>
    <x v="0"/>
  </r>
  <r>
    <x v="66"/>
    <n v="63547"/>
    <s v="Operation - Intern"/>
    <x v="1"/>
    <s v="Intern"/>
    <n v="724"/>
    <n v="5"/>
    <x v="9"/>
    <d v="1981-08-08T00:00:00"/>
    <n v="512571"/>
    <x v="1"/>
    <n v="1981"/>
    <n v="6"/>
    <n v="45"/>
    <x v="0"/>
    <x v="1"/>
  </r>
  <r>
    <x v="24"/>
    <n v="56877"/>
    <s v="Sales - Intern"/>
    <x v="4"/>
    <s v="Intern"/>
    <n v="790"/>
    <n v="5"/>
    <x v="4"/>
    <d v="1990-06-20T00:00:00"/>
    <n v="512991"/>
    <x v="1"/>
    <n v="1990"/>
    <n v="9"/>
    <n v="36"/>
    <x v="1"/>
    <x v="2"/>
  </r>
  <r>
    <x v="67"/>
    <n v="66242"/>
    <s v="Finance - Manager"/>
    <x v="5"/>
    <s v="Manager"/>
    <n v="748"/>
    <n v="3"/>
    <x v="0"/>
    <d v="1987-03-25T00:00:00"/>
    <n v="601028"/>
    <x v="0"/>
    <n v="1987"/>
    <n v="11"/>
    <n v="39"/>
    <x v="0"/>
    <x v="0"/>
  </r>
  <r>
    <x v="20"/>
    <n v="74992"/>
    <s v="Finance - Intern"/>
    <x v="5"/>
    <s v="Intern"/>
    <n v="731"/>
    <n v="1"/>
    <x v="0"/>
    <d v="1980-12-03T00:00:00"/>
    <n v="558284"/>
    <x v="1"/>
    <n v="1980"/>
    <n v="2"/>
    <n v="46"/>
    <x v="0"/>
    <x v="0"/>
  </r>
  <r>
    <x v="68"/>
    <n v="48915"/>
    <s v="Finance - Executive"/>
    <x v="5"/>
    <s v="Executive"/>
    <n v="773"/>
    <n v="4"/>
    <x v="3"/>
    <d v="1991-08-03T00:00:00"/>
    <n v="597560"/>
    <x v="2"/>
    <n v="1991"/>
    <n v="2"/>
    <n v="35"/>
    <x v="1"/>
    <x v="0"/>
  </r>
  <r>
    <x v="69"/>
    <n v="83579"/>
    <s v="Strategy - Executive"/>
    <x v="3"/>
    <s v="Executive"/>
    <n v="734"/>
    <n v="2"/>
    <x v="0"/>
    <d v="1983-04-14T00:00:00"/>
    <n v="619497"/>
    <x v="2"/>
    <n v="1983"/>
    <n v="9"/>
    <n v="43"/>
    <x v="0"/>
    <x v="0"/>
  </r>
  <r>
    <x v="70"/>
    <n v="48472"/>
    <s v="Finance - Manager"/>
    <x v="5"/>
    <s v="Manager"/>
    <n v="771"/>
    <n v="1"/>
    <x v="1"/>
    <d v="1990-08-28T00:00:00"/>
    <n v="662102"/>
    <x v="2"/>
    <n v="1990"/>
    <n v="9"/>
    <n v="36"/>
    <x v="1"/>
    <x v="1"/>
  </r>
  <r>
    <x v="71"/>
    <n v="19947"/>
    <s v="Strategy - Director"/>
    <x v="3"/>
    <s v="Director"/>
    <n v="746"/>
    <n v="2"/>
    <x v="2"/>
    <d v="1982-03-14T00:00:00"/>
    <n v="709243"/>
    <x v="0"/>
    <n v="1982"/>
    <n v="8"/>
    <n v="44"/>
    <x v="0"/>
    <x v="1"/>
  </r>
  <r>
    <x v="72"/>
    <n v="10383"/>
    <s v="Sales - Director"/>
    <x v="4"/>
    <s v="Director"/>
    <n v="716"/>
    <n v="1"/>
    <x v="4"/>
    <d v="1982-06-19T00:00:00"/>
    <n v="877440"/>
    <x v="1"/>
    <n v="1982"/>
    <n v="2"/>
    <n v="44"/>
    <x v="0"/>
    <x v="0"/>
  </r>
  <r>
    <x v="73"/>
    <n v="62651"/>
    <s v="Growth - Manager"/>
    <x v="2"/>
    <s v="Manager"/>
    <n v="764"/>
    <n v="1"/>
    <x v="6"/>
    <d v="1990-05-15T00:00:00"/>
    <n v="647124"/>
    <x v="2"/>
    <n v="1990"/>
    <n v="2"/>
    <n v="36"/>
    <x v="1"/>
    <x v="0"/>
  </r>
  <r>
    <x v="74"/>
    <n v="55660"/>
    <s v="Marketing - Intern"/>
    <x v="0"/>
    <s v="Intern"/>
    <n v="748"/>
    <n v="3"/>
    <x v="1"/>
    <d v="1988-01-03T00:00:00"/>
    <n v="664233"/>
    <x v="2"/>
    <n v="1988"/>
    <n v="8"/>
    <n v="38"/>
    <x v="0"/>
    <x v="1"/>
  </r>
  <r>
    <x v="75"/>
    <n v="89724"/>
    <s v="Operation - Director"/>
    <x v="1"/>
    <s v="Director"/>
    <n v="715"/>
    <n v="2"/>
    <x v="4"/>
    <d v="1981-05-21T00:00:00"/>
    <n v="846857"/>
    <x v="2"/>
    <n v="1981"/>
    <n v="5"/>
    <n v="45"/>
    <x v="0"/>
    <x v="0"/>
  </r>
  <r>
    <x v="76"/>
    <n v="69086"/>
    <s v="Growth - Director"/>
    <x v="2"/>
    <s v="Director"/>
    <n v="716"/>
    <n v="2"/>
    <x v="8"/>
    <d v="1980-10-27T00:00:00"/>
    <n v="901072"/>
    <x v="1"/>
    <n v="1980"/>
    <n v="6"/>
    <n v="46"/>
    <x v="0"/>
    <x v="1"/>
  </r>
  <r>
    <x v="77"/>
    <n v="69952"/>
    <s v="Strategy - Executive"/>
    <x v="3"/>
    <s v="Executive"/>
    <n v="744"/>
    <n v="4"/>
    <x v="6"/>
    <d v="1981-10-29T00:00:00"/>
    <n v="545673"/>
    <x v="1"/>
    <n v="1981"/>
    <n v="9"/>
    <n v="45"/>
    <x v="0"/>
    <x v="0"/>
  </r>
  <r>
    <x v="78"/>
    <n v="45582"/>
    <s v="Strategy - Director"/>
    <x v="3"/>
    <s v="Director"/>
    <n v="768"/>
    <n v="1"/>
    <x v="0"/>
    <d v="1983-06-12T00:00:00"/>
    <n v="845330"/>
    <x v="0"/>
    <n v="1983"/>
    <n v="7"/>
    <n v="43"/>
    <x v="1"/>
    <x v="0"/>
  </r>
  <r>
    <x v="79"/>
    <n v="17457"/>
    <s v="Strategy - Intern"/>
    <x v="3"/>
    <s v="Intern"/>
    <n v="708"/>
    <n v="4"/>
    <x v="9"/>
    <d v="1982-08-12T00:00:00"/>
    <n v="958340"/>
    <x v="1"/>
    <n v="1982"/>
    <n v="4"/>
    <n v="44"/>
    <x v="0"/>
    <x v="1"/>
  </r>
  <r>
    <x v="80"/>
    <n v="56499"/>
    <s v="Operation - Executive"/>
    <x v="1"/>
    <s v="Executive"/>
    <n v="720"/>
    <n v="3"/>
    <x v="0"/>
    <d v="1992-02-20T00:00:00"/>
    <n v="528167"/>
    <x v="1"/>
    <n v="1992"/>
    <n v="4"/>
    <n v="34"/>
    <x v="0"/>
    <x v="0"/>
  </r>
  <r>
    <x v="81"/>
    <n v="88555"/>
    <s v="Marketing - Manager"/>
    <x v="0"/>
    <s v="Manager"/>
    <n v="782"/>
    <n v="4"/>
    <x v="6"/>
    <d v="1992-11-03T00:00:00"/>
    <n v="994288"/>
    <x v="2"/>
    <n v="1992"/>
    <n v="1"/>
    <n v="34"/>
    <x v="1"/>
    <x v="0"/>
  </r>
  <r>
    <x v="82"/>
    <n v="59300"/>
    <s v="Operation - Executive"/>
    <x v="1"/>
    <s v="Executive"/>
    <n v="719"/>
    <n v="5"/>
    <x v="4"/>
    <d v="1994-02-22T00:00:00"/>
    <n v="748452"/>
    <x v="0"/>
    <n v="1994"/>
    <n v="7"/>
    <n v="32"/>
    <x v="0"/>
    <x v="0"/>
  </r>
  <r>
    <x v="83"/>
    <n v="32811"/>
    <s v="Strategy - Intern"/>
    <x v="3"/>
    <s v="Intern"/>
    <n v="744"/>
    <n v="1"/>
    <x v="4"/>
    <d v="1988-03-13T00:00:00"/>
    <n v="810772"/>
    <x v="0"/>
    <n v="1988"/>
    <n v="1"/>
    <n v="38"/>
    <x v="0"/>
    <x v="0"/>
  </r>
  <r>
    <x v="33"/>
    <n v="57864"/>
    <s v="Finance - Intern"/>
    <x v="5"/>
    <s v="Intern"/>
    <n v="722"/>
    <n v="2"/>
    <x v="1"/>
    <d v="1987-06-05T00:00:00"/>
    <n v="869126"/>
    <x v="1"/>
    <n v="1987"/>
    <n v="1"/>
    <n v="39"/>
    <x v="0"/>
    <x v="1"/>
  </r>
  <r>
    <x v="84"/>
    <n v="42296"/>
    <s v="Finance - Director"/>
    <x v="5"/>
    <s v="Director"/>
    <n v="779"/>
    <n v="4"/>
    <x v="2"/>
    <d v="1994-07-14T00:00:00"/>
    <n v="949497"/>
    <x v="1"/>
    <n v="1994"/>
    <n v="10"/>
    <n v="32"/>
    <x v="1"/>
    <x v="1"/>
  </r>
  <r>
    <x v="16"/>
    <n v="36555"/>
    <s v="Growth - Intern"/>
    <x v="2"/>
    <s v="Intern"/>
    <n v="729"/>
    <n v="4"/>
    <x v="3"/>
    <d v="1987-03-23T00:00:00"/>
    <n v="532713"/>
    <x v="2"/>
    <n v="1987"/>
    <n v="6"/>
    <n v="39"/>
    <x v="0"/>
    <x v="0"/>
  </r>
  <r>
    <x v="85"/>
    <n v="54605"/>
    <s v="Sales - Director"/>
    <x v="4"/>
    <s v="Director"/>
    <n v="722"/>
    <n v="1"/>
    <x v="6"/>
    <d v="1980-01-24T00:00:00"/>
    <n v="535651"/>
    <x v="0"/>
    <n v="1980"/>
    <n v="7"/>
    <n v="46"/>
    <x v="0"/>
    <x v="0"/>
  </r>
  <r>
    <x v="86"/>
    <n v="49521"/>
    <s v="Sales - Manager"/>
    <x v="4"/>
    <s v="Manager"/>
    <n v="708"/>
    <n v="5"/>
    <x v="7"/>
    <d v="1992-09-30T00:00:00"/>
    <n v="884550"/>
    <x v="1"/>
    <n v="1992"/>
    <n v="9"/>
    <n v="34"/>
    <x v="0"/>
    <x v="1"/>
  </r>
  <r>
    <x v="61"/>
    <n v="54156"/>
    <s v="Strategy - Manager"/>
    <x v="3"/>
    <s v="Manager"/>
    <n v="774"/>
    <n v="5"/>
    <x v="4"/>
    <d v="1981-07-05T00:00:00"/>
    <n v="513087"/>
    <x v="2"/>
    <n v="1981"/>
    <n v="4"/>
    <n v="45"/>
    <x v="1"/>
    <x v="2"/>
  </r>
  <r>
    <x v="87"/>
    <n v="10717"/>
    <s v="Marketing - Director"/>
    <x v="0"/>
    <s v="Director"/>
    <n v="745"/>
    <n v="5"/>
    <x v="8"/>
    <d v="1989-08-07T00:00:00"/>
    <n v="690906"/>
    <x v="2"/>
    <n v="1989"/>
    <n v="9"/>
    <n v="37"/>
    <x v="0"/>
    <x v="1"/>
  </r>
  <r>
    <x v="30"/>
    <n v="97072"/>
    <s v="Finance - Executive"/>
    <x v="5"/>
    <s v="Executive"/>
    <n v="745"/>
    <n v="4"/>
    <x v="3"/>
    <d v="1981-04-26T00:00:00"/>
    <n v="636392"/>
    <x v="1"/>
    <n v="1981"/>
    <n v="3"/>
    <n v="45"/>
    <x v="0"/>
    <x v="0"/>
  </r>
  <r>
    <x v="88"/>
    <n v="46597"/>
    <s v="Finance - Director"/>
    <x v="5"/>
    <s v="Director"/>
    <n v="769"/>
    <n v="1"/>
    <x v="1"/>
    <d v="1993-08-09T00:00:00"/>
    <n v="965467"/>
    <x v="1"/>
    <n v="1993"/>
    <n v="9"/>
    <n v="33"/>
    <x v="1"/>
    <x v="1"/>
  </r>
  <r>
    <x v="89"/>
    <n v="66429"/>
    <s v="Sales - Executive"/>
    <x v="4"/>
    <s v="Executive"/>
    <n v="795"/>
    <n v="4"/>
    <x v="0"/>
    <d v="1990-05-30T00:00:00"/>
    <n v="818286"/>
    <x v="0"/>
    <n v="1990"/>
    <n v="1"/>
    <n v="36"/>
    <x v="1"/>
    <x v="0"/>
  </r>
  <r>
    <x v="90"/>
    <n v="28804"/>
    <s v="Operation - Director"/>
    <x v="1"/>
    <s v="Director"/>
    <n v="706"/>
    <n v="1"/>
    <x v="8"/>
    <d v="1992-05-23T00:00:00"/>
    <n v="820800"/>
    <x v="1"/>
    <n v="1992"/>
    <n v="7"/>
    <n v="34"/>
    <x v="0"/>
    <x v="1"/>
  </r>
  <r>
    <x v="91"/>
    <n v="48253"/>
    <s v="Sales - Executive"/>
    <x v="4"/>
    <s v="Executive"/>
    <n v="761"/>
    <n v="1"/>
    <x v="8"/>
    <d v="1984-09-13T00:00:00"/>
    <n v="541102"/>
    <x v="0"/>
    <n v="1984"/>
    <n v="7"/>
    <n v="42"/>
    <x v="1"/>
    <x v="1"/>
  </r>
  <r>
    <x v="92"/>
    <n v="58888"/>
    <s v="Strategy - Director"/>
    <x v="3"/>
    <s v="Director"/>
    <n v="753"/>
    <n v="1"/>
    <x v="5"/>
    <d v="1993-08-10T00:00:00"/>
    <n v="760241"/>
    <x v="2"/>
    <n v="1993"/>
    <n v="5"/>
    <n v="33"/>
    <x v="1"/>
    <x v="2"/>
  </r>
  <r>
    <x v="93"/>
    <n v="99278"/>
    <s v="Growth - Intern"/>
    <x v="2"/>
    <s v="Intern"/>
    <n v="771"/>
    <n v="3"/>
    <x v="3"/>
    <d v="1993-11-06T00:00:00"/>
    <n v="973518"/>
    <x v="1"/>
    <n v="1993"/>
    <n v="7"/>
    <n v="33"/>
    <x v="1"/>
    <x v="0"/>
  </r>
  <r>
    <x v="29"/>
    <n v="67882"/>
    <s v="Strategy - Executive"/>
    <x v="3"/>
    <s v="Executive"/>
    <n v="762"/>
    <n v="3"/>
    <x v="8"/>
    <d v="1985-10-30T00:00:00"/>
    <n v="916078"/>
    <x v="2"/>
    <n v="1985"/>
    <n v="5"/>
    <n v="41"/>
    <x v="1"/>
    <x v="1"/>
  </r>
  <r>
    <x v="94"/>
    <n v="12249"/>
    <s v="Sales - Manager"/>
    <x v="4"/>
    <s v="Manager"/>
    <n v="722"/>
    <n v="1"/>
    <x v="6"/>
    <d v="1987-12-12T00:00:00"/>
    <n v="518896"/>
    <x v="2"/>
    <n v="1987"/>
    <n v="5"/>
    <n v="39"/>
    <x v="0"/>
    <x v="0"/>
  </r>
  <r>
    <x v="40"/>
    <n v="29846"/>
    <s v="Sales - Director"/>
    <x v="4"/>
    <s v="Director"/>
    <n v="771"/>
    <n v="4"/>
    <x v="9"/>
    <d v="1984-09-29T00:00:00"/>
    <n v="789241"/>
    <x v="2"/>
    <n v="1984"/>
    <n v="8"/>
    <n v="42"/>
    <x v="1"/>
    <x v="1"/>
  </r>
  <r>
    <x v="95"/>
    <n v="63308"/>
    <s v="Growth - Manager"/>
    <x v="2"/>
    <s v="Manager"/>
    <n v="784"/>
    <n v="2"/>
    <x v="5"/>
    <d v="1993-04-13T00:00:00"/>
    <n v="535794"/>
    <x v="1"/>
    <n v="1993"/>
    <n v="2"/>
    <n v="33"/>
    <x v="1"/>
    <x v="2"/>
  </r>
  <r>
    <x v="96"/>
    <n v="77364"/>
    <s v="Marketing - Manager"/>
    <x v="0"/>
    <s v="Manager"/>
    <n v="700"/>
    <n v="2"/>
    <x v="0"/>
    <d v="1986-07-18T00:00:00"/>
    <n v="859981"/>
    <x v="0"/>
    <n v="1986"/>
    <n v="12"/>
    <n v="40"/>
    <x v="0"/>
    <x v="0"/>
  </r>
  <r>
    <x v="97"/>
    <n v="81750"/>
    <s v="Growth - Director"/>
    <x v="2"/>
    <s v="Director"/>
    <n v="741"/>
    <n v="4"/>
    <x v="4"/>
    <d v="1988-06-29T00:00:00"/>
    <n v="650549"/>
    <x v="2"/>
    <n v="1988"/>
    <n v="4"/>
    <n v="38"/>
    <x v="0"/>
    <x v="0"/>
  </r>
  <r>
    <x v="98"/>
    <n v="99508"/>
    <s v="Marketing - Director"/>
    <x v="0"/>
    <s v="Director"/>
    <n v="727"/>
    <n v="5"/>
    <x v="8"/>
    <d v="1985-07-29T00:00:00"/>
    <n v="742478"/>
    <x v="2"/>
    <n v="1985"/>
    <n v="3"/>
    <n v="41"/>
    <x v="0"/>
    <x v="1"/>
  </r>
  <r>
    <x v="99"/>
    <n v="80762"/>
    <s v="Operation - Executive"/>
    <x v="1"/>
    <s v="Executive"/>
    <n v="721"/>
    <n v="1"/>
    <x v="2"/>
    <d v="1987-02-02T00:00:00"/>
    <n v="967982"/>
    <x v="0"/>
    <n v="1987"/>
    <n v="1"/>
    <n v="39"/>
    <x v="0"/>
    <x v="1"/>
  </r>
  <r>
    <x v="100"/>
    <n v="33666"/>
    <s v="Operation - Intern"/>
    <x v="1"/>
    <s v="Intern"/>
    <n v="720"/>
    <n v="3"/>
    <x v="3"/>
    <d v="1991-02-25T00:00:00"/>
    <n v="698801"/>
    <x v="0"/>
    <n v="1991"/>
    <n v="10"/>
    <n v="35"/>
    <x v="0"/>
    <x v="0"/>
  </r>
  <r>
    <x v="101"/>
    <n v="89694"/>
    <s v="Sales - Director"/>
    <x v="4"/>
    <s v="Director"/>
    <n v="744"/>
    <n v="1"/>
    <x v="8"/>
    <d v="1983-01-21T00:00:00"/>
    <n v="657372"/>
    <x v="0"/>
    <n v="1983"/>
    <n v="2"/>
    <n v="43"/>
    <x v="0"/>
    <x v="1"/>
  </r>
  <r>
    <x v="9"/>
    <n v="29920"/>
    <s v="Growth - Intern"/>
    <x v="2"/>
    <s v="Intern"/>
    <n v="741"/>
    <n v="4"/>
    <x v="0"/>
    <d v="1981-12-25T00:00:00"/>
    <n v="732457"/>
    <x v="1"/>
    <n v="1981"/>
    <n v="5"/>
    <n v="45"/>
    <x v="0"/>
    <x v="0"/>
  </r>
  <r>
    <x v="102"/>
    <n v="32451"/>
    <s v="Operation - Executive"/>
    <x v="1"/>
    <s v="Executive"/>
    <n v="733"/>
    <n v="1"/>
    <x v="0"/>
    <d v="1980-07-09T00:00:00"/>
    <n v="794281"/>
    <x v="0"/>
    <n v="1980"/>
    <n v="1"/>
    <n v="46"/>
    <x v="0"/>
    <x v="0"/>
  </r>
  <r>
    <x v="103"/>
    <n v="99963"/>
    <s v="Strategy - Executive"/>
    <x v="3"/>
    <s v="Executive"/>
    <n v="794"/>
    <n v="1"/>
    <x v="0"/>
    <d v="1988-08-13T00:00:00"/>
    <n v="946851"/>
    <x v="2"/>
    <n v="1988"/>
    <n v="4"/>
    <n v="38"/>
    <x v="1"/>
    <x v="0"/>
  </r>
  <r>
    <x v="104"/>
    <n v="37171"/>
    <s v="Finance - Director"/>
    <x v="5"/>
    <s v="Director"/>
    <n v="765"/>
    <n v="3"/>
    <x v="3"/>
    <d v="1981-09-10T00:00:00"/>
    <n v="889827"/>
    <x v="0"/>
    <n v="1981"/>
    <n v="11"/>
    <n v="45"/>
    <x v="1"/>
    <x v="0"/>
  </r>
  <r>
    <x v="105"/>
    <n v="87310"/>
    <s v="Operation - Director"/>
    <x v="1"/>
    <s v="Director"/>
    <n v="783"/>
    <n v="2"/>
    <x v="3"/>
    <d v="1986-11-30T00:00:00"/>
    <n v="807124"/>
    <x v="0"/>
    <n v="1986"/>
    <n v="10"/>
    <n v="40"/>
    <x v="1"/>
    <x v="0"/>
  </r>
  <r>
    <x v="106"/>
    <n v="96889"/>
    <s v="Marketing - Executive"/>
    <x v="0"/>
    <s v="Executive"/>
    <n v="708"/>
    <n v="3"/>
    <x v="1"/>
    <d v="1981-07-26T00:00:00"/>
    <n v="689583"/>
    <x v="0"/>
    <n v="1981"/>
    <n v="11"/>
    <n v="45"/>
    <x v="0"/>
    <x v="1"/>
  </r>
  <r>
    <x v="107"/>
    <n v="10493"/>
    <s v="Growth - Director"/>
    <x v="2"/>
    <s v="Director"/>
    <n v="773"/>
    <n v="5"/>
    <x v="3"/>
    <d v="1982-08-16T00:00:00"/>
    <n v="581795"/>
    <x v="1"/>
    <n v="1982"/>
    <n v="10"/>
    <n v="44"/>
    <x v="1"/>
    <x v="0"/>
  </r>
  <r>
    <x v="108"/>
    <n v="80302"/>
    <s v="Growth - Intern"/>
    <x v="2"/>
    <s v="Intern"/>
    <n v="725"/>
    <n v="1"/>
    <x v="2"/>
    <d v="1993-03-03T00:00:00"/>
    <n v="833731"/>
    <x v="2"/>
    <n v="1993"/>
    <n v="1"/>
    <n v="33"/>
    <x v="0"/>
    <x v="1"/>
  </r>
  <r>
    <x v="109"/>
    <n v="88284"/>
    <s v="Marketing - Executive"/>
    <x v="0"/>
    <s v="Executive"/>
    <n v="800"/>
    <n v="1"/>
    <x v="6"/>
    <d v="1984-12-11T00:00:00"/>
    <n v="752765"/>
    <x v="2"/>
    <n v="1984"/>
    <n v="11"/>
    <n v="42"/>
    <x v="1"/>
    <x v="0"/>
  </r>
  <r>
    <x v="110"/>
    <n v="12151"/>
    <s v="Marketing - Intern"/>
    <x v="0"/>
    <s v="Intern"/>
    <n v="787"/>
    <n v="4"/>
    <x v="2"/>
    <d v="1985-10-17T00:00:00"/>
    <n v="703384"/>
    <x v="0"/>
    <n v="1985"/>
    <n v="6"/>
    <n v="41"/>
    <x v="1"/>
    <x v="1"/>
  </r>
  <r>
    <x v="7"/>
    <n v="82581"/>
    <s v="Marketing - Manager"/>
    <x v="0"/>
    <s v="Manager"/>
    <n v="755"/>
    <n v="2"/>
    <x v="8"/>
    <d v="1994-12-28T00:00:00"/>
    <n v="660009"/>
    <x v="1"/>
    <n v="1994"/>
    <n v="8"/>
    <n v="32"/>
    <x v="1"/>
    <x v="1"/>
  </r>
  <r>
    <x v="111"/>
    <n v="38948"/>
    <s v="Strategy - Executive"/>
    <x v="3"/>
    <s v="Executive"/>
    <n v="734"/>
    <n v="1"/>
    <x v="6"/>
    <d v="1980-05-04T00:00:00"/>
    <n v="973182"/>
    <x v="2"/>
    <n v="1980"/>
    <n v="1"/>
    <n v="46"/>
    <x v="0"/>
    <x v="0"/>
  </r>
  <r>
    <x v="93"/>
    <n v="18273"/>
    <s v="Marketing - Manager"/>
    <x v="0"/>
    <s v="Manager"/>
    <n v="716"/>
    <n v="1"/>
    <x v="9"/>
    <d v="1985-03-28T00:00:00"/>
    <n v="856616"/>
    <x v="2"/>
    <n v="1985"/>
    <n v="7"/>
    <n v="41"/>
    <x v="0"/>
    <x v="1"/>
  </r>
  <r>
    <x v="93"/>
    <n v="24463"/>
    <s v="Marketing - Executive"/>
    <x v="0"/>
    <s v="Executive"/>
    <n v="758"/>
    <n v="4"/>
    <x v="3"/>
    <d v="1991-03-15T00:00:00"/>
    <n v="606785"/>
    <x v="0"/>
    <n v="1991"/>
    <n v="7"/>
    <n v="35"/>
    <x v="1"/>
    <x v="0"/>
  </r>
  <r>
    <x v="27"/>
    <n v="95176"/>
    <s v="Growth - Executive"/>
    <x v="2"/>
    <s v="Executive"/>
    <n v="708"/>
    <n v="3"/>
    <x v="7"/>
    <d v="1994-08-28T00:00:00"/>
    <n v="703577"/>
    <x v="2"/>
    <n v="1994"/>
    <n v="1"/>
    <n v="32"/>
    <x v="0"/>
    <x v="1"/>
  </r>
  <r>
    <x v="112"/>
    <n v="39558"/>
    <s v="Operation - Executive"/>
    <x v="1"/>
    <s v="Executive"/>
    <n v="766"/>
    <n v="3"/>
    <x v="6"/>
    <d v="1991-04-22T00:00:00"/>
    <n v="948975"/>
    <x v="0"/>
    <n v="1991"/>
    <n v="2"/>
    <n v="35"/>
    <x v="1"/>
    <x v="0"/>
  </r>
  <r>
    <x v="111"/>
    <n v="93584"/>
    <s v="Strategy - Manager"/>
    <x v="3"/>
    <s v="Manager"/>
    <n v="709"/>
    <n v="3"/>
    <x v="0"/>
    <d v="1988-08-15T00:00:00"/>
    <n v="715479"/>
    <x v="2"/>
    <n v="1988"/>
    <n v="1"/>
    <n v="38"/>
    <x v="0"/>
    <x v="0"/>
  </r>
  <r>
    <x v="113"/>
    <n v="38017"/>
    <s v="Growth - Intern"/>
    <x v="2"/>
    <s v="Intern"/>
    <n v="721"/>
    <n v="3"/>
    <x v="3"/>
    <d v="1994-01-10T00:00:00"/>
    <n v="559126"/>
    <x v="0"/>
    <n v="1994"/>
    <n v="9"/>
    <n v="32"/>
    <x v="0"/>
    <x v="0"/>
  </r>
  <r>
    <x v="44"/>
    <n v="91310"/>
    <s v="Sales - Director"/>
    <x v="4"/>
    <s v="Director"/>
    <n v="783"/>
    <n v="4"/>
    <x v="7"/>
    <d v="1981-09-28T00:00:00"/>
    <n v="628975"/>
    <x v="2"/>
    <n v="1981"/>
    <n v="9"/>
    <n v="45"/>
    <x v="1"/>
    <x v="1"/>
  </r>
  <r>
    <x v="86"/>
    <n v="75570"/>
    <s v="Sales - Intern"/>
    <x v="4"/>
    <s v="Intern"/>
    <n v="724"/>
    <n v="1"/>
    <x v="4"/>
    <d v="1980-07-29T00:00:00"/>
    <n v="724346"/>
    <x v="1"/>
    <n v="1980"/>
    <n v="9"/>
    <n v="46"/>
    <x v="0"/>
    <x v="0"/>
  </r>
  <r>
    <x v="114"/>
    <n v="93524"/>
    <s v="Marketing - Director"/>
    <x v="0"/>
    <s v="Director"/>
    <n v="768"/>
    <n v="3"/>
    <x v="0"/>
    <d v="1987-09-08T00:00:00"/>
    <n v="900713"/>
    <x v="1"/>
    <n v="1987"/>
    <n v="7"/>
    <n v="39"/>
    <x v="1"/>
    <x v="0"/>
  </r>
  <r>
    <x v="115"/>
    <n v="78035"/>
    <s v="Growth - Director"/>
    <x v="2"/>
    <s v="Director"/>
    <n v="716"/>
    <n v="2"/>
    <x v="4"/>
    <d v="1988-07-17T00:00:00"/>
    <n v="757731"/>
    <x v="0"/>
    <n v="1988"/>
    <n v="6"/>
    <n v="38"/>
    <x v="0"/>
    <x v="0"/>
  </r>
  <r>
    <x v="116"/>
    <n v="90930"/>
    <s v="Sales - Intern"/>
    <x v="4"/>
    <s v="Intern"/>
    <n v="742"/>
    <n v="5"/>
    <x v="2"/>
    <d v="1984-10-29T00:00:00"/>
    <n v="862373"/>
    <x v="1"/>
    <n v="1984"/>
    <n v="10"/>
    <n v="42"/>
    <x v="0"/>
    <x v="1"/>
  </r>
  <r>
    <x v="117"/>
    <n v="54049"/>
    <s v="Marketing - Intern"/>
    <x v="0"/>
    <s v="Intern"/>
    <n v="782"/>
    <n v="2"/>
    <x v="0"/>
    <d v="1980-08-18T00:00:00"/>
    <n v="695038"/>
    <x v="1"/>
    <n v="1980"/>
    <n v="6"/>
    <n v="46"/>
    <x v="1"/>
    <x v="0"/>
  </r>
  <r>
    <x v="118"/>
    <n v="36823"/>
    <s v="Operation - Director"/>
    <x v="1"/>
    <s v="Director"/>
    <n v="746"/>
    <n v="4"/>
    <x v="3"/>
    <d v="1983-12-19T00:00:00"/>
    <n v="603569"/>
    <x v="2"/>
    <n v="1983"/>
    <n v="9"/>
    <n v="43"/>
    <x v="0"/>
    <x v="0"/>
  </r>
  <r>
    <x v="119"/>
    <n v="84705"/>
    <s v="Growth - Director"/>
    <x v="2"/>
    <s v="Director"/>
    <n v="790"/>
    <n v="5"/>
    <x v="3"/>
    <d v="1982-04-01T00:00:00"/>
    <n v="819230"/>
    <x v="0"/>
    <n v="1982"/>
    <n v="4"/>
    <n v="44"/>
    <x v="1"/>
    <x v="0"/>
  </r>
  <r>
    <x v="120"/>
    <n v="14796"/>
    <s v="Growth - Intern"/>
    <x v="2"/>
    <s v="Intern"/>
    <n v="742"/>
    <n v="2"/>
    <x v="9"/>
    <d v="1994-04-22T00:00:00"/>
    <n v="534072"/>
    <x v="2"/>
    <n v="1994"/>
    <n v="6"/>
    <n v="32"/>
    <x v="0"/>
    <x v="1"/>
  </r>
  <r>
    <x v="121"/>
    <n v="49843"/>
    <s v="Growth - Manager"/>
    <x v="2"/>
    <s v="Manager"/>
    <n v="733"/>
    <n v="3"/>
    <x v="6"/>
    <d v="1986-01-28T00:00:00"/>
    <n v="911169"/>
    <x v="0"/>
    <n v="1986"/>
    <n v="6"/>
    <n v="40"/>
    <x v="0"/>
    <x v="0"/>
  </r>
  <r>
    <x v="122"/>
    <n v="70258"/>
    <s v="Growth - Executive"/>
    <x v="2"/>
    <s v="Executive"/>
    <n v="736"/>
    <n v="4"/>
    <x v="7"/>
    <d v="1987-03-14T00:00:00"/>
    <n v="665622"/>
    <x v="1"/>
    <n v="1987"/>
    <n v="5"/>
    <n v="39"/>
    <x v="0"/>
    <x v="1"/>
  </r>
  <r>
    <x v="123"/>
    <n v="53621"/>
    <s v="Finance - Intern"/>
    <x v="5"/>
    <s v="Intern"/>
    <n v="747"/>
    <n v="2"/>
    <x v="2"/>
    <d v="1992-04-29T00:00:00"/>
    <n v="746291"/>
    <x v="0"/>
    <n v="1992"/>
    <n v="3"/>
    <n v="34"/>
    <x v="0"/>
    <x v="1"/>
  </r>
  <r>
    <x v="107"/>
    <n v="77593"/>
    <s v="Finance - Director"/>
    <x v="5"/>
    <s v="Director"/>
    <n v="762"/>
    <n v="3"/>
    <x v="0"/>
    <d v="1993-02-24T00:00:00"/>
    <n v="759883"/>
    <x v="2"/>
    <n v="1993"/>
    <n v="10"/>
    <n v="33"/>
    <x v="1"/>
    <x v="0"/>
  </r>
  <r>
    <x v="46"/>
    <n v="84960"/>
    <s v="Sales - Manager"/>
    <x v="4"/>
    <s v="Manager"/>
    <n v="732"/>
    <n v="5"/>
    <x v="6"/>
    <d v="1994-05-19T00:00:00"/>
    <n v="737751"/>
    <x v="1"/>
    <n v="1994"/>
    <n v="2"/>
    <n v="32"/>
    <x v="0"/>
    <x v="0"/>
  </r>
  <r>
    <x v="57"/>
    <n v="41108"/>
    <s v="Growth - Manager"/>
    <x v="2"/>
    <s v="Manager"/>
    <n v="786"/>
    <n v="4"/>
    <x v="9"/>
    <d v="1988-03-02T00:00:00"/>
    <n v="807001"/>
    <x v="0"/>
    <n v="1988"/>
    <n v="9"/>
    <n v="38"/>
    <x v="1"/>
    <x v="1"/>
  </r>
  <r>
    <x v="118"/>
    <n v="20898"/>
    <s v="Operation - Executive"/>
    <x v="1"/>
    <s v="Executive"/>
    <n v="717"/>
    <n v="4"/>
    <x v="2"/>
    <d v="1993-06-04T00:00:00"/>
    <n v="681201"/>
    <x v="0"/>
    <n v="1993"/>
    <n v="9"/>
    <n v="33"/>
    <x v="0"/>
    <x v="1"/>
  </r>
  <r>
    <x v="123"/>
    <n v="83281"/>
    <s v="Strategy - Executive"/>
    <x v="3"/>
    <s v="Executive"/>
    <n v="709"/>
    <n v="5"/>
    <x v="7"/>
    <d v="1994-03-29T00:00:00"/>
    <n v="740015"/>
    <x v="2"/>
    <n v="1994"/>
    <n v="3"/>
    <n v="32"/>
    <x v="0"/>
    <x v="1"/>
  </r>
  <r>
    <x v="124"/>
    <n v="83373"/>
    <s v="Operation - Executive"/>
    <x v="1"/>
    <s v="Executive"/>
    <n v="756"/>
    <n v="2"/>
    <x v="3"/>
    <d v="1992-06-16T00:00:00"/>
    <n v="845107"/>
    <x v="2"/>
    <n v="1992"/>
    <n v="10"/>
    <n v="34"/>
    <x v="1"/>
    <x v="0"/>
  </r>
  <r>
    <x v="125"/>
    <n v="38470"/>
    <s v="Finance - Executive"/>
    <x v="5"/>
    <s v="Executive"/>
    <n v="793"/>
    <n v="4"/>
    <x v="7"/>
    <d v="1984-09-04T00:00:00"/>
    <n v="739435"/>
    <x v="0"/>
    <n v="1984"/>
    <n v="7"/>
    <n v="42"/>
    <x v="1"/>
    <x v="1"/>
  </r>
  <r>
    <x v="5"/>
    <n v="30320"/>
    <s v="Marketing - Manager"/>
    <x v="0"/>
    <s v="Manager"/>
    <n v="798"/>
    <n v="2"/>
    <x v="5"/>
    <d v="1985-01-04T00:00:00"/>
    <n v="857830"/>
    <x v="0"/>
    <n v="1985"/>
    <n v="6"/>
    <n v="41"/>
    <x v="1"/>
    <x v="2"/>
  </r>
  <r>
    <x v="126"/>
    <n v="41106"/>
    <s v="Growth - Intern"/>
    <x v="2"/>
    <s v="Intern"/>
    <n v="746"/>
    <n v="2"/>
    <x v="3"/>
    <d v="1994-10-07T00:00:00"/>
    <n v="518202"/>
    <x v="2"/>
    <n v="1994"/>
    <n v="5"/>
    <n v="32"/>
    <x v="0"/>
    <x v="0"/>
  </r>
  <r>
    <x v="14"/>
    <n v="50298"/>
    <s v="Operation - Director"/>
    <x v="1"/>
    <s v="Director"/>
    <n v="755"/>
    <n v="4"/>
    <x v="0"/>
    <d v="1986-01-16T00:00:00"/>
    <n v="722229"/>
    <x v="2"/>
    <n v="1986"/>
    <n v="3"/>
    <n v="40"/>
    <x v="1"/>
    <x v="0"/>
  </r>
  <r>
    <x v="127"/>
    <n v="18184"/>
    <s v="Marketing - Manager"/>
    <x v="0"/>
    <s v="Manager"/>
    <n v="703"/>
    <n v="4"/>
    <x v="8"/>
    <d v="1983-11-13T00:00:00"/>
    <n v="993598"/>
    <x v="2"/>
    <n v="1983"/>
    <n v="3"/>
    <n v="43"/>
    <x v="0"/>
    <x v="1"/>
  </r>
  <r>
    <x v="128"/>
    <n v="71263"/>
    <s v="Growth - Manager"/>
    <x v="2"/>
    <s v="Manager"/>
    <n v="783"/>
    <n v="1"/>
    <x v="9"/>
    <d v="1992-10-04T00:00:00"/>
    <n v="537747"/>
    <x v="2"/>
    <n v="1992"/>
    <n v="3"/>
    <n v="34"/>
    <x v="1"/>
    <x v="1"/>
  </r>
  <r>
    <x v="29"/>
    <n v="40508"/>
    <s v="Marketing - Manager"/>
    <x v="0"/>
    <s v="Manager"/>
    <n v="718"/>
    <n v="3"/>
    <x v="5"/>
    <d v="1989-01-24T00:00:00"/>
    <n v="818556"/>
    <x v="2"/>
    <n v="1989"/>
    <n v="5"/>
    <n v="37"/>
    <x v="0"/>
    <x v="0"/>
  </r>
  <r>
    <x v="129"/>
    <n v="31054"/>
    <s v="Marketing - Director"/>
    <x v="0"/>
    <s v="Director"/>
    <n v="708"/>
    <n v="4"/>
    <x v="7"/>
    <d v="1984-02-27T00:00:00"/>
    <n v="692252"/>
    <x v="0"/>
    <n v="1984"/>
    <n v="6"/>
    <n v="42"/>
    <x v="0"/>
    <x v="1"/>
  </r>
  <r>
    <x v="58"/>
    <n v="44940"/>
    <s v="Growth - Director"/>
    <x v="2"/>
    <s v="Director"/>
    <n v="770"/>
    <n v="5"/>
    <x v="4"/>
    <d v="1992-12-27T00:00:00"/>
    <n v="718232"/>
    <x v="0"/>
    <n v="1992"/>
    <n v="6"/>
    <n v="34"/>
    <x v="1"/>
    <x v="2"/>
  </r>
  <r>
    <x v="130"/>
    <n v="50466"/>
    <s v="Operation - Director"/>
    <x v="1"/>
    <s v="Director"/>
    <n v="799"/>
    <n v="5"/>
    <x v="0"/>
    <d v="1992-11-11T00:00:00"/>
    <n v="922183"/>
    <x v="1"/>
    <n v="1992"/>
    <n v="5"/>
    <n v="34"/>
    <x v="1"/>
    <x v="0"/>
  </r>
  <r>
    <x v="131"/>
    <n v="82889"/>
    <s v="Operation - Intern"/>
    <x v="1"/>
    <s v="Intern"/>
    <n v="725"/>
    <n v="4"/>
    <x v="2"/>
    <d v="1986-02-17T00:00:00"/>
    <n v="824112"/>
    <x v="1"/>
    <n v="1986"/>
    <n v="3"/>
    <n v="40"/>
    <x v="0"/>
    <x v="1"/>
  </r>
  <r>
    <x v="64"/>
    <n v="68268"/>
    <s v="Growth - Director"/>
    <x v="2"/>
    <s v="Director"/>
    <n v="764"/>
    <n v="5"/>
    <x v="6"/>
    <d v="1987-03-19T00:00:00"/>
    <n v="854960"/>
    <x v="0"/>
    <n v="1987"/>
    <n v="6"/>
    <n v="39"/>
    <x v="1"/>
    <x v="0"/>
  </r>
  <r>
    <x v="9"/>
    <n v="72362"/>
    <s v="Operation - Director"/>
    <x v="1"/>
    <s v="Director"/>
    <n v="711"/>
    <n v="5"/>
    <x v="9"/>
    <d v="1988-10-21T00:00:00"/>
    <n v="989356"/>
    <x v="1"/>
    <n v="1988"/>
    <n v="5"/>
    <n v="38"/>
    <x v="0"/>
    <x v="1"/>
  </r>
  <r>
    <x v="132"/>
    <n v="10986"/>
    <s v="Sales - Manager"/>
    <x v="4"/>
    <s v="Manager"/>
    <n v="789"/>
    <n v="4"/>
    <x v="7"/>
    <d v="1980-10-09T00:00:00"/>
    <n v="868700"/>
    <x v="2"/>
    <n v="1980"/>
    <n v="7"/>
    <n v="46"/>
    <x v="1"/>
    <x v="1"/>
  </r>
  <r>
    <x v="115"/>
    <n v="80405"/>
    <s v="Operation - Executive"/>
    <x v="1"/>
    <s v="Executive"/>
    <n v="723"/>
    <n v="2"/>
    <x v="9"/>
    <d v="1982-11-13T00:00:00"/>
    <n v="654491"/>
    <x v="1"/>
    <n v="1982"/>
    <n v="6"/>
    <n v="44"/>
    <x v="0"/>
    <x v="1"/>
  </r>
  <r>
    <x v="133"/>
    <n v="40834"/>
    <s v="Finance - Intern"/>
    <x v="5"/>
    <s v="Intern"/>
    <n v="708"/>
    <n v="1"/>
    <x v="0"/>
    <d v="1994-04-04T00:00:00"/>
    <n v="936156"/>
    <x v="0"/>
    <n v="1994"/>
    <n v="10"/>
    <n v="32"/>
    <x v="0"/>
    <x v="0"/>
  </r>
  <r>
    <x v="134"/>
    <n v="61276"/>
    <s v="Growth - Director"/>
    <x v="2"/>
    <s v="Director"/>
    <n v="796"/>
    <n v="2"/>
    <x v="4"/>
    <d v="1983-09-12T00:00:00"/>
    <n v="902760"/>
    <x v="1"/>
    <n v="1983"/>
    <n v="6"/>
    <n v="43"/>
    <x v="1"/>
    <x v="2"/>
  </r>
  <r>
    <x v="135"/>
    <n v="64597"/>
    <s v="Sales - Director"/>
    <x v="4"/>
    <s v="Director"/>
    <n v="727"/>
    <n v="3"/>
    <x v="0"/>
    <d v="1989-04-18T00:00:00"/>
    <n v="759509"/>
    <x v="2"/>
    <n v="1989"/>
    <n v="2"/>
    <n v="37"/>
    <x v="0"/>
    <x v="0"/>
  </r>
  <r>
    <x v="115"/>
    <n v="20325"/>
    <s v="Marketing - Executive"/>
    <x v="0"/>
    <s v="Executive"/>
    <n v="754"/>
    <n v="3"/>
    <x v="6"/>
    <d v="1984-01-25T00:00:00"/>
    <n v="553520"/>
    <x v="0"/>
    <n v="1984"/>
    <n v="6"/>
    <n v="42"/>
    <x v="1"/>
    <x v="0"/>
  </r>
  <r>
    <x v="136"/>
    <n v="69249"/>
    <s v="Sales - Director"/>
    <x v="4"/>
    <s v="Director"/>
    <n v="757"/>
    <n v="2"/>
    <x v="3"/>
    <d v="1988-02-08T00:00:00"/>
    <n v="929923"/>
    <x v="2"/>
    <n v="1988"/>
    <n v="2"/>
    <n v="38"/>
    <x v="1"/>
    <x v="0"/>
  </r>
  <r>
    <x v="42"/>
    <n v="44270"/>
    <s v="Strategy - Intern"/>
    <x v="3"/>
    <s v="Intern"/>
    <n v="775"/>
    <n v="1"/>
    <x v="0"/>
    <d v="1986-02-07T00:00:00"/>
    <n v="788221"/>
    <x v="2"/>
    <n v="1986"/>
    <n v="9"/>
    <n v="40"/>
    <x v="1"/>
    <x v="0"/>
  </r>
  <r>
    <x v="137"/>
    <n v="11550"/>
    <s v="Marketing - Director"/>
    <x v="0"/>
    <s v="Director"/>
    <n v="729"/>
    <n v="3"/>
    <x v="6"/>
    <d v="1990-11-12T00:00:00"/>
    <n v="767387"/>
    <x v="1"/>
    <n v="1990"/>
    <n v="4"/>
    <n v="36"/>
    <x v="0"/>
    <x v="0"/>
  </r>
  <r>
    <x v="65"/>
    <n v="43241"/>
    <s v="Marketing - Executive"/>
    <x v="0"/>
    <s v="Executive"/>
    <n v="719"/>
    <n v="4"/>
    <x v="7"/>
    <d v="1984-08-22T00:00:00"/>
    <n v="898213"/>
    <x v="2"/>
    <n v="1984"/>
    <n v="4"/>
    <n v="42"/>
    <x v="0"/>
    <x v="1"/>
  </r>
  <r>
    <x v="138"/>
    <n v="29545"/>
    <s v="Finance - Manager"/>
    <x v="5"/>
    <s v="Manager"/>
    <n v="766"/>
    <n v="3"/>
    <x v="1"/>
    <d v="1987-09-13T00:00:00"/>
    <n v="843659"/>
    <x v="0"/>
    <n v="1987"/>
    <n v="7"/>
    <n v="39"/>
    <x v="1"/>
    <x v="1"/>
  </r>
  <r>
    <x v="91"/>
    <n v="72884"/>
    <s v="Marketing - Executive"/>
    <x v="0"/>
    <s v="Executive"/>
    <n v="747"/>
    <n v="4"/>
    <x v="4"/>
    <d v="1988-10-14T00:00:00"/>
    <n v="901188"/>
    <x v="0"/>
    <n v="1988"/>
    <n v="7"/>
    <n v="38"/>
    <x v="0"/>
    <x v="0"/>
  </r>
  <r>
    <x v="11"/>
    <n v="13475"/>
    <s v="Finance - Director"/>
    <x v="5"/>
    <s v="Director"/>
    <n v="800"/>
    <n v="5"/>
    <x v="3"/>
    <d v="1980-01-30T00:00:00"/>
    <n v="578868"/>
    <x v="2"/>
    <n v="1980"/>
    <n v="5"/>
    <n v="46"/>
    <x v="1"/>
    <x v="0"/>
  </r>
  <r>
    <x v="139"/>
    <n v="63362"/>
    <s v="Sales - Manager"/>
    <x v="4"/>
    <s v="Manager"/>
    <n v="724"/>
    <n v="5"/>
    <x v="4"/>
    <d v="1993-05-02T00:00:00"/>
    <n v="891505"/>
    <x v="2"/>
    <n v="1993"/>
    <n v="7"/>
    <n v="33"/>
    <x v="0"/>
    <x v="0"/>
  </r>
  <r>
    <x v="55"/>
    <n v="92047"/>
    <s v="Finance - Intern"/>
    <x v="5"/>
    <s v="Intern"/>
    <n v="738"/>
    <n v="4"/>
    <x v="9"/>
    <d v="1988-01-07T00:00:00"/>
    <n v="891901"/>
    <x v="1"/>
    <n v="1988"/>
    <n v="2"/>
    <n v="38"/>
    <x v="0"/>
    <x v="1"/>
  </r>
  <r>
    <x v="22"/>
    <n v="56119"/>
    <s v="Marketing - Manager"/>
    <x v="0"/>
    <s v="Manager"/>
    <n v="729"/>
    <n v="3"/>
    <x v="1"/>
    <d v="1990-02-15T00:00:00"/>
    <n v="801976"/>
    <x v="0"/>
    <n v="1990"/>
    <n v="7"/>
    <n v="36"/>
    <x v="0"/>
    <x v="1"/>
  </r>
  <r>
    <x v="140"/>
    <n v="79806"/>
    <s v="Sales - Intern"/>
    <x v="4"/>
    <s v="Intern"/>
    <n v="760"/>
    <n v="3"/>
    <x v="9"/>
    <d v="1987-09-06T00:00:00"/>
    <n v="603480"/>
    <x v="2"/>
    <n v="1987"/>
    <n v="8"/>
    <n v="39"/>
    <x v="1"/>
    <x v="1"/>
  </r>
  <r>
    <x v="60"/>
    <n v="63927"/>
    <s v="Finance - Manager"/>
    <x v="5"/>
    <s v="Manager"/>
    <n v="740"/>
    <n v="5"/>
    <x v="0"/>
    <d v="1991-04-11T00:00:00"/>
    <n v="689555"/>
    <x v="1"/>
    <n v="1991"/>
    <n v="1"/>
    <n v="35"/>
    <x v="0"/>
    <x v="0"/>
  </r>
  <r>
    <x v="141"/>
    <n v="73461"/>
    <s v="Operation - Executive"/>
    <x v="1"/>
    <s v="Executive"/>
    <n v="763"/>
    <n v="4"/>
    <x v="1"/>
    <d v="1992-09-10T00:00:00"/>
    <n v="675486"/>
    <x v="2"/>
    <n v="1992"/>
    <n v="11"/>
    <n v="34"/>
    <x v="1"/>
    <x v="1"/>
  </r>
  <r>
    <x v="92"/>
    <n v="53939"/>
    <s v="Operation - Manager"/>
    <x v="1"/>
    <s v="Manager"/>
    <n v="729"/>
    <n v="5"/>
    <x v="6"/>
    <d v="1989-01-29T00:00:00"/>
    <n v="839023"/>
    <x v="2"/>
    <n v="1989"/>
    <n v="5"/>
    <n v="37"/>
    <x v="0"/>
    <x v="0"/>
  </r>
  <r>
    <x v="142"/>
    <n v="67752"/>
    <s v="Growth - Executive"/>
    <x v="2"/>
    <s v="Executive"/>
    <n v="743"/>
    <n v="3"/>
    <x v="2"/>
    <d v="1980-12-18T00:00:00"/>
    <n v="917829"/>
    <x v="0"/>
    <n v="1980"/>
    <n v="5"/>
    <n v="46"/>
    <x v="0"/>
    <x v="1"/>
  </r>
  <r>
    <x v="30"/>
    <n v="98469"/>
    <s v="Operation - Manager"/>
    <x v="1"/>
    <s v="Manager"/>
    <n v="796"/>
    <n v="4"/>
    <x v="5"/>
    <d v="1991-04-13T00:00:00"/>
    <n v="861547"/>
    <x v="0"/>
    <n v="1991"/>
    <n v="3"/>
    <n v="35"/>
    <x v="1"/>
    <x v="2"/>
  </r>
  <r>
    <x v="143"/>
    <n v="96055"/>
    <s v="Operation - Executive"/>
    <x v="1"/>
    <s v="Executive"/>
    <n v="744"/>
    <n v="2"/>
    <x v="4"/>
    <d v="1985-06-02T00:00:00"/>
    <n v="664025"/>
    <x v="1"/>
    <n v="1985"/>
    <n v="10"/>
    <n v="41"/>
    <x v="0"/>
    <x v="0"/>
  </r>
  <r>
    <x v="144"/>
    <n v="22022"/>
    <s v="Finance - Intern"/>
    <x v="5"/>
    <s v="Intern"/>
    <n v="733"/>
    <n v="1"/>
    <x v="3"/>
    <d v="1985-07-24T00:00:00"/>
    <n v="846070"/>
    <x v="1"/>
    <n v="1985"/>
    <n v="11"/>
    <n v="41"/>
    <x v="0"/>
    <x v="0"/>
  </r>
  <r>
    <x v="145"/>
    <n v="41378"/>
    <s v="Operation - Manager"/>
    <x v="1"/>
    <s v="Manager"/>
    <n v="786"/>
    <n v="1"/>
    <x v="7"/>
    <d v="1987-09-17T00:00:00"/>
    <n v="878397"/>
    <x v="1"/>
    <n v="1987"/>
    <n v="4"/>
    <n v="39"/>
    <x v="1"/>
    <x v="1"/>
  </r>
  <r>
    <x v="146"/>
    <n v="86426"/>
    <s v="Operation - Manager"/>
    <x v="1"/>
    <s v="Manager"/>
    <n v="705"/>
    <n v="2"/>
    <x v="3"/>
    <d v="1982-07-18T00:00:00"/>
    <n v="748370"/>
    <x v="0"/>
    <n v="1982"/>
    <n v="2"/>
    <n v="44"/>
    <x v="0"/>
    <x v="0"/>
  </r>
  <r>
    <x v="125"/>
    <n v="82232"/>
    <s v="Finance - Executive"/>
    <x v="5"/>
    <s v="Executive"/>
    <n v="779"/>
    <n v="1"/>
    <x v="7"/>
    <d v="1991-12-28T00:00:00"/>
    <n v="906582"/>
    <x v="1"/>
    <n v="1991"/>
    <n v="7"/>
    <n v="35"/>
    <x v="1"/>
    <x v="1"/>
  </r>
  <r>
    <x v="147"/>
    <n v="79140"/>
    <s v="Sales - Manager"/>
    <x v="4"/>
    <s v="Manager"/>
    <n v="728"/>
    <n v="5"/>
    <x v="5"/>
    <d v="1983-10-01T00:00:00"/>
    <n v="613530"/>
    <x v="2"/>
    <n v="1983"/>
    <n v="6"/>
    <n v="43"/>
    <x v="0"/>
    <x v="0"/>
  </r>
  <r>
    <x v="43"/>
    <n v="69241"/>
    <s v="Operation - Executive"/>
    <x v="1"/>
    <s v="Executive"/>
    <n v="724"/>
    <n v="2"/>
    <x v="2"/>
    <d v="1990-08-28T00:00:00"/>
    <n v="719344"/>
    <x v="1"/>
    <n v="1990"/>
    <n v="2"/>
    <n v="36"/>
    <x v="0"/>
    <x v="1"/>
  </r>
  <r>
    <x v="148"/>
    <n v="19458"/>
    <s v="Sales - Executive"/>
    <x v="4"/>
    <s v="Executive"/>
    <n v="743"/>
    <n v="2"/>
    <x v="9"/>
    <d v="1989-02-16T00:00:00"/>
    <n v="722962"/>
    <x v="2"/>
    <n v="1989"/>
    <n v="9"/>
    <n v="37"/>
    <x v="0"/>
    <x v="1"/>
  </r>
  <r>
    <x v="149"/>
    <n v="77604"/>
    <s v="Operation - Manager"/>
    <x v="1"/>
    <s v="Manager"/>
    <n v="724"/>
    <n v="1"/>
    <x v="6"/>
    <d v="1992-06-26T00:00:00"/>
    <n v="749530"/>
    <x v="2"/>
    <n v="1992"/>
    <n v="7"/>
    <n v="34"/>
    <x v="0"/>
    <x v="0"/>
  </r>
  <r>
    <x v="62"/>
    <n v="84072"/>
    <s v="Sales - Executive"/>
    <x v="4"/>
    <s v="Executive"/>
    <n v="766"/>
    <n v="4"/>
    <x v="0"/>
    <d v="1989-03-13T00:00:00"/>
    <n v="788515"/>
    <x v="0"/>
    <n v="1989"/>
    <n v="5"/>
    <n v="37"/>
    <x v="1"/>
    <x v="0"/>
  </r>
  <r>
    <x v="32"/>
    <n v="16009"/>
    <s v="Growth - Intern"/>
    <x v="2"/>
    <s v="Intern"/>
    <n v="729"/>
    <n v="3"/>
    <x v="2"/>
    <d v="1989-04-23T00:00:00"/>
    <n v="526025"/>
    <x v="0"/>
    <n v="1989"/>
    <n v="12"/>
    <n v="37"/>
    <x v="0"/>
    <x v="1"/>
  </r>
  <r>
    <x v="150"/>
    <n v="85826"/>
    <s v="Growth - Intern"/>
    <x v="2"/>
    <s v="Intern"/>
    <n v="754"/>
    <n v="5"/>
    <x v="5"/>
    <d v="1980-03-08T00:00:00"/>
    <n v="747215"/>
    <x v="1"/>
    <n v="1980"/>
    <n v="2"/>
    <n v="46"/>
    <x v="1"/>
    <x v="2"/>
  </r>
  <r>
    <x v="151"/>
    <n v="36067"/>
    <s v="Marketing - Director"/>
    <x v="0"/>
    <s v="Director"/>
    <n v="724"/>
    <n v="2"/>
    <x v="8"/>
    <d v="1985-06-06T00:00:00"/>
    <n v="874441"/>
    <x v="2"/>
    <n v="1985"/>
    <n v="11"/>
    <n v="41"/>
    <x v="0"/>
    <x v="1"/>
  </r>
  <r>
    <x v="36"/>
    <n v="66036"/>
    <s v="Finance - Intern"/>
    <x v="5"/>
    <s v="Intern"/>
    <n v="792"/>
    <n v="4"/>
    <x v="7"/>
    <d v="1987-01-18T00:00:00"/>
    <n v="679361"/>
    <x v="2"/>
    <n v="1987"/>
    <n v="7"/>
    <n v="39"/>
    <x v="1"/>
    <x v="1"/>
  </r>
  <r>
    <x v="152"/>
    <n v="41046"/>
    <s v="Growth - Executive"/>
    <x v="2"/>
    <s v="Executive"/>
    <n v="734"/>
    <n v="2"/>
    <x v="5"/>
    <d v="1987-07-23T00:00:00"/>
    <n v="509458"/>
    <x v="2"/>
    <n v="1987"/>
    <n v="10"/>
    <n v="39"/>
    <x v="0"/>
    <x v="0"/>
  </r>
  <r>
    <x v="153"/>
    <n v="64623"/>
    <s v="Finance - Executive"/>
    <x v="5"/>
    <s v="Executive"/>
    <n v="759"/>
    <n v="1"/>
    <x v="5"/>
    <d v="1986-11-01T00:00:00"/>
    <n v="874108"/>
    <x v="0"/>
    <n v="1986"/>
    <n v="1"/>
    <n v="40"/>
    <x v="1"/>
    <x v="2"/>
  </r>
  <r>
    <x v="148"/>
    <n v="51441"/>
    <s v="Growth - Manager"/>
    <x v="2"/>
    <s v="Manager"/>
    <n v="762"/>
    <n v="4"/>
    <x v="8"/>
    <d v="1993-04-18T00:00:00"/>
    <n v="957814"/>
    <x v="0"/>
    <n v="1993"/>
    <n v="9"/>
    <n v="33"/>
    <x v="1"/>
    <x v="1"/>
  </r>
  <r>
    <x v="154"/>
    <n v="92190"/>
    <s v="Strategy - Intern"/>
    <x v="3"/>
    <s v="Intern"/>
    <n v="734"/>
    <n v="4"/>
    <x v="1"/>
    <d v="1985-07-19T00:00:00"/>
    <n v="587194"/>
    <x v="0"/>
    <n v="1985"/>
    <n v="9"/>
    <n v="41"/>
    <x v="0"/>
    <x v="1"/>
  </r>
  <r>
    <x v="155"/>
    <n v="47213"/>
    <s v="Marketing - Director"/>
    <x v="0"/>
    <s v="Director"/>
    <n v="751"/>
    <n v="3"/>
    <x v="9"/>
    <d v="1986-01-10T00:00:00"/>
    <n v="695601"/>
    <x v="1"/>
    <n v="1986"/>
    <n v="12"/>
    <n v="40"/>
    <x v="1"/>
    <x v="1"/>
  </r>
  <r>
    <x v="156"/>
    <n v="40265"/>
    <s v="Marketing - Director"/>
    <x v="0"/>
    <s v="Director"/>
    <n v="711"/>
    <n v="5"/>
    <x v="8"/>
    <d v="1992-11-09T00:00:00"/>
    <n v="514501"/>
    <x v="0"/>
    <n v="1992"/>
    <n v="10"/>
    <n v="34"/>
    <x v="0"/>
    <x v="1"/>
  </r>
  <r>
    <x v="157"/>
    <n v="49338"/>
    <s v="Operation - Executive"/>
    <x v="1"/>
    <s v="Executive"/>
    <n v="746"/>
    <n v="4"/>
    <x v="7"/>
    <d v="1993-04-02T00:00:00"/>
    <n v="809272"/>
    <x v="2"/>
    <n v="1993"/>
    <n v="10"/>
    <n v="33"/>
    <x v="0"/>
    <x v="1"/>
  </r>
  <r>
    <x v="158"/>
    <n v="58998"/>
    <s v="Finance - Executive"/>
    <x v="5"/>
    <s v="Executive"/>
    <n v="772"/>
    <n v="2"/>
    <x v="7"/>
    <d v="1984-10-18T00:00:00"/>
    <n v="663270"/>
    <x v="1"/>
    <n v="1984"/>
    <n v="8"/>
    <n v="42"/>
    <x v="1"/>
    <x v="1"/>
  </r>
  <r>
    <x v="27"/>
    <n v="71341"/>
    <s v="Sales - Intern"/>
    <x v="4"/>
    <s v="Intern"/>
    <n v="700"/>
    <n v="4"/>
    <x v="9"/>
    <d v="1990-08-11T00:00:00"/>
    <n v="548429"/>
    <x v="1"/>
    <n v="1990"/>
    <n v="1"/>
    <n v="36"/>
    <x v="0"/>
    <x v="1"/>
  </r>
  <r>
    <x v="159"/>
    <n v="13310"/>
    <s v="Growth - Director"/>
    <x v="2"/>
    <s v="Director"/>
    <n v="750"/>
    <n v="1"/>
    <x v="7"/>
    <d v="1991-03-26T00:00:00"/>
    <n v="878663"/>
    <x v="2"/>
    <n v="1991"/>
    <n v="3"/>
    <n v="35"/>
    <x v="1"/>
    <x v="1"/>
  </r>
  <r>
    <x v="160"/>
    <n v="97483"/>
    <s v="Sales - Manager"/>
    <x v="4"/>
    <s v="Manager"/>
    <n v="708"/>
    <n v="3"/>
    <x v="0"/>
    <d v="1992-06-06T00:00:00"/>
    <n v="819768"/>
    <x v="2"/>
    <n v="1992"/>
    <n v="3"/>
    <n v="34"/>
    <x v="0"/>
    <x v="0"/>
  </r>
  <r>
    <x v="43"/>
    <n v="42773"/>
    <s v="Sales - Executive"/>
    <x v="4"/>
    <s v="Executive"/>
    <n v="714"/>
    <n v="1"/>
    <x v="3"/>
    <d v="1986-10-03T00:00:00"/>
    <n v="782564"/>
    <x v="1"/>
    <n v="1986"/>
    <n v="2"/>
    <n v="40"/>
    <x v="0"/>
    <x v="0"/>
  </r>
  <r>
    <x v="58"/>
    <n v="47900"/>
    <s v="Finance - Manager"/>
    <x v="5"/>
    <s v="Manager"/>
    <n v="713"/>
    <n v="2"/>
    <x v="3"/>
    <d v="1985-10-19T00:00:00"/>
    <n v="789114"/>
    <x v="0"/>
    <n v="1985"/>
    <n v="6"/>
    <n v="41"/>
    <x v="0"/>
    <x v="0"/>
  </r>
  <r>
    <x v="9"/>
    <n v="26257"/>
    <s v="Operation - Intern"/>
    <x v="1"/>
    <s v="Intern"/>
    <n v="778"/>
    <n v="3"/>
    <x v="6"/>
    <d v="1993-07-17T00:00:00"/>
    <n v="716401"/>
    <x v="2"/>
    <n v="1993"/>
    <n v="5"/>
    <n v="33"/>
    <x v="1"/>
    <x v="0"/>
  </r>
  <r>
    <x v="161"/>
    <n v="42871"/>
    <s v="Finance - Executive"/>
    <x v="5"/>
    <s v="Executive"/>
    <n v="718"/>
    <n v="3"/>
    <x v="7"/>
    <d v="1985-10-11T00:00:00"/>
    <n v="762595"/>
    <x v="1"/>
    <n v="1985"/>
    <n v="3"/>
    <n v="41"/>
    <x v="0"/>
    <x v="1"/>
  </r>
  <r>
    <x v="162"/>
    <n v="56883"/>
    <s v="Strategy - Manager"/>
    <x v="3"/>
    <s v="Manager"/>
    <n v="725"/>
    <n v="2"/>
    <x v="8"/>
    <d v="1986-07-03T00:00:00"/>
    <n v="870920"/>
    <x v="1"/>
    <n v="1986"/>
    <n v="8"/>
    <n v="40"/>
    <x v="0"/>
    <x v="1"/>
  </r>
  <r>
    <x v="97"/>
    <n v="89773"/>
    <s v="Growth - Director"/>
    <x v="2"/>
    <s v="Director"/>
    <n v="756"/>
    <n v="3"/>
    <x v="7"/>
    <d v="1988-04-28T00:00:00"/>
    <n v="664462"/>
    <x v="0"/>
    <n v="1988"/>
    <n v="4"/>
    <n v="38"/>
    <x v="1"/>
    <x v="1"/>
  </r>
  <r>
    <x v="163"/>
    <n v="52756"/>
    <s v="Operation - Manager"/>
    <x v="1"/>
    <s v="Manager"/>
    <n v="710"/>
    <n v="5"/>
    <x v="2"/>
    <d v="1989-08-18T00:00:00"/>
    <n v="801711"/>
    <x v="1"/>
    <n v="1989"/>
    <n v="6"/>
    <n v="37"/>
    <x v="0"/>
    <x v="1"/>
  </r>
  <r>
    <x v="164"/>
    <n v="45544"/>
    <s v="Strategy - Executive"/>
    <x v="3"/>
    <s v="Executive"/>
    <n v="739"/>
    <n v="3"/>
    <x v="9"/>
    <d v="1991-03-29T00:00:00"/>
    <n v="904091"/>
    <x v="1"/>
    <n v="1991"/>
    <n v="11"/>
    <n v="35"/>
    <x v="0"/>
    <x v="1"/>
  </r>
  <r>
    <x v="113"/>
    <n v="87871"/>
    <s v="Marketing - Intern"/>
    <x v="0"/>
    <s v="Intern"/>
    <n v="754"/>
    <n v="5"/>
    <x v="6"/>
    <d v="1983-10-01T00:00:00"/>
    <n v="950799"/>
    <x v="1"/>
    <n v="1983"/>
    <n v="9"/>
    <n v="43"/>
    <x v="1"/>
    <x v="0"/>
  </r>
  <r>
    <x v="165"/>
    <n v="49718"/>
    <s v="Growth - Executive"/>
    <x v="2"/>
    <s v="Executive"/>
    <n v="791"/>
    <n v="3"/>
    <x v="8"/>
    <d v="1992-04-17T00:00:00"/>
    <n v="746853"/>
    <x v="1"/>
    <n v="1992"/>
    <n v="6"/>
    <n v="34"/>
    <x v="1"/>
    <x v="1"/>
  </r>
  <r>
    <x v="166"/>
    <n v="95002"/>
    <s v="Sales - Intern"/>
    <x v="4"/>
    <s v="Intern"/>
    <n v="768"/>
    <n v="3"/>
    <x v="6"/>
    <d v="1985-02-21T00:00:00"/>
    <n v="804508"/>
    <x v="1"/>
    <n v="1985"/>
    <n v="7"/>
    <n v="41"/>
    <x v="1"/>
    <x v="0"/>
  </r>
  <r>
    <x v="167"/>
    <n v="33261"/>
    <s v="Growth - Intern"/>
    <x v="2"/>
    <s v="Intern"/>
    <n v="767"/>
    <n v="2"/>
    <x v="8"/>
    <d v="1994-12-23T00:00:00"/>
    <n v="590668"/>
    <x v="1"/>
    <n v="1994"/>
    <n v="1"/>
    <n v="32"/>
    <x v="1"/>
    <x v="1"/>
  </r>
  <r>
    <x v="30"/>
    <n v="73294"/>
    <s v="Operation - Director"/>
    <x v="1"/>
    <s v="Director"/>
    <n v="800"/>
    <n v="5"/>
    <x v="3"/>
    <d v="1992-03-06T00:00:00"/>
    <n v="642085"/>
    <x v="2"/>
    <n v="1992"/>
    <n v="3"/>
    <n v="34"/>
    <x v="1"/>
    <x v="0"/>
  </r>
  <r>
    <x v="104"/>
    <n v="48447"/>
    <s v="Operation - Intern"/>
    <x v="1"/>
    <s v="Intern"/>
    <n v="753"/>
    <n v="2"/>
    <x v="3"/>
    <d v="1984-03-05T00:00:00"/>
    <n v="827902"/>
    <x v="1"/>
    <n v="1984"/>
    <n v="11"/>
    <n v="42"/>
    <x v="1"/>
    <x v="0"/>
  </r>
  <r>
    <x v="23"/>
    <n v="64135"/>
    <s v="Finance - Executive"/>
    <x v="5"/>
    <s v="Executive"/>
    <n v="707"/>
    <n v="5"/>
    <x v="4"/>
    <d v="1983-05-29T00:00:00"/>
    <n v="926909"/>
    <x v="2"/>
    <n v="1983"/>
    <n v="4"/>
    <n v="43"/>
    <x v="0"/>
    <x v="0"/>
  </r>
  <r>
    <x v="168"/>
    <n v="75746"/>
    <s v="Marketing - Executive"/>
    <x v="0"/>
    <s v="Executive"/>
    <n v="725"/>
    <n v="4"/>
    <x v="9"/>
    <d v="1983-03-13T00:00:00"/>
    <n v="932068"/>
    <x v="0"/>
    <n v="1983"/>
    <n v="9"/>
    <n v="43"/>
    <x v="0"/>
    <x v="1"/>
  </r>
  <r>
    <x v="169"/>
    <n v="59661"/>
    <s v="Finance - Director"/>
    <x v="5"/>
    <s v="Director"/>
    <n v="743"/>
    <n v="2"/>
    <x v="5"/>
    <d v="1988-07-25T00:00:00"/>
    <n v="680509"/>
    <x v="0"/>
    <n v="1988"/>
    <n v="11"/>
    <n v="38"/>
    <x v="0"/>
    <x v="0"/>
  </r>
  <r>
    <x v="170"/>
    <n v="13915"/>
    <s v="Sales - Director"/>
    <x v="4"/>
    <s v="Director"/>
    <n v="712"/>
    <n v="2"/>
    <x v="7"/>
    <d v="1980-06-20T00:00:00"/>
    <n v="532527"/>
    <x v="0"/>
    <n v="1980"/>
    <n v="2"/>
    <n v="46"/>
    <x v="0"/>
    <x v="1"/>
  </r>
  <r>
    <x v="112"/>
    <n v="86610"/>
    <s v="Sales - Manager"/>
    <x v="4"/>
    <s v="Manager"/>
    <n v="727"/>
    <n v="3"/>
    <x v="2"/>
    <d v="1987-11-22T00:00:00"/>
    <n v="828115"/>
    <x v="0"/>
    <n v="1987"/>
    <n v="2"/>
    <n v="39"/>
    <x v="0"/>
    <x v="1"/>
  </r>
  <r>
    <x v="171"/>
    <n v="57481"/>
    <s v="Marketing - Executive"/>
    <x v="0"/>
    <s v="Executive"/>
    <n v="798"/>
    <n v="2"/>
    <x v="0"/>
    <d v="1983-04-06T00:00:00"/>
    <n v="964222"/>
    <x v="1"/>
    <n v="1983"/>
    <n v="9"/>
    <n v="43"/>
    <x v="1"/>
    <x v="0"/>
  </r>
  <r>
    <x v="172"/>
    <n v="78269"/>
    <s v="Finance - Executive"/>
    <x v="5"/>
    <s v="Executive"/>
    <n v="728"/>
    <n v="5"/>
    <x v="3"/>
    <d v="1981-06-30T00:00:00"/>
    <n v="626846"/>
    <x v="2"/>
    <n v="1981"/>
    <n v="8"/>
    <n v="45"/>
    <x v="0"/>
    <x v="0"/>
  </r>
  <r>
    <x v="173"/>
    <n v="18296"/>
    <s v="Marketing - Executive"/>
    <x v="0"/>
    <s v="Executive"/>
    <n v="706"/>
    <n v="5"/>
    <x v="2"/>
    <d v="1987-07-25T00:00:00"/>
    <n v="689432"/>
    <x v="1"/>
    <n v="1987"/>
    <n v="1"/>
    <n v="39"/>
    <x v="0"/>
    <x v="1"/>
  </r>
  <r>
    <x v="165"/>
    <n v="10540"/>
    <s v="Finance - Executive"/>
    <x v="5"/>
    <s v="Executive"/>
    <n v="792"/>
    <n v="1"/>
    <x v="4"/>
    <d v="1983-11-15T00:00:00"/>
    <n v="845416"/>
    <x v="2"/>
    <n v="1983"/>
    <n v="6"/>
    <n v="43"/>
    <x v="1"/>
    <x v="2"/>
  </r>
  <r>
    <x v="151"/>
    <n v="12777"/>
    <s v="Growth - Intern"/>
    <x v="2"/>
    <s v="Intern"/>
    <n v="785"/>
    <n v="2"/>
    <x v="4"/>
    <d v="1990-04-26T00:00:00"/>
    <n v="629797"/>
    <x v="0"/>
    <n v="1990"/>
    <n v="11"/>
    <n v="36"/>
    <x v="1"/>
    <x v="2"/>
  </r>
  <r>
    <x v="88"/>
    <n v="38488"/>
    <s v="Strategy - Manager"/>
    <x v="3"/>
    <s v="Manager"/>
    <n v="733"/>
    <n v="5"/>
    <x v="8"/>
    <d v="1993-10-21T00:00:00"/>
    <n v="649924"/>
    <x v="1"/>
    <n v="1993"/>
    <n v="9"/>
    <n v="33"/>
    <x v="0"/>
    <x v="1"/>
  </r>
  <r>
    <x v="151"/>
    <n v="96429"/>
    <s v="Strategy - Director"/>
    <x v="3"/>
    <s v="Director"/>
    <n v="800"/>
    <n v="4"/>
    <x v="1"/>
    <d v="1989-03-26T00:00:00"/>
    <n v="604205"/>
    <x v="2"/>
    <n v="1989"/>
    <n v="11"/>
    <n v="37"/>
    <x v="1"/>
    <x v="1"/>
  </r>
  <r>
    <x v="174"/>
    <n v="62361"/>
    <s v="Finance - Manager"/>
    <x v="5"/>
    <s v="Manager"/>
    <n v="732"/>
    <n v="2"/>
    <x v="0"/>
    <d v="1986-05-20T00:00:00"/>
    <n v="558654"/>
    <x v="2"/>
    <n v="1986"/>
    <n v="6"/>
    <n v="40"/>
    <x v="0"/>
    <x v="0"/>
  </r>
  <r>
    <x v="175"/>
    <n v="58389"/>
    <s v="Finance - Manager"/>
    <x v="5"/>
    <s v="Manager"/>
    <n v="734"/>
    <n v="1"/>
    <x v="7"/>
    <d v="1981-01-08T00:00:00"/>
    <n v="694705"/>
    <x v="2"/>
    <n v="1981"/>
    <n v="8"/>
    <n v="45"/>
    <x v="0"/>
    <x v="1"/>
  </r>
  <r>
    <x v="176"/>
    <n v="18563"/>
    <s v="Finance - Executive"/>
    <x v="5"/>
    <s v="Executive"/>
    <n v="730"/>
    <n v="2"/>
    <x v="1"/>
    <d v="1987-08-27T00:00:00"/>
    <n v="566400"/>
    <x v="2"/>
    <n v="1987"/>
    <n v="8"/>
    <n v="39"/>
    <x v="0"/>
    <x v="1"/>
  </r>
  <r>
    <x v="153"/>
    <n v="27941"/>
    <s v="Strategy - Manager"/>
    <x v="3"/>
    <s v="Manager"/>
    <n v="729"/>
    <n v="1"/>
    <x v="4"/>
    <d v="1983-02-07T00:00:00"/>
    <n v="566128"/>
    <x v="1"/>
    <n v="1983"/>
    <n v="1"/>
    <n v="43"/>
    <x v="0"/>
    <x v="0"/>
  </r>
  <r>
    <x v="177"/>
    <n v="18719"/>
    <s v="Operation - Director"/>
    <x v="1"/>
    <s v="Director"/>
    <n v="798"/>
    <n v="5"/>
    <x v="5"/>
    <d v="1986-05-12T00:00:00"/>
    <n v="663937"/>
    <x v="0"/>
    <n v="1986"/>
    <n v="10"/>
    <n v="40"/>
    <x v="1"/>
    <x v="2"/>
  </r>
  <r>
    <x v="178"/>
    <n v="66252"/>
    <s v="Strategy - Director"/>
    <x v="3"/>
    <s v="Director"/>
    <n v="720"/>
    <n v="2"/>
    <x v="5"/>
    <d v="1982-06-26T00:00:00"/>
    <n v="998053"/>
    <x v="1"/>
    <n v="1982"/>
    <n v="2"/>
    <n v="44"/>
    <x v="0"/>
    <x v="0"/>
  </r>
  <r>
    <x v="78"/>
    <n v="31301"/>
    <s v="Sales - Manager"/>
    <x v="4"/>
    <s v="Manager"/>
    <n v="733"/>
    <n v="1"/>
    <x v="8"/>
    <d v="1993-05-24T00:00:00"/>
    <n v="708004"/>
    <x v="1"/>
    <n v="1993"/>
    <n v="7"/>
    <n v="33"/>
    <x v="0"/>
    <x v="1"/>
  </r>
  <r>
    <x v="179"/>
    <n v="45985"/>
    <s v="Sales - Intern"/>
    <x v="4"/>
    <s v="Intern"/>
    <n v="727"/>
    <n v="3"/>
    <x v="4"/>
    <d v="1990-06-29T00:00:00"/>
    <n v="878224"/>
    <x v="1"/>
    <n v="1990"/>
    <n v="1"/>
    <n v="36"/>
    <x v="0"/>
    <x v="0"/>
  </r>
  <r>
    <x v="121"/>
    <n v="73036"/>
    <s v="Finance - Director"/>
    <x v="5"/>
    <s v="Director"/>
    <n v="756"/>
    <n v="1"/>
    <x v="6"/>
    <d v="1985-10-26T00:00:00"/>
    <n v="522993"/>
    <x v="1"/>
    <n v="1985"/>
    <n v="6"/>
    <n v="41"/>
    <x v="1"/>
    <x v="0"/>
  </r>
  <r>
    <x v="54"/>
    <n v="87856"/>
    <s v="Finance - Director"/>
    <x v="5"/>
    <s v="Director"/>
    <n v="709"/>
    <n v="1"/>
    <x v="8"/>
    <d v="1994-03-12T00:00:00"/>
    <n v="976648"/>
    <x v="2"/>
    <n v="1994"/>
    <n v="3"/>
    <n v="32"/>
    <x v="0"/>
    <x v="1"/>
  </r>
  <r>
    <x v="180"/>
    <n v="13688"/>
    <s v="Growth - Director"/>
    <x v="2"/>
    <s v="Director"/>
    <n v="781"/>
    <n v="4"/>
    <x v="1"/>
    <d v="1988-06-20T00:00:00"/>
    <n v="711385"/>
    <x v="2"/>
    <n v="1988"/>
    <n v="9"/>
    <n v="38"/>
    <x v="1"/>
    <x v="1"/>
  </r>
  <r>
    <x v="158"/>
    <n v="59416"/>
    <s v="Sales - Intern"/>
    <x v="4"/>
    <s v="Intern"/>
    <n v="735"/>
    <n v="1"/>
    <x v="2"/>
    <d v="1988-08-21T00:00:00"/>
    <n v="893259"/>
    <x v="1"/>
    <n v="1988"/>
    <n v="8"/>
    <n v="38"/>
    <x v="0"/>
    <x v="1"/>
  </r>
  <r>
    <x v="103"/>
    <n v="17176"/>
    <s v="Marketing - Intern"/>
    <x v="0"/>
    <s v="Intern"/>
    <n v="774"/>
    <n v="1"/>
    <x v="6"/>
    <d v="1984-01-03T00:00:00"/>
    <n v="700475"/>
    <x v="0"/>
    <n v="1984"/>
    <n v="4"/>
    <n v="42"/>
    <x v="1"/>
    <x v="0"/>
  </r>
  <r>
    <x v="37"/>
    <n v="48314"/>
    <s v="Marketing - Manager"/>
    <x v="0"/>
    <s v="Manager"/>
    <n v="741"/>
    <n v="2"/>
    <x v="0"/>
    <d v="1989-08-09T00:00:00"/>
    <n v="975582"/>
    <x v="1"/>
    <n v="1989"/>
    <n v="11"/>
    <n v="37"/>
    <x v="0"/>
    <x v="0"/>
  </r>
  <r>
    <x v="181"/>
    <n v="40553"/>
    <s v="Growth - Director"/>
    <x v="2"/>
    <s v="Director"/>
    <n v="714"/>
    <n v="1"/>
    <x v="2"/>
    <d v="1993-04-05T00:00:00"/>
    <n v="666637"/>
    <x v="2"/>
    <n v="1993"/>
    <n v="10"/>
    <n v="33"/>
    <x v="0"/>
    <x v="1"/>
  </r>
  <r>
    <x v="182"/>
    <n v="92451"/>
    <s v="Growth - Director"/>
    <x v="2"/>
    <s v="Director"/>
    <n v="724"/>
    <n v="1"/>
    <x v="8"/>
    <d v="1987-08-18T00:00:00"/>
    <n v="984971"/>
    <x v="0"/>
    <n v="1987"/>
    <n v="7"/>
    <n v="39"/>
    <x v="0"/>
    <x v="1"/>
  </r>
  <r>
    <x v="183"/>
    <n v="93809"/>
    <s v="Strategy - Director"/>
    <x v="3"/>
    <s v="Director"/>
    <n v="756"/>
    <n v="5"/>
    <x v="4"/>
    <d v="1990-01-11T00:00:00"/>
    <n v="717282"/>
    <x v="0"/>
    <n v="1990"/>
    <n v="11"/>
    <n v="36"/>
    <x v="1"/>
    <x v="2"/>
  </r>
  <r>
    <x v="184"/>
    <n v="96468"/>
    <s v="Sales - Manager"/>
    <x v="4"/>
    <s v="Manager"/>
    <n v="795"/>
    <n v="5"/>
    <x v="9"/>
    <d v="1994-01-08T00:00:00"/>
    <n v="738818"/>
    <x v="2"/>
    <n v="1994"/>
    <n v="5"/>
    <n v="32"/>
    <x v="1"/>
    <x v="1"/>
  </r>
  <r>
    <x v="109"/>
    <n v="94057"/>
    <s v="Growth - Director"/>
    <x v="2"/>
    <s v="Director"/>
    <n v="700"/>
    <n v="3"/>
    <x v="4"/>
    <d v="1989-11-20T00:00:00"/>
    <n v="868936"/>
    <x v="1"/>
    <n v="1989"/>
    <n v="11"/>
    <n v="37"/>
    <x v="0"/>
    <x v="0"/>
  </r>
  <r>
    <x v="33"/>
    <n v="82883"/>
    <s v="Sales - Executive"/>
    <x v="4"/>
    <s v="Executive"/>
    <n v="770"/>
    <n v="4"/>
    <x v="4"/>
    <d v="1991-08-20T00:00:00"/>
    <n v="604217"/>
    <x v="1"/>
    <n v="1991"/>
    <n v="1"/>
    <n v="35"/>
    <x v="1"/>
    <x v="2"/>
  </r>
  <r>
    <x v="51"/>
    <n v="66160"/>
    <s v="Marketing - Director"/>
    <x v="0"/>
    <s v="Director"/>
    <n v="752"/>
    <n v="4"/>
    <x v="1"/>
    <d v="1980-12-17T00:00:00"/>
    <n v="911874"/>
    <x v="2"/>
    <n v="1980"/>
    <n v="2"/>
    <n v="46"/>
    <x v="1"/>
    <x v="1"/>
  </r>
  <r>
    <x v="185"/>
    <n v="42358"/>
    <s v="Strategy - Executive"/>
    <x v="3"/>
    <s v="Executive"/>
    <n v="709"/>
    <n v="5"/>
    <x v="9"/>
    <d v="1985-10-25T00:00:00"/>
    <n v="909738"/>
    <x v="0"/>
    <n v="1985"/>
    <n v="1"/>
    <n v="41"/>
    <x v="0"/>
    <x v="1"/>
  </r>
  <r>
    <x v="27"/>
    <n v="29159"/>
    <s v="Finance - Director"/>
    <x v="5"/>
    <s v="Director"/>
    <n v="726"/>
    <n v="3"/>
    <x v="0"/>
    <d v="1985-11-24T00:00:00"/>
    <n v="519569"/>
    <x v="1"/>
    <n v="1985"/>
    <n v="1"/>
    <n v="41"/>
    <x v="0"/>
    <x v="0"/>
  </r>
  <r>
    <x v="186"/>
    <n v="69415"/>
    <s v="Sales - Intern"/>
    <x v="4"/>
    <s v="Intern"/>
    <n v="733"/>
    <n v="1"/>
    <x v="2"/>
    <d v="1983-07-17T00:00:00"/>
    <n v="999312"/>
    <x v="1"/>
    <n v="1983"/>
    <n v="8"/>
    <n v="43"/>
    <x v="0"/>
    <x v="1"/>
  </r>
  <r>
    <x v="179"/>
    <n v="44131"/>
    <s v="Finance - Director"/>
    <x v="5"/>
    <s v="Director"/>
    <n v="740"/>
    <n v="4"/>
    <x v="1"/>
    <d v="1981-01-10T00:00:00"/>
    <n v="562764"/>
    <x v="2"/>
    <n v="1981"/>
    <n v="1"/>
    <n v="45"/>
    <x v="0"/>
    <x v="1"/>
  </r>
  <r>
    <x v="100"/>
    <n v="77836"/>
    <s v="Growth - Manager"/>
    <x v="2"/>
    <s v="Manager"/>
    <n v="709"/>
    <n v="2"/>
    <x v="6"/>
    <d v="1985-02-23T00:00:00"/>
    <n v="534712"/>
    <x v="0"/>
    <n v="1985"/>
    <n v="10"/>
    <n v="41"/>
    <x v="0"/>
    <x v="0"/>
  </r>
  <r>
    <x v="109"/>
    <n v="96059"/>
    <s v="Growth - Director"/>
    <x v="2"/>
    <s v="Director"/>
    <n v="710"/>
    <n v="2"/>
    <x v="2"/>
    <d v="1994-12-27T00:00:00"/>
    <n v="694056"/>
    <x v="1"/>
    <n v="1994"/>
    <n v="11"/>
    <n v="32"/>
    <x v="0"/>
    <x v="1"/>
  </r>
  <r>
    <x v="101"/>
    <n v="34538"/>
    <s v="Sales - Director"/>
    <x v="4"/>
    <s v="Director"/>
    <n v="765"/>
    <n v="2"/>
    <x v="6"/>
    <d v="1985-11-01T00:00:00"/>
    <n v="903357"/>
    <x v="0"/>
    <n v="1985"/>
    <n v="2"/>
    <n v="41"/>
    <x v="1"/>
    <x v="0"/>
  </r>
  <r>
    <x v="187"/>
    <n v="92135"/>
    <s v="Growth - Manager"/>
    <x v="2"/>
    <s v="Manager"/>
    <n v="756"/>
    <n v="5"/>
    <x v="7"/>
    <d v="1994-05-23T00:00:00"/>
    <n v="832938"/>
    <x v="2"/>
    <n v="1994"/>
    <n v="12"/>
    <n v="32"/>
    <x v="1"/>
    <x v="1"/>
  </r>
  <r>
    <x v="188"/>
    <n v="15317"/>
    <s v="Marketing - Executive"/>
    <x v="0"/>
    <s v="Executive"/>
    <n v="759"/>
    <n v="1"/>
    <x v="7"/>
    <d v="1989-12-03T00:00:00"/>
    <n v="662493"/>
    <x v="2"/>
    <n v="1989"/>
    <n v="3"/>
    <n v="37"/>
    <x v="1"/>
    <x v="1"/>
  </r>
  <r>
    <x v="151"/>
    <n v="89382"/>
    <s v="Operation - Manager"/>
    <x v="1"/>
    <s v="Manager"/>
    <n v="747"/>
    <n v="2"/>
    <x v="3"/>
    <d v="1983-03-18T00:00:00"/>
    <n v="971686"/>
    <x v="1"/>
    <n v="1983"/>
    <n v="11"/>
    <n v="43"/>
    <x v="0"/>
    <x v="0"/>
  </r>
  <r>
    <x v="153"/>
    <n v="84716"/>
    <s v="Marketing - Manager"/>
    <x v="0"/>
    <s v="Manager"/>
    <n v="731"/>
    <n v="1"/>
    <x v="9"/>
    <d v="1991-06-20T00:00:00"/>
    <n v="747191"/>
    <x v="1"/>
    <n v="1991"/>
    <n v="1"/>
    <n v="35"/>
    <x v="0"/>
    <x v="1"/>
  </r>
  <r>
    <x v="189"/>
    <n v="79316"/>
    <s v="Strategy - Executive"/>
    <x v="3"/>
    <s v="Executive"/>
    <n v="731"/>
    <n v="2"/>
    <x v="8"/>
    <d v="1989-08-30T00:00:00"/>
    <n v="739629"/>
    <x v="0"/>
    <n v="1989"/>
    <n v="12"/>
    <n v="37"/>
    <x v="0"/>
    <x v="1"/>
  </r>
  <r>
    <x v="131"/>
    <n v="23154"/>
    <s v="Marketing - Director"/>
    <x v="0"/>
    <s v="Director"/>
    <n v="781"/>
    <n v="5"/>
    <x v="5"/>
    <d v="1989-09-17T00:00:00"/>
    <n v="578137"/>
    <x v="1"/>
    <n v="1989"/>
    <n v="3"/>
    <n v="37"/>
    <x v="1"/>
    <x v="2"/>
  </r>
  <r>
    <x v="45"/>
    <n v="64093"/>
    <s v="Marketing - Executive"/>
    <x v="0"/>
    <s v="Executive"/>
    <n v="731"/>
    <n v="5"/>
    <x v="9"/>
    <d v="1993-07-29T00:00:00"/>
    <n v="829772"/>
    <x v="1"/>
    <n v="1993"/>
    <n v="4"/>
    <n v="33"/>
    <x v="0"/>
    <x v="1"/>
  </r>
  <r>
    <x v="101"/>
    <n v="79339"/>
    <s v="Finance - Intern"/>
    <x v="5"/>
    <s v="Intern"/>
    <n v="733"/>
    <n v="3"/>
    <x v="9"/>
    <d v="1984-06-02T00:00:00"/>
    <n v="863737"/>
    <x v="2"/>
    <n v="1984"/>
    <n v="2"/>
    <n v="42"/>
    <x v="0"/>
    <x v="1"/>
  </r>
  <r>
    <x v="190"/>
    <n v="87135"/>
    <s v="Finance - Executive"/>
    <x v="5"/>
    <s v="Executive"/>
    <n v="750"/>
    <n v="2"/>
    <x v="9"/>
    <d v="1991-01-26T00:00:00"/>
    <n v="970202"/>
    <x v="2"/>
    <n v="1991"/>
    <n v="8"/>
    <n v="35"/>
    <x v="1"/>
    <x v="1"/>
  </r>
  <r>
    <x v="188"/>
    <n v="77077"/>
    <s v="Sales - Executive"/>
    <x v="4"/>
    <s v="Executive"/>
    <n v="703"/>
    <n v="1"/>
    <x v="4"/>
    <d v="1984-07-17T00:00:00"/>
    <n v="645814"/>
    <x v="0"/>
    <n v="1984"/>
    <n v="3"/>
    <n v="42"/>
    <x v="0"/>
    <x v="0"/>
  </r>
  <r>
    <x v="58"/>
    <n v="44930"/>
    <s v="Marketing - Executive"/>
    <x v="0"/>
    <s v="Executive"/>
    <n v="791"/>
    <n v="3"/>
    <x v="8"/>
    <d v="1981-09-18T00:00:00"/>
    <n v="537339"/>
    <x v="0"/>
    <n v="1981"/>
    <n v="6"/>
    <n v="45"/>
    <x v="1"/>
    <x v="1"/>
  </r>
  <r>
    <x v="28"/>
    <n v="47921"/>
    <s v="Growth - Executive"/>
    <x v="2"/>
    <s v="Executive"/>
    <n v="746"/>
    <n v="1"/>
    <x v="6"/>
    <d v="1988-05-23T00:00:00"/>
    <n v="787731"/>
    <x v="1"/>
    <n v="1988"/>
    <n v="10"/>
    <n v="38"/>
    <x v="0"/>
    <x v="0"/>
  </r>
  <r>
    <x v="191"/>
    <n v="56375"/>
    <s v="Growth - Director"/>
    <x v="2"/>
    <s v="Director"/>
    <n v="780"/>
    <n v="5"/>
    <x v="6"/>
    <d v="1984-06-19T00:00:00"/>
    <n v="671383"/>
    <x v="0"/>
    <n v="1984"/>
    <n v="5"/>
    <n v="42"/>
    <x v="1"/>
    <x v="0"/>
  </r>
  <r>
    <x v="7"/>
    <n v="52933"/>
    <s v="Operation - Manager"/>
    <x v="1"/>
    <s v="Manager"/>
    <n v="712"/>
    <n v="3"/>
    <x v="8"/>
    <d v="1992-08-29T00:00:00"/>
    <n v="947863"/>
    <x v="2"/>
    <n v="1992"/>
    <n v="8"/>
    <n v="34"/>
    <x v="0"/>
    <x v="1"/>
  </r>
  <r>
    <x v="7"/>
    <n v="86869"/>
    <s v="Marketing - Director"/>
    <x v="0"/>
    <s v="Director"/>
    <n v="744"/>
    <n v="4"/>
    <x v="6"/>
    <d v="1992-02-13T00:00:00"/>
    <n v="790279"/>
    <x v="2"/>
    <n v="1992"/>
    <n v="8"/>
    <n v="34"/>
    <x v="0"/>
    <x v="0"/>
  </r>
  <r>
    <x v="45"/>
    <n v="66099"/>
    <s v="Sales - Executive"/>
    <x v="4"/>
    <s v="Executive"/>
    <n v="785"/>
    <n v="4"/>
    <x v="4"/>
    <d v="1985-05-30T00:00:00"/>
    <n v="910895"/>
    <x v="1"/>
    <n v="1985"/>
    <n v="4"/>
    <n v="41"/>
    <x v="1"/>
    <x v="2"/>
  </r>
  <r>
    <x v="155"/>
    <n v="86024"/>
    <s v="Operation - Manager"/>
    <x v="1"/>
    <s v="Manager"/>
    <n v="715"/>
    <n v="3"/>
    <x v="1"/>
    <d v="1982-09-23T00:00:00"/>
    <n v="866832"/>
    <x v="1"/>
    <n v="1982"/>
    <n v="12"/>
    <n v="44"/>
    <x v="0"/>
    <x v="1"/>
  </r>
  <r>
    <x v="88"/>
    <n v="53822"/>
    <s v="Growth - Intern"/>
    <x v="2"/>
    <s v="Intern"/>
    <n v="743"/>
    <n v="1"/>
    <x v="8"/>
    <d v="1994-03-19T00:00:00"/>
    <n v="836120"/>
    <x v="1"/>
    <n v="1994"/>
    <n v="9"/>
    <n v="32"/>
    <x v="0"/>
    <x v="1"/>
  </r>
  <r>
    <x v="118"/>
    <n v="36599"/>
    <s v="Growth - Intern"/>
    <x v="2"/>
    <s v="Intern"/>
    <n v="724"/>
    <n v="1"/>
    <x v="5"/>
    <d v="1981-05-23T00:00:00"/>
    <n v="730249"/>
    <x v="2"/>
    <n v="1981"/>
    <n v="9"/>
    <n v="45"/>
    <x v="0"/>
    <x v="0"/>
  </r>
  <r>
    <x v="192"/>
    <n v="34987"/>
    <s v="Sales - Intern"/>
    <x v="4"/>
    <s v="Intern"/>
    <n v="741"/>
    <n v="2"/>
    <x v="9"/>
    <d v="1989-06-14T00:00:00"/>
    <n v="730232"/>
    <x v="2"/>
    <n v="1989"/>
    <n v="4"/>
    <n v="37"/>
    <x v="0"/>
    <x v="1"/>
  </r>
  <r>
    <x v="193"/>
    <n v="23301"/>
    <s v="Growth - Director"/>
    <x v="2"/>
    <s v="Director"/>
    <n v="787"/>
    <n v="3"/>
    <x v="2"/>
    <d v="1987-05-23T00:00:00"/>
    <n v="692055"/>
    <x v="2"/>
    <n v="1987"/>
    <n v="8"/>
    <n v="39"/>
    <x v="1"/>
    <x v="1"/>
  </r>
  <r>
    <x v="142"/>
    <n v="59671"/>
    <s v="Sales - Director"/>
    <x v="4"/>
    <s v="Director"/>
    <n v="783"/>
    <n v="3"/>
    <x v="6"/>
    <d v="1980-10-27T00:00:00"/>
    <n v="681373"/>
    <x v="0"/>
    <n v="1980"/>
    <n v="5"/>
    <n v="46"/>
    <x v="1"/>
    <x v="0"/>
  </r>
  <r>
    <x v="194"/>
    <n v="35667"/>
    <s v="Strategy - Manager"/>
    <x v="3"/>
    <s v="Manager"/>
    <n v="769"/>
    <n v="1"/>
    <x v="7"/>
    <d v="1991-10-17T00:00:00"/>
    <n v="609953"/>
    <x v="1"/>
    <n v="1991"/>
    <n v="11"/>
    <n v="35"/>
    <x v="1"/>
    <x v="1"/>
  </r>
  <r>
    <x v="195"/>
    <n v="27554"/>
    <s v="Sales - Director"/>
    <x v="4"/>
    <s v="Director"/>
    <n v="762"/>
    <n v="1"/>
    <x v="3"/>
    <d v="1980-06-12T00:00:00"/>
    <n v="849306"/>
    <x v="1"/>
    <n v="1980"/>
    <n v="7"/>
    <n v="46"/>
    <x v="1"/>
    <x v="0"/>
  </r>
  <r>
    <x v="72"/>
    <n v="54403"/>
    <s v="Sales - Manager"/>
    <x v="4"/>
    <s v="Manager"/>
    <n v="756"/>
    <n v="5"/>
    <x v="1"/>
    <d v="1984-01-03T00:00:00"/>
    <n v="960479"/>
    <x v="1"/>
    <n v="1984"/>
    <n v="2"/>
    <n v="42"/>
    <x v="1"/>
    <x v="1"/>
  </r>
  <r>
    <x v="23"/>
    <n v="82494"/>
    <s v="Growth - Executive"/>
    <x v="2"/>
    <s v="Executive"/>
    <n v="793"/>
    <n v="3"/>
    <x v="5"/>
    <d v="1991-10-13T00:00:00"/>
    <n v="817733"/>
    <x v="0"/>
    <n v="1991"/>
    <n v="4"/>
    <n v="35"/>
    <x v="1"/>
    <x v="2"/>
  </r>
  <r>
    <x v="147"/>
    <n v="15362"/>
    <s v="Finance - Manager"/>
    <x v="5"/>
    <s v="Manager"/>
    <n v="725"/>
    <n v="5"/>
    <x v="0"/>
    <d v="1985-11-30T00:00:00"/>
    <n v="904232"/>
    <x v="0"/>
    <n v="1985"/>
    <n v="6"/>
    <n v="41"/>
    <x v="0"/>
    <x v="0"/>
  </r>
  <r>
    <x v="196"/>
    <n v="45967"/>
    <s v="Operation - Director"/>
    <x v="1"/>
    <s v="Director"/>
    <n v="792"/>
    <n v="5"/>
    <x v="0"/>
    <d v="1980-10-06T00:00:00"/>
    <n v="740222"/>
    <x v="1"/>
    <n v="1980"/>
    <n v="7"/>
    <n v="46"/>
    <x v="1"/>
    <x v="0"/>
  </r>
  <r>
    <x v="139"/>
    <n v="33874"/>
    <s v="Growth - Manager"/>
    <x v="2"/>
    <s v="Manager"/>
    <n v="755"/>
    <n v="2"/>
    <x v="5"/>
    <d v="1983-12-12T00:00:00"/>
    <n v="585398"/>
    <x v="1"/>
    <n v="1983"/>
    <n v="7"/>
    <n v="43"/>
    <x v="1"/>
    <x v="2"/>
  </r>
  <r>
    <x v="176"/>
    <n v="85159"/>
    <s v="Finance - Intern"/>
    <x v="5"/>
    <s v="Intern"/>
    <n v="785"/>
    <n v="3"/>
    <x v="3"/>
    <d v="1994-10-14T00:00:00"/>
    <n v="829309"/>
    <x v="1"/>
    <n v="1994"/>
    <n v="8"/>
    <n v="32"/>
    <x v="1"/>
    <x v="0"/>
  </r>
  <r>
    <x v="95"/>
    <n v="62020"/>
    <s v="Finance - Director"/>
    <x v="5"/>
    <s v="Director"/>
    <n v="722"/>
    <n v="3"/>
    <x v="4"/>
    <d v="1989-11-16T00:00:00"/>
    <n v="864737"/>
    <x v="0"/>
    <n v="1989"/>
    <n v="2"/>
    <n v="37"/>
    <x v="0"/>
    <x v="0"/>
  </r>
  <r>
    <x v="176"/>
    <n v="90439"/>
    <s v="Strategy - Manager"/>
    <x v="3"/>
    <s v="Manager"/>
    <n v="765"/>
    <n v="1"/>
    <x v="5"/>
    <d v="1987-03-23T00:00:00"/>
    <n v="598037"/>
    <x v="2"/>
    <n v="1987"/>
    <n v="8"/>
    <n v="39"/>
    <x v="1"/>
    <x v="2"/>
  </r>
  <r>
    <x v="43"/>
    <n v="79432"/>
    <s v="Operation - Executive"/>
    <x v="1"/>
    <s v="Executive"/>
    <n v="719"/>
    <n v="5"/>
    <x v="3"/>
    <d v="1982-09-20T00:00:00"/>
    <n v="891905"/>
    <x v="1"/>
    <n v="1982"/>
    <n v="2"/>
    <n v="44"/>
    <x v="0"/>
    <x v="0"/>
  </r>
  <r>
    <x v="197"/>
    <n v="28144"/>
    <s v="Finance - Director"/>
    <x v="5"/>
    <s v="Director"/>
    <n v="716"/>
    <n v="1"/>
    <x v="3"/>
    <d v="1982-04-27T00:00:00"/>
    <n v="795488"/>
    <x v="0"/>
    <n v="1982"/>
    <n v="1"/>
    <n v="44"/>
    <x v="0"/>
    <x v="0"/>
  </r>
  <r>
    <x v="152"/>
    <n v="49021"/>
    <s v="Finance - Executive"/>
    <x v="5"/>
    <s v="Executive"/>
    <n v="751"/>
    <n v="3"/>
    <x v="6"/>
    <d v="1980-03-21T00:00:00"/>
    <n v="755365"/>
    <x v="0"/>
    <n v="1980"/>
    <n v="10"/>
    <n v="46"/>
    <x v="1"/>
    <x v="0"/>
  </r>
  <r>
    <x v="27"/>
    <n v="82597"/>
    <s v="Marketing - Intern"/>
    <x v="0"/>
    <s v="Intern"/>
    <n v="773"/>
    <n v="2"/>
    <x v="6"/>
    <d v="1993-11-16T00:00:00"/>
    <n v="797216"/>
    <x v="2"/>
    <n v="1993"/>
    <n v="1"/>
    <n v="33"/>
    <x v="1"/>
    <x v="0"/>
  </r>
  <r>
    <x v="198"/>
    <n v="81380"/>
    <s v="Sales - Executive"/>
    <x v="4"/>
    <s v="Executive"/>
    <n v="777"/>
    <n v="2"/>
    <x v="9"/>
    <d v="1980-01-11T00:00:00"/>
    <n v="658555"/>
    <x v="0"/>
    <n v="1980"/>
    <n v="5"/>
    <n v="46"/>
    <x v="1"/>
    <x v="1"/>
  </r>
  <r>
    <x v="199"/>
    <n v="49194"/>
    <s v="Operation - Intern"/>
    <x v="1"/>
    <s v="Intern"/>
    <n v="757"/>
    <n v="2"/>
    <x v="5"/>
    <d v="1985-10-20T00:00:00"/>
    <n v="573303"/>
    <x v="2"/>
    <n v="1985"/>
    <n v="7"/>
    <n v="41"/>
    <x v="1"/>
    <x v="2"/>
  </r>
  <r>
    <x v="200"/>
    <n v="49005"/>
    <s v="Growth - Director"/>
    <x v="2"/>
    <s v="Director"/>
    <n v="755"/>
    <n v="5"/>
    <x v="2"/>
    <d v="1980-06-16T00:00:00"/>
    <n v="763557"/>
    <x v="2"/>
    <n v="1980"/>
    <n v="9"/>
    <n v="46"/>
    <x v="1"/>
    <x v="1"/>
  </r>
  <r>
    <x v="201"/>
    <n v="11954"/>
    <s v="Finance - Executive"/>
    <x v="5"/>
    <s v="Executive"/>
    <n v="732"/>
    <n v="5"/>
    <x v="6"/>
    <d v="1990-04-17T00:00:00"/>
    <n v="511283"/>
    <x v="2"/>
    <n v="1990"/>
    <n v="6"/>
    <n v="36"/>
    <x v="0"/>
    <x v="0"/>
  </r>
  <r>
    <x v="202"/>
    <n v="68852"/>
    <s v="Strategy - Intern"/>
    <x v="3"/>
    <s v="Intern"/>
    <n v="743"/>
    <n v="3"/>
    <x v="5"/>
    <d v="1988-11-08T00:00:00"/>
    <n v="547867"/>
    <x v="2"/>
    <n v="1988"/>
    <n v="3"/>
    <n v="38"/>
    <x v="0"/>
    <x v="0"/>
  </r>
  <r>
    <x v="73"/>
    <n v="28748"/>
    <s v="Marketing - Intern"/>
    <x v="0"/>
    <s v="Intern"/>
    <n v="761"/>
    <n v="3"/>
    <x v="6"/>
    <d v="1994-12-24T00:00:00"/>
    <n v="534236"/>
    <x v="1"/>
    <n v="1994"/>
    <n v="2"/>
    <n v="32"/>
    <x v="1"/>
    <x v="0"/>
  </r>
  <r>
    <x v="203"/>
    <n v="19871"/>
    <s v="Finance - Intern"/>
    <x v="5"/>
    <s v="Intern"/>
    <n v="785"/>
    <n v="1"/>
    <x v="6"/>
    <d v="1990-11-05T00:00:00"/>
    <n v="926218"/>
    <x v="2"/>
    <n v="1990"/>
    <n v="7"/>
    <n v="36"/>
    <x v="1"/>
    <x v="0"/>
  </r>
  <r>
    <x v="204"/>
    <n v="82769"/>
    <s v="Marketing - Executive"/>
    <x v="0"/>
    <s v="Executive"/>
    <n v="772"/>
    <n v="5"/>
    <x v="2"/>
    <d v="1986-12-26T00:00:00"/>
    <n v="996338"/>
    <x v="1"/>
    <n v="1986"/>
    <n v="9"/>
    <n v="40"/>
    <x v="1"/>
    <x v="1"/>
  </r>
  <r>
    <x v="27"/>
    <n v="79925"/>
    <s v="Growth - Executive"/>
    <x v="2"/>
    <s v="Executive"/>
    <n v="731"/>
    <n v="2"/>
    <x v="2"/>
    <d v="1987-05-21T00:00:00"/>
    <n v="816389"/>
    <x v="0"/>
    <n v="1987"/>
    <n v="1"/>
    <n v="39"/>
    <x v="0"/>
    <x v="1"/>
  </r>
  <r>
    <x v="205"/>
    <n v="37382"/>
    <s v="Sales - Executive"/>
    <x v="4"/>
    <s v="Executive"/>
    <n v="720"/>
    <n v="4"/>
    <x v="5"/>
    <d v="1991-03-18T00:00:00"/>
    <n v="610385"/>
    <x v="0"/>
    <n v="1991"/>
    <n v="4"/>
    <n v="35"/>
    <x v="0"/>
    <x v="0"/>
  </r>
  <r>
    <x v="206"/>
    <n v="47339"/>
    <s v="Strategy - Executive"/>
    <x v="3"/>
    <s v="Executive"/>
    <n v="775"/>
    <n v="2"/>
    <x v="5"/>
    <d v="1992-02-15T00:00:00"/>
    <n v="722683"/>
    <x v="1"/>
    <n v="1992"/>
    <n v="10"/>
    <n v="34"/>
    <x v="1"/>
    <x v="2"/>
  </r>
  <r>
    <x v="207"/>
    <n v="12361"/>
    <s v="Finance - Director"/>
    <x v="5"/>
    <s v="Director"/>
    <n v="732"/>
    <n v="3"/>
    <x v="3"/>
    <d v="1993-01-31T00:00:00"/>
    <n v="581560"/>
    <x v="2"/>
    <n v="1993"/>
    <n v="6"/>
    <n v="33"/>
    <x v="0"/>
    <x v="0"/>
  </r>
  <r>
    <x v="191"/>
    <n v="24141"/>
    <s v="Operation - Manager"/>
    <x v="1"/>
    <s v="Manager"/>
    <n v="736"/>
    <n v="4"/>
    <x v="1"/>
    <d v="1991-10-17T00:00:00"/>
    <n v="762395"/>
    <x v="2"/>
    <n v="1991"/>
    <n v="5"/>
    <n v="35"/>
    <x v="0"/>
    <x v="1"/>
  </r>
  <r>
    <x v="99"/>
    <n v="12258"/>
    <s v="Growth - Manager"/>
    <x v="2"/>
    <s v="Manager"/>
    <n v="724"/>
    <n v="4"/>
    <x v="7"/>
    <d v="1994-08-29T00:00:00"/>
    <n v="799069"/>
    <x v="1"/>
    <n v="1994"/>
    <n v="1"/>
    <n v="32"/>
    <x v="0"/>
    <x v="1"/>
  </r>
  <r>
    <x v="10"/>
    <n v="19675"/>
    <s v="Sales - Executive"/>
    <x v="4"/>
    <s v="Executive"/>
    <n v="783"/>
    <n v="4"/>
    <x v="2"/>
    <d v="1989-10-25T00:00:00"/>
    <n v="585265"/>
    <x v="2"/>
    <n v="1989"/>
    <n v="11"/>
    <n v="37"/>
    <x v="1"/>
    <x v="1"/>
  </r>
  <r>
    <x v="208"/>
    <n v="77512"/>
    <s v="Marketing - Director"/>
    <x v="0"/>
    <s v="Director"/>
    <n v="720"/>
    <n v="1"/>
    <x v="3"/>
    <d v="1982-05-17T00:00:00"/>
    <n v="597839"/>
    <x v="2"/>
    <n v="1982"/>
    <n v="8"/>
    <n v="44"/>
    <x v="0"/>
    <x v="0"/>
  </r>
  <r>
    <x v="126"/>
    <n v="27467"/>
    <s v="Sales - Director"/>
    <x v="4"/>
    <s v="Director"/>
    <n v="733"/>
    <n v="5"/>
    <x v="4"/>
    <d v="1990-07-16T00:00:00"/>
    <n v="964664"/>
    <x v="0"/>
    <n v="1990"/>
    <n v="5"/>
    <n v="36"/>
    <x v="0"/>
    <x v="0"/>
  </r>
  <r>
    <x v="8"/>
    <n v="44997"/>
    <s v="Finance - Intern"/>
    <x v="5"/>
    <s v="Intern"/>
    <n v="767"/>
    <n v="4"/>
    <x v="2"/>
    <d v="1992-01-09T00:00:00"/>
    <n v="857804"/>
    <x v="0"/>
    <n v="1992"/>
    <n v="4"/>
    <n v="34"/>
    <x v="1"/>
    <x v="1"/>
  </r>
  <r>
    <x v="66"/>
    <n v="40330"/>
    <s v="Operation - Director"/>
    <x v="1"/>
    <s v="Director"/>
    <n v="739"/>
    <n v="5"/>
    <x v="1"/>
    <d v="1993-08-07T00:00:00"/>
    <n v="631521"/>
    <x v="2"/>
    <n v="1993"/>
    <n v="6"/>
    <n v="33"/>
    <x v="0"/>
    <x v="1"/>
  </r>
  <r>
    <x v="209"/>
    <n v="57871"/>
    <s v="Strategy - Executive"/>
    <x v="3"/>
    <s v="Executive"/>
    <n v="728"/>
    <n v="5"/>
    <x v="1"/>
    <d v="1993-09-14T00:00:00"/>
    <n v="534689"/>
    <x v="2"/>
    <n v="1993"/>
    <n v="10"/>
    <n v="33"/>
    <x v="0"/>
    <x v="1"/>
  </r>
  <r>
    <x v="66"/>
    <n v="86532"/>
    <s v="Sales - Director"/>
    <x v="4"/>
    <s v="Director"/>
    <n v="742"/>
    <n v="2"/>
    <x v="8"/>
    <d v="1990-03-10T00:00:00"/>
    <n v="551344"/>
    <x v="0"/>
    <n v="1990"/>
    <n v="6"/>
    <n v="36"/>
    <x v="0"/>
    <x v="1"/>
  </r>
  <r>
    <x v="210"/>
    <n v="82026"/>
    <s v="Sales - Manager"/>
    <x v="4"/>
    <s v="Manager"/>
    <n v="752"/>
    <n v="1"/>
    <x v="3"/>
    <d v="1984-10-18T00:00:00"/>
    <n v="838633"/>
    <x v="0"/>
    <n v="1984"/>
    <n v="7"/>
    <n v="42"/>
    <x v="1"/>
    <x v="0"/>
  </r>
  <r>
    <x v="2"/>
    <n v="71150"/>
    <s v="Marketing - Director"/>
    <x v="0"/>
    <s v="Director"/>
    <n v="742"/>
    <n v="4"/>
    <x v="3"/>
    <d v="1987-11-01T00:00:00"/>
    <n v="905242"/>
    <x v="0"/>
    <n v="1987"/>
    <n v="9"/>
    <n v="39"/>
    <x v="0"/>
    <x v="0"/>
  </r>
  <r>
    <x v="43"/>
    <n v="55651"/>
    <s v="Marketing - Executive"/>
    <x v="0"/>
    <s v="Executive"/>
    <n v="721"/>
    <n v="5"/>
    <x v="5"/>
    <d v="1981-07-01T00:00:00"/>
    <n v="752313"/>
    <x v="2"/>
    <n v="1981"/>
    <n v="2"/>
    <n v="45"/>
    <x v="0"/>
    <x v="0"/>
  </r>
  <r>
    <x v="113"/>
    <n v="29419"/>
    <s v="Growth - Executive"/>
    <x v="2"/>
    <s v="Executive"/>
    <n v="762"/>
    <n v="5"/>
    <x v="5"/>
    <d v="1987-04-10T00:00:00"/>
    <n v="649484"/>
    <x v="2"/>
    <n v="1987"/>
    <n v="9"/>
    <n v="39"/>
    <x v="1"/>
    <x v="2"/>
  </r>
  <r>
    <x v="211"/>
    <n v="87846"/>
    <s v="Growth - Executive"/>
    <x v="2"/>
    <s v="Executive"/>
    <n v="729"/>
    <n v="1"/>
    <x v="4"/>
    <d v="1986-12-10T00:00:00"/>
    <n v="849580"/>
    <x v="0"/>
    <n v="1986"/>
    <n v="10"/>
    <n v="40"/>
    <x v="0"/>
    <x v="0"/>
  </r>
  <r>
    <x v="212"/>
    <n v="15144"/>
    <s v="Finance - Executive"/>
    <x v="5"/>
    <s v="Executive"/>
    <n v="718"/>
    <n v="5"/>
    <x v="1"/>
    <d v="1986-06-20T00:00:00"/>
    <n v="881938"/>
    <x v="2"/>
    <n v="1986"/>
    <n v="2"/>
    <n v="40"/>
    <x v="0"/>
    <x v="1"/>
  </r>
  <r>
    <x v="195"/>
    <n v="24511"/>
    <s v="Strategy - Intern"/>
    <x v="3"/>
    <s v="Intern"/>
    <n v="800"/>
    <n v="3"/>
    <x v="7"/>
    <d v="1992-04-02T00:00:00"/>
    <n v="578641"/>
    <x v="0"/>
    <n v="1992"/>
    <n v="7"/>
    <n v="34"/>
    <x v="1"/>
    <x v="1"/>
  </r>
  <r>
    <x v="213"/>
    <n v="55987"/>
    <s v="Growth - Intern"/>
    <x v="2"/>
    <s v="Intern"/>
    <n v="707"/>
    <n v="3"/>
    <x v="3"/>
    <d v="1988-11-11T00:00:00"/>
    <n v="516908"/>
    <x v="2"/>
    <n v="1988"/>
    <n v="12"/>
    <n v="38"/>
    <x v="0"/>
    <x v="0"/>
  </r>
  <r>
    <x v="187"/>
    <n v="68095"/>
    <s v="Operation - Intern"/>
    <x v="1"/>
    <s v="Intern"/>
    <n v="789"/>
    <n v="1"/>
    <x v="1"/>
    <d v="1981-11-28T00:00:00"/>
    <n v="600981"/>
    <x v="1"/>
    <n v="1981"/>
    <n v="12"/>
    <n v="45"/>
    <x v="1"/>
    <x v="1"/>
  </r>
  <r>
    <x v="45"/>
    <n v="21296"/>
    <s v="Sales - Intern"/>
    <x v="4"/>
    <s v="Intern"/>
    <n v="776"/>
    <n v="4"/>
    <x v="8"/>
    <d v="1994-03-01T00:00:00"/>
    <n v="558964"/>
    <x v="1"/>
    <n v="1994"/>
    <n v="4"/>
    <n v="32"/>
    <x v="1"/>
    <x v="1"/>
  </r>
  <r>
    <x v="214"/>
    <n v="90928"/>
    <s v="Growth - Manager"/>
    <x v="2"/>
    <s v="Manager"/>
    <n v="732"/>
    <n v="4"/>
    <x v="5"/>
    <d v="1990-04-28T00:00:00"/>
    <n v="554305"/>
    <x v="1"/>
    <n v="1990"/>
    <n v="5"/>
    <n v="36"/>
    <x v="0"/>
    <x v="0"/>
  </r>
  <r>
    <x v="215"/>
    <n v="37262"/>
    <s v="Finance - Manager"/>
    <x v="5"/>
    <s v="Manager"/>
    <n v="724"/>
    <n v="4"/>
    <x v="0"/>
    <d v="1989-01-22T00:00:00"/>
    <n v="937359"/>
    <x v="1"/>
    <n v="1989"/>
    <n v="1"/>
    <n v="37"/>
    <x v="0"/>
    <x v="0"/>
  </r>
  <r>
    <x v="34"/>
    <n v="49542"/>
    <s v="Operation - Manager"/>
    <x v="1"/>
    <s v="Manager"/>
    <n v="769"/>
    <n v="3"/>
    <x v="3"/>
    <d v="1980-10-09T00:00:00"/>
    <n v="953095"/>
    <x v="1"/>
    <n v="1980"/>
    <n v="10"/>
    <n v="46"/>
    <x v="1"/>
    <x v="0"/>
  </r>
  <r>
    <x v="110"/>
    <n v="19460"/>
    <s v="Marketing - Manager"/>
    <x v="0"/>
    <s v="Manager"/>
    <n v="711"/>
    <n v="4"/>
    <x v="6"/>
    <d v="1980-06-06T00:00:00"/>
    <n v="832167"/>
    <x v="0"/>
    <n v="1980"/>
    <n v="6"/>
    <n v="46"/>
    <x v="0"/>
    <x v="0"/>
  </r>
  <r>
    <x v="216"/>
    <n v="71591"/>
    <s v="Growth - Director"/>
    <x v="2"/>
    <s v="Director"/>
    <n v="749"/>
    <n v="3"/>
    <x v="7"/>
    <d v="1983-11-07T00:00:00"/>
    <n v="736748"/>
    <x v="2"/>
    <n v="1983"/>
    <n v="3"/>
    <n v="43"/>
    <x v="0"/>
    <x v="1"/>
  </r>
  <r>
    <x v="4"/>
    <n v="46828"/>
    <s v="Operation - Executive"/>
    <x v="1"/>
    <s v="Executive"/>
    <n v="785"/>
    <n v="1"/>
    <x v="4"/>
    <d v="1991-07-03T00:00:00"/>
    <n v="538085"/>
    <x v="0"/>
    <n v="1991"/>
    <n v="1"/>
    <n v="35"/>
    <x v="1"/>
    <x v="2"/>
  </r>
  <r>
    <x v="217"/>
    <n v="11895"/>
    <s v="Operation - Manager"/>
    <x v="1"/>
    <s v="Manager"/>
    <n v="759"/>
    <n v="3"/>
    <x v="5"/>
    <d v="1986-06-15T00:00:00"/>
    <n v="822716"/>
    <x v="0"/>
    <n v="1986"/>
    <n v="2"/>
    <n v="40"/>
    <x v="1"/>
    <x v="2"/>
  </r>
  <r>
    <x v="27"/>
    <n v="71328"/>
    <s v="Growth - Director"/>
    <x v="2"/>
    <s v="Director"/>
    <n v="708"/>
    <n v="2"/>
    <x v="7"/>
    <d v="1990-03-09T00:00:00"/>
    <n v="763608"/>
    <x v="0"/>
    <n v="1990"/>
    <n v="1"/>
    <n v="36"/>
    <x v="0"/>
    <x v="1"/>
  </r>
  <r>
    <x v="218"/>
    <n v="79650"/>
    <s v="Growth - Director"/>
    <x v="2"/>
    <s v="Director"/>
    <n v="745"/>
    <n v="5"/>
    <x v="3"/>
    <d v="1982-09-18T00:00:00"/>
    <n v="651822"/>
    <x v="2"/>
    <n v="1982"/>
    <n v="3"/>
    <n v="44"/>
    <x v="0"/>
    <x v="0"/>
  </r>
  <r>
    <x v="130"/>
    <n v="38104"/>
    <s v="Operation - Manager"/>
    <x v="1"/>
    <s v="Manager"/>
    <n v="799"/>
    <n v="4"/>
    <x v="4"/>
    <d v="1985-03-11T00:00:00"/>
    <n v="630500"/>
    <x v="1"/>
    <n v="1985"/>
    <n v="5"/>
    <n v="41"/>
    <x v="1"/>
    <x v="2"/>
  </r>
  <r>
    <x v="113"/>
    <n v="54538"/>
    <s v="Marketing - Manager"/>
    <x v="0"/>
    <s v="Manager"/>
    <n v="760"/>
    <n v="1"/>
    <x v="0"/>
    <d v="1980-11-08T00:00:00"/>
    <n v="787402"/>
    <x v="0"/>
    <n v="1980"/>
    <n v="9"/>
    <n v="46"/>
    <x v="1"/>
    <x v="0"/>
  </r>
  <r>
    <x v="219"/>
    <n v="45379"/>
    <s v="Growth - Director"/>
    <x v="2"/>
    <s v="Director"/>
    <n v="760"/>
    <n v="4"/>
    <x v="8"/>
    <d v="1990-10-21T00:00:00"/>
    <n v="978466"/>
    <x v="2"/>
    <n v="1990"/>
    <n v="8"/>
    <n v="36"/>
    <x v="1"/>
    <x v="1"/>
  </r>
  <r>
    <x v="119"/>
    <n v="33385"/>
    <s v="Strategy - Intern"/>
    <x v="3"/>
    <s v="Intern"/>
    <n v="784"/>
    <n v="5"/>
    <x v="3"/>
    <d v="1983-01-22T00:00:00"/>
    <n v="968487"/>
    <x v="1"/>
    <n v="1983"/>
    <n v="4"/>
    <n v="43"/>
    <x v="1"/>
    <x v="0"/>
  </r>
  <r>
    <x v="220"/>
    <n v="60123"/>
    <s v="Finance - Executive"/>
    <x v="5"/>
    <s v="Executive"/>
    <n v="717"/>
    <n v="4"/>
    <x v="5"/>
    <d v="1984-11-08T00:00:00"/>
    <n v="809815"/>
    <x v="2"/>
    <n v="1984"/>
    <n v="4"/>
    <n v="42"/>
    <x v="0"/>
    <x v="0"/>
  </r>
  <r>
    <x v="221"/>
    <n v="21107"/>
    <s v="Sales - Manager"/>
    <x v="4"/>
    <s v="Manager"/>
    <n v="772"/>
    <n v="4"/>
    <x v="3"/>
    <d v="1986-09-15T00:00:00"/>
    <n v="568425"/>
    <x v="2"/>
    <n v="1986"/>
    <n v="6"/>
    <n v="40"/>
    <x v="1"/>
    <x v="0"/>
  </r>
  <r>
    <x v="120"/>
    <n v="11188"/>
    <s v="Marketing - Manager"/>
    <x v="0"/>
    <s v="Manager"/>
    <n v="737"/>
    <n v="3"/>
    <x v="9"/>
    <d v="1985-07-24T00:00:00"/>
    <n v="726186"/>
    <x v="1"/>
    <n v="1985"/>
    <n v="6"/>
    <n v="41"/>
    <x v="0"/>
    <x v="1"/>
  </r>
  <r>
    <x v="222"/>
    <n v="13164"/>
    <s v="Strategy - Manager"/>
    <x v="3"/>
    <s v="Manager"/>
    <n v="786"/>
    <n v="5"/>
    <x v="9"/>
    <d v="1982-11-08T00:00:00"/>
    <n v="634419"/>
    <x v="0"/>
    <n v="1982"/>
    <n v="4"/>
    <n v="44"/>
    <x v="1"/>
    <x v="1"/>
  </r>
  <r>
    <x v="29"/>
    <n v="51995"/>
    <s v="Strategy - Executive"/>
    <x v="3"/>
    <s v="Executive"/>
    <n v="705"/>
    <n v="1"/>
    <x v="1"/>
    <d v="1984-12-29T00:00:00"/>
    <n v="832960"/>
    <x v="2"/>
    <n v="1984"/>
    <n v="5"/>
    <n v="42"/>
    <x v="0"/>
    <x v="1"/>
  </r>
  <r>
    <x v="132"/>
    <n v="30016"/>
    <s v="Growth - Manager"/>
    <x v="2"/>
    <s v="Manager"/>
    <n v="788"/>
    <n v="4"/>
    <x v="8"/>
    <d v="1992-11-02T00:00:00"/>
    <n v="818229"/>
    <x v="1"/>
    <n v="1992"/>
    <n v="7"/>
    <n v="34"/>
    <x v="1"/>
    <x v="1"/>
  </r>
  <r>
    <x v="223"/>
    <n v="28479"/>
    <s v="Growth - Director"/>
    <x v="2"/>
    <s v="Director"/>
    <n v="754"/>
    <n v="2"/>
    <x v="0"/>
    <d v="1984-07-28T00:00:00"/>
    <n v="532656"/>
    <x v="1"/>
    <n v="1984"/>
    <n v="8"/>
    <n v="42"/>
    <x v="1"/>
    <x v="0"/>
  </r>
  <r>
    <x v="71"/>
    <n v="41874"/>
    <s v="Sales - Manager"/>
    <x v="4"/>
    <s v="Manager"/>
    <n v="763"/>
    <n v="5"/>
    <x v="4"/>
    <d v="1980-01-28T00:00:00"/>
    <n v="758974"/>
    <x v="0"/>
    <n v="1980"/>
    <n v="8"/>
    <n v="46"/>
    <x v="1"/>
    <x v="2"/>
  </r>
  <r>
    <x v="224"/>
    <n v="74554"/>
    <s v="Strategy - Executive"/>
    <x v="3"/>
    <s v="Executive"/>
    <n v="789"/>
    <n v="2"/>
    <x v="3"/>
    <d v="1984-08-14T00:00:00"/>
    <n v="810117"/>
    <x v="0"/>
    <n v="1984"/>
    <n v="4"/>
    <n v="42"/>
    <x v="1"/>
    <x v="0"/>
  </r>
  <r>
    <x v="191"/>
    <n v="61483"/>
    <s v="Sales - Manager"/>
    <x v="4"/>
    <s v="Manager"/>
    <n v="780"/>
    <n v="1"/>
    <x v="9"/>
    <d v="1993-03-23T00:00:00"/>
    <n v="559031"/>
    <x v="2"/>
    <n v="1993"/>
    <n v="5"/>
    <n v="33"/>
    <x v="1"/>
    <x v="1"/>
  </r>
  <r>
    <x v="165"/>
    <n v="38125"/>
    <s v="Marketing - Director"/>
    <x v="0"/>
    <s v="Director"/>
    <n v="703"/>
    <n v="1"/>
    <x v="2"/>
    <d v="1993-05-06T00:00:00"/>
    <n v="823279"/>
    <x v="2"/>
    <n v="1993"/>
    <n v="6"/>
    <n v="33"/>
    <x v="0"/>
    <x v="1"/>
  </r>
  <r>
    <x v="165"/>
    <n v="20075"/>
    <s v="Finance - Intern"/>
    <x v="5"/>
    <s v="Intern"/>
    <n v="751"/>
    <n v="1"/>
    <x v="6"/>
    <d v="1989-07-10T00:00:00"/>
    <n v="686408"/>
    <x v="2"/>
    <n v="1989"/>
    <n v="6"/>
    <n v="37"/>
    <x v="1"/>
    <x v="0"/>
  </r>
  <r>
    <x v="225"/>
    <n v="34089"/>
    <s v="Finance - Manager"/>
    <x v="5"/>
    <s v="Manager"/>
    <n v="758"/>
    <n v="1"/>
    <x v="2"/>
    <d v="1989-12-03T00:00:00"/>
    <n v="504344"/>
    <x v="1"/>
    <n v="1989"/>
    <n v="4"/>
    <n v="37"/>
    <x v="1"/>
    <x v="1"/>
  </r>
  <r>
    <x v="68"/>
    <n v="55948"/>
    <s v="Finance - Director"/>
    <x v="5"/>
    <s v="Director"/>
    <n v="769"/>
    <n v="3"/>
    <x v="1"/>
    <d v="1985-10-31T00:00:00"/>
    <n v="723968"/>
    <x v="0"/>
    <n v="1985"/>
    <n v="2"/>
    <n v="41"/>
    <x v="1"/>
    <x v="1"/>
  </r>
  <r>
    <x v="198"/>
    <n v="68637"/>
    <s v="Strategy - Executive"/>
    <x v="3"/>
    <s v="Executive"/>
    <n v="759"/>
    <n v="5"/>
    <x v="3"/>
    <d v="1990-12-28T00:00:00"/>
    <n v="761551"/>
    <x v="1"/>
    <n v="1990"/>
    <n v="5"/>
    <n v="36"/>
    <x v="1"/>
    <x v="0"/>
  </r>
  <r>
    <x v="226"/>
    <n v="77021"/>
    <s v="Strategy - Executive"/>
    <x v="3"/>
    <s v="Executive"/>
    <n v="733"/>
    <n v="4"/>
    <x v="1"/>
    <d v="1991-09-19T00:00:00"/>
    <n v="574112"/>
    <x v="2"/>
    <n v="1991"/>
    <n v="6"/>
    <n v="35"/>
    <x v="0"/>
    <x v="1"/>
  </r>
  <r>
    <x v="227"/>
    <n v="66367"/>
    <s v="Sales - Director"/>
    <x v="4"/>
    <s v="Director"/>
    <n v="704"/>
    <n v="2"/>
    <x v="7"/>
    <d v="1994-09-26T00:00:00"/>
    <n v="583695"/>
    <x v="1"/>
    <n v="1994"/>
    <n v="5"/>
    <n v="32"/>
    <x v="0"/>
    <x v="1"/>
  </r>
  <r>
    <x v="228"/>
    <n v="41344"/>
    <s v="Growth - Manager"/>
    <x v="2"/>
    <s v="Manager"/>
    <n v="744"/>
    <n v="4"/>
    <x v="1"/>
    <d v="1986-07-08T00:00:00"/>
    <n v="538870"/>
    <x v="2"/>
    <n v="1986"/>
    <n v="4"/>
    <n v="40"/>
    <x v="0"/>
    <x v="1"/>
  </r>
  <r>
    <x v="50"/>
    <n v="84420"/>
    <s v="Marketing - Director"/>
    <x v="0"/>
    <s v="Director"/>
    <n v="744"/>
    <n v="4"/>
    <x v="9"/>
    <d v="1994-10-19T00:00:00"/>
    <n v="769396"/>
    <x v="1"/>
    <n v="1994"/>
    <n v="10"/>
    <n v="32"/>
    <x v="0"/>
    <x v="1"/>
  </r>
  <r>
    <x v="229"/>
    <n v="79734"/>
    <s v="Finance - Executive"/>
    <x v="5"/>
    <s v="Executive"/>
    <n v="709"/>
    <n v="1"/>
    <x v="5"/>
    <d v="1980-08-11T00:00:00"/>
    <n v="713594"/>
    <x v="1"/>
    <n v="1980"/>
    <n v="9"/>
    <n v="46"/>
    <x v="0"/>
    <x v="0"/>
  </r>
  <r>
    <x v="141"/>
    <n v="12675"/>
    <s v="Operation - Intern"/>
    <x v="1"/>
    <s v="Intern"/>
    <n v="764"/>
    <n v="5"/>
    <x v="3"/>
    <d v="1987-07-30T00:00:00"/>
    <n v="773457"/>
    <x v="1"/>
    <n v="1987"/>
    <n v="11"/>
    <n v="39"/>
    <x v="1"/>
    <x v="0"/>
  </r>
  <r>
    <x v="179"/>
    <n v="79116"/>
    <s v="Sales - Director"/>
    <x v="4"/>
    <s v="Director"/>
    <n v="766"/>
    <n v="3"/>
    <x v="1"/>
    <d v="1989-07-08T00:00:00"/>
    <n v="856437"/>
    <x v="1"/>
    <n v="1989"/>
    <n v="1"/>
    <n v="37"/>
    <x v="1"/>
    <x v="1"/>
  </r>
  <r>
    <x v="168"/>
    <n v="91297"/>
    <s v="Finance - Manager"/>
    <x v="5"/>
    <s v="Manager"/>
    <n v="792"/>
    <n v="5"/>
    <x v="9"/>
    <d v="1993-03-05T00:00:00"/>
    <n v="729592"/>
    <x v="0"/>
    <n v="1993"/>
    <n v="9"/>
    <n v="33"/>
    <x v="1"/>
    <x v="1"/>
  </r>
  <r>
    <x v="54"/>
    <n v="66835"/>
    <s v="Finance - Manager"/>
    <x v="5"/>
    <s v="Manager"/>
    <n v="721"/>
    <n v="5"/>
    <x v="0"/>
    <d v="1983-12-15T00:00:00"/>
    <n v="702123"/>
    <x v="1"/>
    <n v="1983"/>
    <n v="3"/>
    <n v="43"/>
    <x v="0"/>
    <x v="0"/>
  </r>
  <r>
    <x v="230"/>
    <n v="85147"/>
    <s v="Growth - Executive"/>
    <x v="2"/>
    <s v="Executive"/>
    <n v="798"/>
    <n v="3"/>
    <x v="4"/>
    <d v="1993-10-09T00:00:00"/>
    <n v="623600"/>
    <x v="0"/>
    <n v="1993"/>
    <n v="12"/>
    <n v="33"/>
    <x v="1"/>
    <x v="2"/>
  </r>
  <r>
    <x v="14"/>
    <n v="11262"/>
    <s v="Operation - Manager"/>
    <x v="1"/>
    <s v="Manager"/>
    <n v="734"/>
    <n v="2"/>
    <x v="4"/>
    <d v="1980-07-14T00:00:00"/>
    <n v="982748"/>
    <x v="1"/>
    <n v="1980"/>
    <n v="3"/>
    <n v="46"/>
    <x v="0"/>
    <x v="0"/>
  </r>
  <r>
    <x v="231"/>
    <n v="40889"/>
    <s v="Operation - Manager"/>
    <x v="1"/>
    <s v="Manager"/>
    <n v="749"/>
    <n v="2"/>
    <x v="2"/>
    <d v="1993-04-26T00:00:00"/>
    <n v="615354"/>
    <x v="1"/>
    <n v="1993"/>
    <n v="6"/>
    <n v="33"/>
    <x v="0"/>
    <x v="1"/>
  </r>
  <r>
    <x v="40"/>
    <n v="74690"/>
    <s v="Strategy - Manager"/>
    <x v="3"/>
    <s v="Manager"/>
    <n v="785"/>
    <n v="4"/>
    <x v="2"/>
    <d v="1985-08-31T00:00:00"/>
    <n v="644526"/>
    <x v="0"/>
    <n v="1985"/>
    <n v="8"/>
    <n v="41"/>
    <x v="1"/>
    <x v="1"/>
  </r>
  <r>
    <x v="156"/>
    <n v="26821"/>
    <s v="Sales - Executive"/>
    <x v="4"/>
    <s v="Executive"/>
    <n v="789"/>
    <n v="3"/>
    <x v="8"/>
    <d v="1981-01-30T00:00:00"/>
    <n v="779848"/>
    <x v="1"/>
    <n v="1981"/>
    <n v="10"/>
    <n v="45"/>
    <x v="1"/>
    <x v="1"/>
  </r>
  <r>
    <x v="232"/>
    <n v="51838"/>
    <s v="Marketing - Executive"/>
    <x v="0"/>
    <s v="Executive"/>
    <n v="794"/>
    <n v="1"/>
    <x v="5"/>
    <d v="1992-10-20T00:00:00"/>
    <n v="878956"/>
    <x v="2"/>
    <n v="1992"/>
    <n v="11"/>
    <n v="34"/>
    <x v="1"/>
    <x v="2"/>
  </r>
  <r>
    <x v="108"/>
    <n v="58565"/>
    <s v="Marketing - Executive"/>
    <x v="0"/>
    <s v="Executive"/>
    <n v="754"/>
    <n v="1"/>
    <x v="2"/>
    <d v="1980-07-28T00:00:00"/>
    <n v="961982"/>
    <x v="0"/>
    <n v="1980"/>
    <n v="1"/>
    <n v="46"/>
    <x v="1"/>
    <x v="1"/>
  </r>
  <r>
    <x v="42"/>
    <n v="88271"/>
    <s v="Finance - Intern"/>
    <x v="5"/>
    <s v="Intern"/>
    <n v="725"/>
    <n v="5"/>
    <x v="7"/>
    <d v="1986-11-05T00:00:00"/>
    <n v="915415"/>
    <x v="2"/>
    <n v="1986"/>
    <n v="9"/>
    <n v="40"/>
    <x v="0"/>
    <x v="1"/>
  </r>
  <r>
    <x v="102"/>
    <n v="38437"/>
    <s v="Operation - Director"/>
    <x v="1"/>
    <s v="Director"/>
    <n v="756"/>
    <n v="1"/>
    <x v="3"/>
    <d v="1994-09-03T00:00:00"/>
    <n v="825960"/>
    <x v="2"/>
    <n v="1994"/>
    <n v="1"/>
    <n v="32"/>
    <x v="1"/>
    <x v="0"/>
  </r>
  <r>
    <x v="0"/>
    <n v="91996"/>
    <s v="Operation - Intern"/>
    <x v="1"/>
    <s v="Intern"/>
    <n v="752"/>
    <n v="2"/>
    <x v="8"/>
    <d v="1983-09-10T00:00:00"/>
    <n v="724004"/>
    <x v="2"/>
    <n v="1983"/>
    <n v="8"/>
    <n v="43"/>
    <x v="1"/>
    <x v="1"/>
  </r>
  <r>
    <x v="43"/>
    <n v="91200"/>
    <s v="Finance - Manager"/>
    <x v="5"/>
    <s v="Manager"/>
    <n v="756"/>
    <n v="3"/>
    <x v="8"/>
    <d v="1994-04-01T00:00:00"/>
    <n v="866470"/>
    <x v="0"/>
    <n v="1994"/>
    <n v="2"/>
    <n v="32"/>
    <x v="1"/>
    <x v="1"/>
  </r>
  <r>
    <x v="79"/>
    <n v="10248"/>
    <s v="Growth - Manager"/>
    <x v="2"/>
    <s v="Manager"/>
    <n v="731"/>
    <n v="1"/>
    <x v="6"/>
    <d v="1981-07-30T00:00:00"/>
    <n v="905685"/>
    <x v="0"/>
    <n v="1981"/>
    <n v="4"/>
    <n v="45"/>
    <x v="0"/>
    <x v="0"/>
  </r>
  <r>
    <x v="233"/>
    <n v="66881"/>
    <s v="Marketing - Intern"/>
    <x v="0"/>
    <s v="Intern"/>
    <n v="785"/>
    <n v="3"/>
    <x v="7"/>
    <d v="1993-08-16T00:00:00"/>
    <n v="991743"/>
    <x v="0"/>
    <n v="1993"/>
    <n v="6"/>
    <n v="33"/>
    <x v="1"/>
    <x v="1"/>
  </r>
  <r>
    <x v="128"/>
    <n v="90742"/>
    <s v="Finance - Intern"/>
    <x v="5"/>
    <s v="Intern"/>
    <n v="732"/>
    <n v="4"/>
    <x v="0"/>
    <d v="1981-11-26T00:00:00"/>
    <n v="735308"/>
    <x v="1"/>
    <n v="1981"/>
    <n v="3"/>
    <n v="45"/>
    <x v="0"/>
    <x v="0"/>
  </r>
  <r>
    <x v="36"/>
    <n v="50565"/>
    <s v="Finance - Director"/>
    <x v="5"/>
    <s v="Director"/>
    <n v="752"/>
    <n v="3"/>
    <x v="6"/>
    <d v="1984-03-29T00:00:00"/>
    <n v="762854"/>
    <x v="2"/>
    <n v="1984"/>
    <n v="7"/>
    <n v="42"/>
    <x v="1"/>
    <x v="0"/>
  </r>
  <r>
    <x v="118"/>
    <n v="67471"/>
    <s v="Marketing - Director"/>
    <x v="0"/>
    <s v="Director"/>
    <n v="781"/>
    <n v="3"/>
    <x v="9"/>
    <d v="1991-02-20T00:00:00"/>
    <n v="902279"/>
    <x v="1"/>
    <n v="1991"/>
    <n v="9"/>
    <n v="35"/>
    <x v="1"/>
    <x v="1"/>
  </r>
  <r>
    <x v="231"/>
    <n v="21521"/>
    <s v="Marketing - Executive"/>
    <x v="0"/>
    <s v="Executive"/>
    <n v="773"/>
    <n v="2"/>
    <x v="0"/>
    <d v="1993-08-10T00:00:00"/>
    <n v="988216"/>
    <x v="0"/>
    <n v="1993"/>
    <n v="6"/>
    <n v="33"/>
    <x v="1"/>
    <x v="0"/>
  </r>
  <r>
    <x v="181"/>
    <n v="38749"/>
    <s v="Sales - Manager"/>
    <x v="4"/>
    <s v="Manager"/>
    <n v="753"/>
    <n v="5"/>
    <x v="8"/>
    <d v="1982-11-19T00:00:00"/>
    <n v="817329"/>
    <x v="1"/>
    <n v="1982"/>
    <n v="10"/>
    <n v="44"/>
    <x v="1"/>
    <x v="1"/>
  </r>
  <r>
    <x v="234"/>
    <n v="48754"/>
    <s v="Finance - Intern"/>
    <x v="5"/>
    <s v="Intern"/>
    <n v="744"/>
    <n v="3"/>
    <x v="4"/>
    <d v="1984-07-24T00:00:00"/>
    <n v="833335"/>
    <x v="2"/>
    <n v="1984"/>
    <n v="2"/>
    <n v="42"/>
    <x v="0"/>
    <x v="0"/>
  </r>
  <r>
    <x v="235"/>
    <n v="27621"/>
    <s v="Operation - Intern"/>
    <x v="1"/>
    <s v="Intern"/>
    <n v="777"/>
    <n v="3"/>
    <x v="0"/>
    <d v="1989-10-04T00:00:00"/>
    <n v="729603"/>
    <x v="1"/>
    <n v="1989"/>
    <n v="3"/>
    <n v="37"/>
    <x v="1"/>
    <x v="0"/>
  </r>
  <r>
    <x v="49"/>
    <n v="32301"/>
    <s v="Marketing - Director"/>
    <x v="0"/>
    <s v="Director"/>
    <n v="793"/>
    <n v="2"/>
    <x v="9"/>
    <d v="1985-08-28T00:00:00"/>
    <n v="619071"/>
    <x v="0"/>
    <n v="1985"/>
    <n v="11"/>
    <n v="41"/>
    <x v="1"/>
    <x v="1"/>
  </r>
  <r>
    <x v="236"/>
    <n v="17302"/>
    <s v="Strategy - Intern"/>
    <x v="3"/>
    <s v="Intern"/>
    <n v="702"/>
    <n v="4"/>
    <x v="7"/>
    <d v="1992-05-22T00:00:00"/>
    <n v="508208"/>
    <x v="1"/>
    <n v="1992"/>
    <n v="10"/>
    <n v="34"/>
    <x v="0"/>
    <x v="1"/>
  </r>
  <r>
    <x v="127"/>
    <n v="28539"/>
    <s v="Operation - Intern"/>
    <x v="1"/>
    <s v="Intern"/>
    <n v="744"/>
    <n v="4"/>
    <x v="3"/>
    <d v="1984-04-29T00:00:00"/>
    <n v="699440"/>
    <x v="1"/>
    <n v="1984"/>
    <n v="3"/>
    <n v="42"/>
    <x v="0"/>
    <x v="0"/>
  </r>
  <r>
    <x v="237"/>
    <n v="57914"/>
    <s v="Marketing - Manager"/>
    <x v="0"/>
    <s v="Manager"/>
    <n v="800"/>
    <n v="5"/>
    <x v="9"/>
    <d v="1990-02-15T00:00:00"/>
    <n v="943489"/>
    <x v="0"/>
    <n v="1990"/>
    <n v="9"/>
    <n v="36"/>
    <x v="1"/>
    <x v="1"/>
  </r>
  <r>
    <x v="238"/>
    <n v="77453"/>
    <s v="Operation - Director"/>
    <x v="1"/>
    <s v="Director"/>
    <n v="708"/>
    <n v="4"/>
    <x v="8"/>
    <d v="1990-08-27T00:00:00"/>
    <n v="651534"/>
    <x v="0"/>
    <n v="1990"/>
    <n v="9"/>
    <n v="36"/>
    <x v="0"/>
    <x v="1"/>
  </r>
  <r>
    <x v="239"/>
    <n v="74686"/>
    <s v="Strategy - Manager"/>
    <x v="3"/>
    <s v="Manager"/>
    <n v="737"/>
    <n v="1"/>
    <x v="6"/>
    <d v="1987-12-11T00:00:00"/>
    <n v="559159"/>
    <x v="2"/>
    <n v="1987"/>
    <n v="5"/>
    <n v="39"/>
    <x v="0"/>
    <x v="0"/>
  </r>
  <r>
    <x v="101"/>
    <n v="33657"/>
    <s v="Finance - Executive"/>
    <x v="5"/>
    <s v="Executive"/>
    <n v="768"/>
    <n v="3"/>
    <x v="9"/>
    <d v="1982-01-16T00:00:00"/>
    <n v="833026"/>
    <x v="0"/>
    <n v="1982"/>
    <n v="2"/>
    <n v="44"/>
    <x v="1"/>
    <x v="1"/>
  </r>
  <r>
    <x v="240"/>
    <n v="94818"/>
    <s v="Strategy - Intern"/>
    <x v="3"/>
    <s v="Intern"/>
    <n v="766"/>
    <n v="3"/>
    <x v="3"/>
    <d v="1991-12-02T00:00:00"/>
    <n v="778090"/>
    <x v="1"/>
    <n v="1991"/>
    <n v="5"/>
    <n v="35"/>
    <x v="1"/>
    <x v="0"/>
  </r>
  <r>
    <x v="22"/>
    <n v="33999"/>
    <s v="Growth - Intern"/>
    <x v="2"/>
    <s v="Intern"/>
    <n v="754"/>
    <n v="5"/>
    <x v="3"/>
    <d v="1980-09-17T00:00:00"/>
    <n v="946160"/>
    <x v="0"/>
    <n v="1980"/>
    <n v="7"/>
    <n v="46"/>
    <x v="1"/>
    <x v="0"/>
  </r>
  <r>
    <x v="73"/>
    <n v="64183"/>
    <s v="Strategy - Intern"/>
    <x v="3"/>
    <s v="Intern"/>
    <n v="785"/>
    <n v="3"/>
    <x v="5"/>
    <d v="1989-05-09T00:00:00"/>
    <n v="959078"/>
    <x v="2"/>
    <n v="1989"/>
    <n v="2"/>
    <n v="37"/>
    <x v="1"/>
    <x v="2"/>
  </r>
  <r>
    <x v="241"/>
    <n v="89662"/>
    <s v="Marketing - Director"/>
    <x v="0"/>
    <s v="Director"/>
    <n v="772"/>
    <n v="2"/>
    <x v="4"/>
    <d v="1990-07-12T00:00:00"/>
    <n v="900938"/>
    <x v="2"/>
    <n v="1990"/>
    <n v="11"/>
    <n v="36"/>
    <x v="1"/>
    <x v="2"/>
  </r>
  <r>
    <x v="4"/>
    <n v="20135"/>
    <s v="Marketing - Director"/>
    <x v="0"/>
    <s v="Director"/>
    <n v="781"/>
    <n v="3"/>
    <x v="0"/>
    <d v="1984-02-23T00:00:00"/>
    <n v="580050"/>
    <x v="0"/>
    <n v="1984"/>
    <n v="1"/>
    <n v="42"/>
    <x v="1"/>
    <x v="0"/>
  </r>
  <r>
    <x v="227"/>
    <n v="47134"/>
    <s v="Finance - Executive"/>
    <x v="5"/>
    <s v="Executive"/>
    <n v="713"/>
    <n v="4"/>
    <x v="3"/>
    <d v="1986-10-27T00:00:00"/>
    <n v="849908"/>
    <x v="2"/>
    <n v="1986"/>
    <n v="5"/>
    <n v="40"/>
    <x v="0"/>
    <x v="0"/>
  </r>
  <r>
    <x v="75"/>
    <n v="90432"/>
    <s v="Operation - Manager"/>
    <x v="1"/>
    <s v="Manager"/>
    <n v="769"/>
    <n v="2"/>
    <x v="8"/>
    <d v="1991-01-08T00:00:00"/>
    <n v="623851"/>
    <x v="2"/>
    <n v="1991"/>
    <n v="5"/>
    <n v="35"/>
    <x v="1"/>
    <x v="1"/>
  </r>
  <r>
    <x v="2"/>
    <n v="55903"/>
    <s v="Marketing - Manager"/>
    <x v="0"/>
    <s v="Manager"/>
    <n v="786"/>
    <n v="5"/>
    <x v="1"/>
    <d v="1992-09-27T00:00:00"/>
    <n v="546819"/>
    <x v="1"/>
    <n v="1992"/>
    <n v="9"/>
    <n v="34"/>
    <x v="1"/>
    <x v="1"/>
  </r>
  <r>
    <x v="219"/>
    <n v="50413"/>
    <s v="Strategy - Intern"/>
    <x v="3"/>
    <s v="Intern"/>
    <n v="716"/>
    <n v="4"/>
    <x v="6"/>
    <d v="1986-06-21T00:00:00"/>
    <n v="776448"/>
    <x v="2"/>
    <n v="1986"/>
    <n v="8"/>
    <n v="40"/>
    <x v="0"/>
    <x v="0"/>
  </r>
  <r>
    <x v="202"/>
    <n v="56610"/>
    <s v="Operation - Director"/>
    <x v="1"/>
    <s v="Director"/>
    <n v="777"/>
    <n v="4"/>
    <x v="2"/>
    <d v="1990-06-04T00:00:00"/>
    <n v="947933"/>
    <x v="0"/>
    <n v="1990"/>
    <n v="3"/>
    <n v="36"/>
    <x v="1"/>
    <x v="1"/>
  </r>
  <r>
    <x v="242"/>
    <n v="30871"/>
    <s v="Marketing - Manager"/>
    <x v="0"/>
    <s v="Manager"/>
    <n v="739"/>
    <n v="2"/>
    <x v="0"/>
    <d v="1983-01-25T00:00:00"/>
    <n v="809212"/>
    <x v="0"/>
    <n v="1983"/>
    <n v="11"/>
    <n v="43"/>
    <x v="0"/>
    <x v="0"/>
  </r>
  <r>
    <x v="79"/>
    <n v="79807"/>
    <s v="Finance - Executive"/>
    <x v="5"/>
    <s v="Executive"/>
    <n v="730"/>
    <n v="3"/>
    <x v="3"/>
    <d v="1994-12-16T00:00:00"/>
    <n v="933509"/>
    <x v="1"/>
    <n v="1994"/>
    <n v="4"/>
    <n v="32"/>
    <x v="0"/>
    <x v="0"/>
  </r>
  <r>
    <x v="233"/>
    <n v="42630"/>
    <s v="Sales - Director"/>
    <x v="4"/>
    <s v="Director"/>
    <n v="733"/>
    <n v="1"/>
    <x v="5"/>
    <d v="1987-10-13T00:00:00"/>
    <n v="825057"/>
    <x v="2"/>
    <n v="1987"/>
    <n v="6"/>
    <n v="39"/>
    <x v="0"/>
    <x v="0"/>
  </r>
  <r>
    <x v="96"/>
    <n v="22737"/>
    <s v="Marketing - Executive"/>
    <x v="0"/>
    <s v="Executive"/>
    <n v="754"/>
    <n v="1"/>
    <x v="2"/>
    <d v="1986-01-17T00:00:00"/>
    <n v="842137"/>
    <x v="1"/>
    <n v="1986"/>
    <n v="12"/>
    <n v="40"/>
    <x v="1"/>
    <x v="1"/>
  </r>
  <r>
    <x v="86"/>
    <n v="75329"/>
    <s v="Strategy - Director"/>
    <x v="3"/>
    <s v="Director"/>
    <n v="718"/>
    <n v="4"/>
    <x v="8"/>
    <d v="1987-11-16T00:00:00"/>
    <n v="742707"/>
    <x v="1"/>
    <n v="1987"/>
    <n v="9"/>
    <n v="39"/>
    <x v="0"/>
    <x v="1"/>
  </r>
  <r>
    <x v="74"/>
    <n v="57770"/>
    <s v="Operation - Intern"/>
    <x v="1"/>
    <s v="Intern"/>
    <n v="785"/>
    <n v="3"/>
    <x v="6"/>
    <d v="1991-05-18T00:00:00"/>
    <n v="958957"/>
    <x v="1"/>
    <n v="1991"/>
    <n v="8"/>
    <n v="35"/>
    <x v="1"/>
    <x v="0"/>
  </r>
  <r>
    <x v="243"/>
    <n v="13345"/>
    <s v="Operation - Executive"/>
    <x v="1"/>
    <s v="Executive"/>
    <n v="717"/>
    <n v="1"/>
    <x v="5"/>
    <d v="1985-12-19T00:00:00"/>
    <n v="823067"/>
    <x v="0"/>
    <n v="1985"/>
    <n v="11"/>
    <n v="41"/>
    <x v="0"/>
    <x v="0"/>
  </r>
  <r>
    <x v="200"/>
    <n v="17962"/>
    <s v="Sales - Intern"/>
    <x v="4"/>
    <s v="Intern"/>
    <n v="742"/>
    <n v="2"/>
    <x v="4"/>
    <d v="1988-03-11T00:00:00"/>
    <n v="888310"/>
    <x v="1"/>
    <n v="1988"/>
    <n v="9"/>
    <n v="38"/>
    <x v="0"/>
    <x v="0"/>
  </r>
  <r>
    <x v="221"/>
    <n v="62019"/>
    <s v="Growth - Executive"/>
    <x v="2"/>
    <s v="Executive"/>
    <n v="773"/>
    <n v="2"/>
    <x v="5"/>
    <d v="1990-03-06T00:00:00"/>
    <n v="573482"/>
    <x v="2"/>
    <n v="1990"/>
    <n v="6"/>
    <n v="36"/>
    <x v="1"/>
    <x v="2"/>
  </r>
  <r>
    <x v="231"/>
    <n v="63431"/>
    <s v="Finance - Director"/>
    <x v="5"/>
    <s v="Director"/>
    <n v="794"/>
    <n v="1"/>
    <x v="5"/>
    <d v="1989-03-09T00:00:00"/>
    <n v="868482"/>
    <x v="2"/>
    <n v="1989"/>
    <n v="6"/>
    <n v="37"/>
    <x v="1"/>
    <x v="2"/>
  </r>
  <r>
    <x v="197"/>
    <n v="87231"/>
    <s v="Marketing - Manager"/>
    <x v="0"/>
    <s v="Manager"/>
    <n v="733"/>
    <n v="3"/>
    <x v="5"/>
    <d v="1989-02-17T00:00:00"/>
    <n v="977858"/>
    <x v="2"/>
    <n v="1989"/>
    <n v="1"/>
    <n v="37"/>
    <x v="0"/>
    <x v="0"/>
  </r>
  <r>
    <x v="218"/>
    <n v="20237"/>
    <s v="Operation - Manager"/>
    <x v="1"/>
    <s v="Manager"/>
    <n v="709"/>
    <n v="3"/>
    <x v="8"/>
    <d v="1993-05-30T00:00:00"/>
    <n v="830519"/>
    <x v="2"/>
    <n v="1993"/>
    <n v="3"/>
    <n v="33"/>
    <x v="0"/>
    <x v="1"/>
  </r>
  <r>
    <x v="98"/>
    <n v="27286"/>
    <s v="Marketing - Manager"/>
    <x v="0"/>
    <s v="Manager"/>
    <n v="738"/>
    <n v="1"/>
    <x v="1"/>
    <d v="1990-11-13T00:00:00"/>
    <n v="621502"/>
    <x v="1"/>
    <n v="1990"/>
    <n v="3"/>
    <n v="36"/>
    <x v="0"/>
    <x v="1"/>
  </r>
  <r>
    <x v="27"/>
    <n v="47440"/>
    <s v="Finance - Manager"/>
    <x v="5"/>
    <s v="Manager"/>
    <n v="759"/>
    <n v="3"/>
    <x v="4"/>
    <d v="1983-10-16T00:00:00"/>
    <n v="899239"/>
    <x v="2"/>
    <n v="1983"/>
    <n v="1"/>
    <n v="43"/>
    <x v="1"/>
    <x v="2"/>
  </r>
  <r>
    <x v="244"/>
    <n v="47835"/>
    <s v="Operation - Manager"/>
    <x v="1"/>
    <s v="Manager"/>
    <n v="731"/>
    <n v="4"/>
    <x v="5"/>
    <d v="1980-04-07T00:00:00"/>
    <n v="672073"/>
    <x v="1"/>
    <n v="1980"/>
    <n v="3"/>
    <n v="46"/>
    <x v="0"/>
    <x v="0"/>
  </r>
  <r>
    <x v="24"/>
    <n v="23501"/>
    <s v="Finance - Director"/>
    <x v="5"/>
    <s v="Director"/>
    <n v="704"/>
    <n v="2"/>
    <x v="2"/>
    <d v="1990-05-20T00:00:00"/>
    <n v="783595"/>
    <x v="0"/>
    <n v="1990"/>
    <n v="9"/>
    <n v="36"/>
    <x v="0"/>
    <x v="1"/>
  </r>
  <r>
    <x v="245"/>
    <n v="74406"/>
    <s v="Growth - Executive"/>
    <x v="2"/>
    <s v="Executive"/>
    <n v="791"/>
    <n v="2"/>
    <x v="2"/>
    <d v="1983-12-11T00:00:00"/>
    <n v="696234"/>
    <x v="2"/>
    <n v="1983"/>
    <n v="11"/>
    <n v="43"/>
    <x v="1"/>
    <x v="1"/>
  </r>
  <r>
    <x v="246"/>
    <n v="32850"/>
    <s v="Marketing - Executive"/>
    <x v="0"/>
    <s v="Executive"/>
    <n v="775"/>
    <n v="4"/>
    <x v="7"/>
    <d v="1981-03-30T00:00:00"/>
    <n v="593559"/>
    <x v="2"/>
    <n v="1981"/>
    <n v="8"/>
    <n v="45"/>
    <x v="1"/>
    <x v="1"/>
  </r>
  <r>
    <x v="117"/>
    <n v="81614"/>
    <s v="Sales - Intern"/>
    <x v="4"/>
    <s v="Intern"/>
    <n v="772"/>
    <n v="1"/>
    <x v="0"/>
    <d v="1982-03-08T00:00:00"/>
    <n v="908278"/>
    <x v="1"/>
    <n v="1982"/>
    <n v="6"/>
    <n v="44"/>
    <x v="1"/>
    <x v="0"/>
  </r>
  <r>
    <x v="247"/>
    <n v="87248"/>
    <s v="Marketing - Intern"/>
    <x v="0"/>
    <s v="Intern"/>
    <n v="766"/>
    <n v="4"/>
    <x v="5"/>
    <d v="1991-03-29T00:00:00"/>
    <n v="907757"/>
    <x v="2"/>
    <n v="1991"/>
    <n v="3"/>
    <n v="35"/>
    <x v="1"/>
    <x v="2"/>
  </r>
  <r>
    <x v="35"/>
    <n v="99123"/>
    <s v="Sales - Director"/>
    <x v="4"/>
    <s v="Director"/>
    <n v="756"/>
    <n v="1"/>
    <x v="6"/>
    <d v="1982-07-01T00:00:00"/>
    <n v="681492"/>
    <x v="1"/>
    <n v="1982"/>
    <n v="10"/>
    <n v="44"/>
    <x v="1"/>
    <x v="0"/>
  </r>
  <r>
    <x v="129"/>
    <n v="26238"/>
    <s v="Operation - Manager"/>
    <x v="1"/>
    <s v="Manager"/>
    <n v="718"/>
    <n v="2"/>
    <x v="4"/>
    <d v="1991-08-20T00:00:00"/>
    <n v="614109"/>
    <x v="0"/>
    <n v="1991"/>
    <n v="6"/>
    <n v="35"/>
    <x v="0"/>
    <x v="0"/>
  </r>
  <r>
    <x v="248"/>
    <n v="84986"/>
    <s v="Growth - Intern"/>
    <x v="2"/>
    <s v="Intern"/>
    <n v="723"/>
    <n v="2"/>
    <x v="6"/>
    <d v="1994-07-12T00:00:00"/>
    <n v="909370"/>
    <x v="0"/>
    <n v="1994"/>
    <n v="2"/>
    <n v="32"/>
    <x v="0"/>
    <x v="0"/>
  </r>
  <r>
    <x v="143"/>
    <n v="90759"/>
    <s v="Growth - Executive"/>
    <x v="2"/>
    <s v="Executive"/>
    <n v="710"/>
    <n v="5"/>
    <x v="6"/>
    <d v="1986-04-21T00:00:00"/>
    <n v="669471"/>
    <x v="0"/>
    <n v="1986"/>
    <n v="10"/>
    <n v="40"/>
    <x v="0"/>
    <x v="0"/>
  </r>
  <r>
    <x v="177"/>
    <n v="57440"/>
    <s v="Growth - Intern"/>
    <x v="2"/>
    <s v="Intern"/>
    <n v="743"/>
    <n v="2"/>
    <x v="3"/>
    <d v="1987-05-26T00:00:00"/>
    <n v="758121"/>
    <x v="1"/>
    <n v="1987"/>
    <n v="10"/>
    <n v="39"/>
    <x v="0"/>
    <x v="0"/>
  </r>
  <r>
    <x v="249"/>
    <n v="50601"/>
    <s v="Marketing - Manager"/>
    <x v="0"/>
    <s v="Manager"/>
    <n v="760"/>
    <n v="5"/>
    <x v="6"/>
    <d v="1988-01-02T00:00:00"/>
    <n v="601051"/>
    <x v="0"/>
    <n v="1988"/>
    <n v="7"/>
    <n v="38"/>
    <x v="1"/>
    <x v="0"/>
  </r>
  <r>
    <x v="250"/>
    <n v="99068"/>
    <s v="Finance - Intern"/>
    <x v="5"/>
    <s v="Intern"/>
    <n v="776"/>
    <n v="5"/>
    <x v="4"/>
    <d v="1983-09-29T00:00:00"/>
    <n v="716266"/>
    <x v="2"/>
    <n v="1983"/>
    <n v="5"/>
    <n v="43"/>
    <x v="1"/>
    <x v="2"/>
  </r>
  <r>
    <x v="92"/>
    <n v="35458"/>
    <s v="Sales - Executive"/>
    <x v="4"/>
    <s v="Executive"/>
    <n v="752"/>
    <n v="4"/>
    <x v="6"/>
    <d v="1991-08-01T00:00:00"/>
    <n v="957388"/>
    <x v="1"/>
    <n v="1991"/>
    <n v="5"/>
    <n v="35"/>
    <x v="1"/>
    <x v="0"/>
  </r>
  <r>
    <x v="119"/>
    <n v="95836"/>
    <s v="Strategy - Executive"/>
    <x v="3"/>
    <s v="Executive"/>
    <n v="776"/>
    <n v="4"/>
    <x v="8"/>
    <d v="1993-09-17T00:00:00"/>
    <n v="514244"/>
    <x v="0"/>
    <n v="1993"/>
    <n v="4"/>
    <n v="33"/>
    <x v="1"/>
    <x v="1"/>
  </r>
  <r>
    <x v="186"/>
    <n v="58497"/>
    <s v="Marketing - Director"/>
    <x v="0"/>
    <s v="Director"/>
    <n v="788"/>
    <n v="2"/>
    <x v="6"/>
    <d v="1989-03-12T00:00:00"/>
    <n v="540095"/>
    <x v="2"/>
    <n v="1989"/>
    <n v="8"/>
    <n v="37"/>
    <x v="1"/>
    <x v="0"/>
  </r>
  <r>
    <x v="251"/>
    <n v="40845"/>
    <s v="Operation - Manager"/>
    <x v="1"/>
    <s v="Manager"/>
    <n v="743"/>
    <n v="5"/>
    <x v="6"/>
    <d v="1987-08-24T00:00:00"/>
    <n v="522518"/>
    <x v="0"/>
    <n v="1987"/>
    <n v="1"/>
    <n v="39"/>
    <x v="0"/>
    <x v="0"/>
  </r>
  <r>
    <x v="124"/>
    <n v="21565"/>
    <s v="Growth - Executive"/>
    <x v="2"/>
    <s v="Executive"/>
    <n v="751"/>
    <n v="3"/>
    <x v="5"/>
    <d v="1987-08-10T00:00:00"/>
    <n v="700173"/>
    <x v="0"/>
    <n v="1987"/>
    <n v="10"/>
    <n v="39"/>
    <x v="1"/>
    <x v="2"/>
  </r>
  <r>
    <x v="122"/>
    <n v="76798"/>
    <s v="Marketing - Intern"/>
    <x v="0"/>
    <s v="Intern"/>
    <n v="761"/>
    <n v="1"/>
    <x v="7"/>
    <d v="1992-05-19T00:00:00"/>
    <n v="857894"/>
    <x v="2"/>
    <n v="1992"/>
    <n v="5"/>
    <n v="34"/>
    <x v="1"/>
    <x v="1"/>
  </r>
  <r>
    <x v="89"/>
    <n v="60752"/>
    <s v="Marketing - Intern"/>
    <x v="0"/>
    <s v="Intern"/>
    <n v="726"/>
    <n v="4"/>
    <x v="2"/>
    <d v="1986-03-22T00:00:00"/>
    <n v="720127"/>
    <x v="2"/>
    <n v="1986"/>
    <n v="1"/>
    <n v="40"/>
    <x v="0"/>
    <x v="1"/>
  </r>
  <r>
    <x v="252"/>
    <n v="97302"/>
    <s v="Sales - Intern"/>
    <x v="4"/>
    <s v="Intern"/>
    <n v="700"/>
    <n v="2"/>
    <x v="7"/>
    <d v="1987-04-01T00:00:00"/>
    <n v="944807"/>
    <x v="2"/>
    <n v="1987"/>
    <n v="6"/>
    <n v="39"/>
    <x v="0"/>
    <x v="1"/>
  </r>
  <r>
    <x v="253"/>
    <n v="71364"/>
    <s v="Growth - Manager"/>
    <x v="2"/>
    <s v="Manager"/>
    <n v="788"/>
    <n v="4"/>
    <x v="4"/>
    <d v="1989-05-18T00:00:00"/>
    <n v="909616"/>
    <x v="2"/>
    <n v="1989"/>
    <n v="4"/>
    <n v="37"/>
    <x v="1"/>
    <x v="2"/>
  </r>
  <r>
    <x v="219"/>
    <n v="38430"/>
    <s v="Operation - Director"/>
    <x v="1"/>
    <s v="Director"/>
    <n v="762"/>
    <n v="2"/>
    <x v="3"/>
    <d v="1982-01-26T00:00:00"/>
    <n v="617739"/>
    <x v="1"/>
    <n v="1982"/>
    <n v="8"/>
    <n v="44"/>
    <x v="1"/>
    <x v="0"/>
  </r>
  <r>
    <x v="254"/>
    <n v="47361"/>
    <s v="Growth - Executive"/>
    <x v="2"/>
    <s v="Executive"/>
    <n v="733"/>
    <n v="3"/>
    <x v="0"/>
    <d v="1994-10-28T00:00:00"/>
    <n v="644002"/>
    <x v="0"/>
    <n v="1994"/>
    <n v="2"/>
    <n v="32"/>
    <x v="0"/>
    <x v="0"/>
  </r>
  <r>
    <x v="123"/>
    <n v="24514"/>
    <s v="Sales - Intern"/>
    <x v="4"/>
    <s v="Intern"/>
    <n v="797"/>
    <n v="5"/>
    <x v="0"/>
    <d v="1989-12-02T00:00:00"/>
    <n v="865221"/>
    <x v="2"/>
    <n v="1989"/>
    <n v="3"/>
    <n v="37"/>
    <x v="1"/>
    <x v="0"/>
  </r>
  <r>
    <x v="197"/>
    <n v="58181"/>
    <s v="Marketing - Manager"/>
    <x v="0"/>
    <s v="Manager"/>
    <n v="775"/>
    <n v="1"/>
    <x v="7"/>
    <d v="1985-11-06T00:00:00"/>
    <n v="517907"/>
    <x v="1"/>
    <n v="1985"/>
    <n v="1"/>
    <n v="41"/>
    <x v="1"/>
    <x v="1"/>
  </r>
  <r>
    <x v="240"/>
    <n v="73371"/>
    <s v="Operation - Executive"/>
    <x v="1"/>
    <s v="Executive"/>
    <n v="722"/>
    <n v="2"/>
    <x v="9"/>
    <d v="1988-05-11T00:00:00"/>
    <n v="967821"/>
    <x v="0"/>
    <n v="1988"/>
    <n v="5"/>
    <n v="38"/>
    <x v="0"/>
    <x v="1"/>
  </r>
  <r>
    <x v="232"/>
    <n v="85129"/>
    <s v="Marketing - Executive"/>
    <x v="0"/>
    <s v="Executive"/>
    <n v="725"/>
    <n v="5"/>
    <x v="5"/>
    <d v="1988-08-31T00:00:00"/>
    <n v="865586"/>
    <x v="2"/>
    <n v="1988"/>
    <n v="11"/>
    <n v="38"/>
    <x v="0"/>
    <x v="0"/>
  </r>
  <r>
    <x v="255"/>
    <n v="81228"/>
    <s v="Strategy - Executive"/>
    <x v="3"/>
    <s v="Executive"/>
    <n v="770"/>
    <n v="3"/>
    <x v="8"/>
    <d v="1984-04-28T00:00:00"/>
    <n v="943462"/>
    <x v="2"/>
    <n v="1984"/>
    <n v="3"/>
    <n v="42"/>
    <x v="1"/>
    <x v="1"/>
  </r>
  <r>
    <x v="256"/>
    <n v="93750"/>
    <s v="Operation - Executive"/>
    <x v="1"/>
    <s v="Executive"/>
    <n v="799"/>
    <n v="3"/>
    <x v="1"/>
    <d v="1987-05-17T00:00:00"/>
    <n v="834366"/>
    <x v="0"/>
    <n v="1987"/>
    <n v="6"/>
    <n v="39"/>
    <x v="1"/>
    <x v="1"/>
  </r>
  <r>
    <x v="257"/>
    <n v="57092"/>
    <s v="Strategy - Manager"/>
    <x v="3"/>
    <s v="Manager"/>
    <n v="705"/>
    <n v="1"/>
    <x v="5"/>
    <d v="1985-09-30T00:00:00"/>
    <n v="920468"/>
    <x v="2"/>
    <n v="1985"/>
    <n v="5"/>
    <n v="41"/>
    <x v="0"/>
    <x v="0"/>
  </r>
  <r>
    <x v="258"/>
    <n v="54866"/>
    <s v="Finance - Director"/>
    <x v="5"/>
    <s v="Director"/>
    <n v="719"/>
    <n v="2"/>
    <x v="7"/>
    <d v="1983-08-23T00:00:00"/>
    <n v="928910"/>
    <x v="0"/>
    <n v="1983"/>
    <n v="11"/>
    <n v="43"/>
    <x v="0"/>
    <x v="1"/>
  </r>
  <r>
    <x v="33"/>
    <n v="96247"/>
    <s v="Finance - Manager"/>
    <x v="5"/>
    <s v="Manager"/>
    <n v="788"/>
    <n v="5"/>
    <x v="6"/>
    <d v="1980-06-19T00:00:00"/>
    <n v="831126"/>
    <x v="0"/>
    <n v="1980"/>
    <n v="1"/>
    <n v="46"/>
    <x v="1"/>
    <x v="0"/>
  </r>
  <r>
    <x v="6"/>
    <n v="86568"/>
    <s v="Operation - Executive"/>
    <x v="1"/>
    <s v="Executive"/>
    <n v="799"/>
    <n v="1"/>
    <x v="8"/>
    <d v="1987-10-11T00:00:00"/>
    <n v="954784"/>
    <x v="1"/>
    <n v="1987"/>
    <n v="3"/>
    <n v="39"/>
    <x v="1"/>
    <x v="1"/>
  </r>
  <r>
    <x v="229"/>
    <n v="65077"/>
    <s v="Sales - Intern"/>
    <x v="4"/>
    <s v="Intern"/>
    <n v="743"/>
    <n v="1"/>
    <x v="1"/>
    <d v="1980-05-19T00:00:00"/>
    <n v="943109"/>
    <x v="1"/>
    <n v="1980"/>
    <n v="9"/>
    <n v="46"/>
    <x v="0"/>
    <x v="1"/>
  </r>
  <r>
    <x v="234"/>
    <n v="78229"/>
    <s v="Marketing - Intern"/>
    <x v="0"/>
    <s v="Intern"/>
    <n v="791"/>
    <n v="1"/>
    <x v="8"/>
    <d v="1986-10-31T00:00:00"/>
    <n v="507141"/>
    <x v="0"/>
    <n v="1986"/>
    <n v="2"/>
    <n v="40"/>
    <x v="1"/>
    <x v="1"/>
  </r>
  <r>
    <x v="61"/>
    <n v="95204"/>
    <s v="Operation - Intern"/>
    <x v="1"/>
    <s v="Intern"/>
    <n v="709"/>
    <n v="5"/>
    <x v="9"/>
    <d v="1991-10-24T00:00:00"/>
    <n v="949973"/>
    <x v="2"/>
    <n v="1991"/>
    <n v="4"/>
    <n v="35"/>
    <x v="0"/>
    <x v="1"/>
  </r>
  <r>
    <x v="56"/>
    <n v="53714"/>
    <s v="Marketing - Intern"/>
    <x v="0"/>
    <s v="Intern"/>
    <n v="734"/>
    <n v="3"/>
    <x v="5"/>
    <d v="1993-08-22T00:00:00"/>
    <n v="774595"/>
    <x v="1"/>
    <n v="1993"/>
    <n v="7"/>
    <n v="33"/>
    <x v="0"/>
    <x v="0"/>
  </r>
  <r>
    <x v="259"/>
    <n v="32047"/>
    <s v="Sales - Executive"/>
    <x v="4"/>
    <s v="Executive"/>
    <n v="780"/>
    <n v="2"/>
    <x v="4"/>
    <d v="1992-02-14T00:00:00"/>
    <n v="888740"/>
    <x v="1"/>
    <n v="1992"/>
    <n v="1"/>
    <n v="34"/>
    <x v="1"/>
    <x v="2"/>
  </r>
  <r>
    <x v="255"/>
    <n v="98381"/>
    <s v="Growth - Intern"/>
    <x v="2"/>
    <s v="Intern"/>
    <n v="755"/>
    <n v="3"/>
    <x v="0"/>
    <d v="1993-08-01T00:00:00"/>
    <n v="973913"/>
    <x v="2"/>
    <n v="1993"/>
    <n v="3"/>
    <n v="33"/>
    <x v="1"/>
    <x v="0"/>
  </r>
  <r>
    <x v="136"/>
    <n v="88595"/>
    <s v="Strategy - Manager"/>
    <x v="3"/>
    <s v="Manager"/>
    <n v="784"/>
    <n v="1"/>
    <x v="9"/>
    <d v="1994-07-20T00:00:00"/>
    <n v="965860"/>
    <x v="1"/>
    <n v="1994"/>
    <n v="2"/>
    <n v="32"/>
    <x v="1"/>
    <x v="1"/>
  </r>
  <r>
    <x v="260"/>
    <n v="45924"/>
    <s v="Growth - Director"/>
    <x v="2"/>
    <s v="Director"/>
    <n v="787"/>
    <n v="4"/>
    <x v="5"/>
    <d v="1985-09-22T00:00:00"/>
    <n v="928300"/>
    <x v="1"/>
    <n v="1985"/>
    <n v="3"/>
    <n v="41"/>
    <x v="1"/>
    <x v="2"/>
  </r>
  <r>
    <x v="200"/>
    <n v="93560"/>
    <s v="Sales - Manager"/>
    <x v="4"/>
    <s v="Manager"/>
    <n v="710"/>
    <n v="2"/>
    <x v="8"/>
    <d v="1990-01-09T00:00:00"/>
    <n v="658229"/>
    <x v="1"/>
    <n v="1990"/>
    <n v="9"/>
    <n v="36"/>
    <x v="0"/>
    <x v="1"/>
  </r>
  <r>
    <x v="174"/>
    <n v="55067"/>
    <s v="Marketing - Intern"/>
    <x v="0"/>
    <s v="Intern"/>
    <n v="730"/>
    <n v="3"/>
    <x v="4"/>
    <d v="1992-07-10T00:00:00"/>
    <n v="560882"/>
    <x v="1"/>
    <n v="1992"/>
    <n v="6"/>
    <n v="34"/>
    <x v="0"/>
    <x v="0"/>
  </r>
  <r>
    <x v="156"/>
    <n v="31005"/>
    <s v="Operation - Director"/>
    <x v="1"/>
    <s v="Director"/>
    <n v="750"/>
    <n v="3"/>
    <x v="7"/>
    <d v="1991-02-22T00:00:00"/>
    <n v="781897"/>
    <x v="1"/>
    <n v="1991"/>
    <n v="10"/>
    <n v="35"/>
    <x v="1"/>
    <x v="1"/>
  </r>
  <r>
    <x v="59"/>
    <n v="88614"/>
    <s v="Finance - Director"/>
    <x v="5"/>
    <s v="Director"/>
    <n v="749"/>
    <n v="1"/>
    <x v="6"/>
    <d v="1980-02-25T00:00:00"/>
    <n v="769026"/>
    <x v="0"/>
    <n v="1980"/>
    <n v="3"/>
    <n v="46"/>
    <x v="0"/>
    <x v="0"/>
  </r>
  <r>
    <x v="122"/>
    <n v="61411"/>
    <s v="Growth - Intern"/>
    <x v="2"/>
    <s v="Intern"/>
    <n v="757"/>
    <n v="4"/>
    <x v="4"/>
    <d v="1983-07-17T00:00:00"/>
    <n v="505118"/>
    <x v="1"/>
    <n v="1983"/>
    <n v="5"/>
    <n v="43"/>
    <x v="1"/>
    <x v="2"/>
  </r>
  <r>
    <x v="182"/>
    <n v="13948"/>
    <s v="Finance - Manager"/>
    <x v="5"/>
    <s v="Manager"/>
    <n v="785"/>
    <n v="2"/>
    <x v="2"/>
    <d v="1994-12-11T00:00:00"/>
    <n v="623506"/>
    <x v="1"/>
    <n v="1994"/>
    <n v="7"/>
    <n v="32"/>
    <x v="1"/>
    <x v="1"/>
  </r>
  <r>
    <x v="218"/>
    <n v="11840"/>
    <s v="Sales - Intern"/>
    <x v="4"/>
    <s v="Intern"/>
    <n v="789"/>
    <n v="2"/>
    <x v="1"/>
    <d v="1990-07-03T00:00:00"/>
    <n v="684537"/>
    <x v="0"/>
    <n v="1990"/>
    <n v="3"/>
    <n v="36"/>
    <x v="1"/>
    <x v="1"/>
  </r>
  <r>
    <x v="261"/>
    <n v="76930"/>
    <s v="Strategy - Executive"/>
    <x v="3"/>
    <s v="Executive"/>
    <n v="762"/>
    <n v="1"/>
    <x v="9"/>
    <d v="1993-12-30T00:00:00"/>
    <n v="601108"/>
    <x v="1"/>
    <n v="1993"/>
    <n v="11"/>
    <n v="33"/>
    <x v="1"/>
    <x v="1"/>
  </r>
  <r>
    <x v="80"/>
    <n v="83885"/>
    <s v="Operation - Intern"/>
    <x v="1"/>
    <s v="Intern"/>
    <n v="703"/>
    <n v="1"/>
    <x v="2"/>
    <d v="1981-08-21T00:00:00"/>
    <n v="990159"/>
    <x v="0"/>
    <n v="1981"/>
    <n v="4"/>
    <n v="45"/>
    <x v="0"/>
    <x v="1"/>
  </r>
  <r>
    <x v="262"/>
    <n v="99618"/>
    <s v="Finance - Manager"/>
    <x v="5"/>
    <s v="Manager"/>
    <n v="766"/>
    <n v="2"/>
    <x v="3"/>
    <d v="1980-11-23T00:00:00"/>
    <n v="630292"/>
    <x v="2"/>
    <n v="1980"/>
    <n v="8"/>
    <n v="46"/>
    <x v="1"/>
    <x v="0"/>
  </r>
  <r>
    <x v="226"/>
    <n v="17583"/>
    <s v="Growth - Executive"/>
    <x v="2"/>
    <s v="Executive"/>
    <n v="745"/>
    <n v="2"/>
    <x v="3"/>
    <d v="1985-11-30T00:00:00"/>
    <n v="614908"/>
    <x v="2"/>
    <n v="1985"/>
    <n v="6"/>
    <n v="41"/>
    <x v="0"/>
    <x v="0"/>
  </r>
  <r>
    <x v="263"/>
    <n v="85664"/>
    <s v="Growth - Intern"/>
    <x v="2"/>
    <s v="Intern"/>
    <n v="747"/>
    <n v="4"/>
    <x v="5"/>
    <d v="1981-09-19T00:00:00"/>
    <n v="575675"/>
    <x v="1"/>
    <n v="1981"/>
    <n v="1"/>
    <n v="45"/>
    <x v="0"/>
    <x v="0"/>
  </r>
  <r>
    <x v="196"/>
    <n v="71405"/>
    <s v="Growth - Manager"/>
    <x v="2"/>
    <s v="Manager"/>
    <n v="748"/>
    <n v="1"/>
    <x v="6"/>
    <d v="1990-03-30T00:00:00"/>
    <n v="907498"/>
    <x v="0"/>
    <n v="1990"/>
    <n v="7"/>
    <n v="36"/>
    <x v="0"/>
    <x v="0"/>
  </r>
  <r>
    <x v="12"/>
    <n v="77210"/>
    <s v="Growth - Intern"/>
    <x v="2"/>
    <s v="Intern"/>
    <n v="760"/>
    <n v="5"/>
    <x v="0"/>
    <d v="1988-05-08T00:00:00"/>
    <n v="640079"/>
    <x v="2"/>
    <n v="1988"/>
    <n v="2"/>
    <n v="38"/>
    <x v="1"/>
    <x v="0"/>
  </r>
  <r>
    <x v="159"/>
    <n v="67481"/>
    <s v="Operation - Director"/>
    <x v="1"/>
    <s v="Director"/>
    <n v="787"/>
    <n v="3"/>
    <x v="5"/>
    <d v="1981-01-26T00:00:00"/>
    <n v="760487"/>
    <x v="2"/>
    <n v="1981"/>
    <n v="3"/>
    <n v="45"/>
    <x v="1"/>
    <x v="2"/>
  </r>
  <r>
    <x v="264"/>
    <n v="64838"/>
    <s v="Operation - Intern"/>
    <x v="1"/>
    <s v="Intern"/>
    <n v="704"/>
    <n v="5"/>
    <x v="6"/>
    <d v="1990-04-25T00:00:00"/>
    <n v="816102"/>
    <x v="2"/>
    <n v="1990"/>
    <n v="5"/>
    <n v="36"/>
    <x v="0"/>
    <x v="0"/>
  </r>
  <r>
    <x v="96"/>
    <n v="94902"/>
    <s v="Operation - Intern"/>
    <x v="1"/>
    <s v="Intern"/>
    <n v="759"/>
    <n v="1"/>
    <x v="4"/>
    <d v="1989-10-28T00:00:00"/>
    <n v="852827"/>
    <x v="0"/>
    <n v="1989"/>
    <n v="12"/>
    <n v="37"/>
    <x v="1"/>
    <x v="2"/>
  </r>
  <r>
    <x v="190"/>
    <n v="32195"/>
    <s v="Marketing - Intern"/>
    <x v="0"/>
    <s v="Intern"/>
    <n v="707"/>
    <n v="5"/>
    <x v="7"/>
    <d v="1987-06-27T00:00:00"/>
    <n v="805154"/>
    <x v="2"/>
    <n v="1987"/>
    <n v="8"/>
    <n v="39"/>
    <x v="0"/>
    <x v="1"/>
  </r>
  <r>
    <x v="124"/>
    <n v="54760"/>
    <s v="Operation - Executive"/>
    <x v="1"/>
    <s v="Executive"/>
    <n v="752"/>
    <n v="5"/>
    <x v="5"/>
    <d v="1988-06-08T00:00:00"/>
    <n v="979687"/>
    <x v="2"/>
    <n v="1988"/>
    <n v="10"/>
    <n v="38"/>
    <x v="1"/>
    <x v="2"/>
  </r>
  <r>
    <x v="265"/>
    <n v="76284"/>
    <s v="Growth - Director"/>
    <x v="2"/>
    <s v="Director"/>
    <n v="757"/>
    <n v="2"/>
    <x v="9"/>
    <d v="1982-11-04T00:00:00"/>
    <n v="642552"/>
    <x v="2"/>
    <n v="1982"/>
    <n v="11"/>
    <n v="44"/>
    <x v="1"/>
    <x v="1"/>
  </r>
  <r>
    <x v="82"/>
    <n v="38227"/>
    <s v="Strategy - Manager"/>
    <x v="3"/>
    <s v="Manager"/>
    <n v="743"/>
    <n v="1"/>
    <x v="3"/>
    <d v="1985-06-07T00:00:00"/>
    <n v="912232"/>
    <x v="1"/>
    <n v="1985"/>
    <n v="7"/>
    <n v="41"/>
    <x v="0"/>
    <x v="0"/>
  </r>
  <r>
    <x v="20"/>
    <n v="67019"/>
    <s v="Marketing - Executive"/>
    <x v="0"/>
    <s v="Executive"/>
    <n v="737"/>
    <n v="5"/>
    <x v="0"/>
    <d v="1984-03-24T00:00:00"/>
    <n v="942795"/>
    <x v="2"/>
    <n v="1984"/>
    <n v="2"/>
    <n v="42"/>
    <x v="0"/>
    <x v="0"/>
  </r>
  <r>
    <x v="51"/>
    <n v="11498"/>
    <s v="Finance - Director"/>
    <x v="5"/>
    <s v="Director"/>
    <n v="793"/>
    <n v="2"/>
    <x v="8"/>
    <d v="1991-04-24T00:00:00"/>
    <n v="861953"/>
    <x v="0"/>
    <n v="1991"/>
    <n v="2"/>
    <n v="35"/>
    <x v="1"/>
    <x v="1"/>
  </r>
  <r>
    <x v="149"/>
    <n v="48916"/>
    <s v="Operation - Intern"/>
    <x v="1"/>
    <s v="Intern"/>
    <n v="710"/>
    <n v="4"/>
    <x v="7"/>
    <d v="1982-01-03T00:00:00"/>
    <n v="764369"/>
    <x v="2"/>
    <n v="1982"/>
    <n v="7"/>
    <n v="44"/>
    <x v="0"/>
    <x v="1"/>
  </r>
  <r>
    <x v="143"/>
    <n v="81749"/>
    <s v="Sales - Director"/>
    <x v="4"/>
    <s v="Director"/>
    <n v="793"/>
    <n v="5"/>
    <x v="6"/>
    <d v="1991-06-15T00:00:00"/>
    <n v="583217"/>
    <x v="1"/>
    <n v="1991"/>
    <n v="10"/>
    <n v="35"/>
    <x v="1"/>
    <x v="0"/>
  </r>
  <r>
    <x v="34"/>
    <n v="16926"/>
    <s v="Marketing - Intern"/>
    <x v="0"/>
    <s v="Intern"/>
    <n v="720"/>
    <n v="5"/>
    <x v="6"/>
    <d v="1981-11-11T00:00:00"/>
    <n v="584414"/>
    <x v="2"/>
    <n v="1981"/>
    <n v="10"/>
    <n v="45"/>
    <x v="0"/>
    <x v="0"/>
  </r>
  <r>
    <x v="263"/>
    <n v="75600"/>
    <s v="Strategy - Director"/>
    <x v="3"/>
    <s v="Director"/>
    <n v="718"/>
    <n v="2"/>
    <x v="4"/>
    <d v="1980-11-16T00:00:00"/>
    <n v="592278"/>
    <x v="1"/>
    <n v="1980"/>
    <n v="1"/>
    <n v="46"/>
    <x v="0"/>
    <x v="0"/>
  </r>
  <r>
    <x v="37"/>
    <n v="83490"/>
    <s v="Finance - Manager"/>
    <x v="5"/>
    <s v="Manager"/>
    <n v="705"/>
    <n v="5"/>
    <x v="6"/>
    <d v="1987-08-09T00:00:00"/>
    <n v="626770"/>
    <x v="1"/>
    <n v="1987"/>
    <n v="11"/>
    <n v="39"/>
    <x v="0"/>
    <x v="0"/>
  </r>
  <r>
    <x v="6"/>
    <n v="85785"/>
    <s v="Marketing - Manager"/>
    <x v="0"/>
    <s v="Manager"/>
    <n v="779"/>
    <n v="5"/>
    <x v="9"/>
    <d v="1993-10-20T00:00:00"/>
    <n v="647437"/>
    <x v="2"/>
    <n v="1993"/>
    <n v="3"/>
    <n v="33"/>
    <x v="1"/>
    <x v="1"/>
  </r>
  <r>
    <x v="193"/>
    <n v="94775"/>
    <s v="Operation - Executive"/>
    <x v="1"/>
    <s v="Executive"/>
    <n v="715"/>
    <n v="4"/>
    <x v="8"/>
    <d v="1984-11-18T00:00:00"/>
    <n v="911454"/>
    <x v="0"/>
    <n v="1984"/>
    <n v="8"/>
    <n v="42"/>
    <x v="0"/>
    <x v="1"/>
  </r>
  <r>
    <x v="8"/>
    <n v="23065"/>
    <s v="Growth - Director"/>
    <x v="2"/>
    <s v="Director"/>
    <n v="772"/>
    <n v="2"/>
    <x v="2"/>
    <d v="1991-02-19T00:00:00"/>
    <n v="800792"/>
    <x v="2"/>
    <n v="1991"/>
    <n v="4"/>
    <n v="35"/>
    <x v="1"/>
    <x v="1"/>
  </r>
  <r>
    <x v="257"/>
    <n v="23396"/>
    <s v="Growth - Intern"/>
    <x v="2"/>
    <s v="Intern"/>
    <n v="779"/>
    <n v="5"/>
    <x v="3"/>
    <d v="1991-07-03T00:00:00"/>
    <n v="888950"/>
    <x v="2"/>
    <n v="1991"/>
    <n v="5"/>
    <n v="35"/>
    <x v="1"/>
    <x v="0"/>
  </r>
  <r>
    <x v="76"/>
    <n v="74049"/>
    <s v="Strategy - Executive"/>
    <x v="3"/>
    <s v="Executive"/>
    <n v="758"/>
    <n v="4"/>
    <x v="5"/>
    <d v="1992-11-30T00:00:00"/>
    <n v="572491"/>
    <x v="1"/>
    <n v="1992"/>
    <n v="6"/>
    <n v="34"/>
    <x v="1"/>
    <x v="2"/>
  </r>
  <r>
    <x v="42"/>
    <n v="69915"/>
    <s v="Marketing - Director"/>
    <x v="0"/>
    <s v="Director"/>
    <n v="737"/>
    <n v="2"/>
    <x v="7"/>
    <d v="1992-03-13T00:00:00"/>
    <n v="863721"/>
    <x v="1"/>
    <n v="1992"/>
    <n v="9"/>
    <n v="34"/>
    <x v="0"/>
    <x v="1"/>
  </r>
  <r>
    <x v="266"/>
    <n v="24421"/>
    <s v="Sales - Intern"/>
    <x v="4"/>
    <s v="Intern"/>
    <n v="723"/>
    <n v="4"/>
    <x v="2"/>
    <d v="1990-12-21T00:00:00"/>
    <n v="835950"/>
    <x v="1"/>
    <n v="1990"/>
    <n v="11"/>
    <n v="36"/>
    <x v="0"/>
    <x v="1"/>
  </r>
  <r>
    <x v="267"/>
    <n v="58454"/>
    <s v="Finance - Executive"/>
    <x v="5"/>
    <s v="Executive"/>
    <n v="727"/>
    <n v="4"/>
    <x v="8"/>
    <d v="1994-08-21T00:00:00"/>
    <n v="881526"/>
    <x v="1"/>
    <n v="1994"/>
    <n v="4"/>
    <n v="32"/>
    <x v="0"/>
    <x v="1"/>
  </r>
  <r>
    <x v="159"/>
    <n v="13253"/>
    <s v="Operation - Manager"/>
    <x v="1"/>
    <s v="Manager"/>
    <n v="759"/>
    <n v="4"/>
    <x v="5"/>
    <d v="1985-10-01T00:00:00"/>
    <n v="789275"/>
    <x v="0"/>
    <n v="1985"/>
    <n v="3"/>
    <n v="41"/>
    <x v="1"/>
    <x v="2"/>
  </r>
  <r>
    <x v="24"/>
    <n v="32410"/>
    <s v="Finance - Executive"/>
    <x v="5"/>
    <s v="Executive"/>
    <n v="706"/>
    <n v="4"/>
    <x v="5"/>
    <d v="1981-02-28T00:00:00"/>
    <n v="963204"/>
    <x v="0"/>
    <n v="1981"/>
    <n v="9"/>
    <n v="45"/>
    <x v="0"/>
    <x v="0"/>
  </r>
  <r>
    <x v="114"/>
    <n v="11713"/>
    <s v="Strategy - Director"/>
    <x v="3"/>
    <s v="Director"/>
    <n v="703"/>
    <n v="4"/>
    <x v="2"/>
    <d v="1988-09-27T00:00:00"/>
    <n v="871572"/>
    <x v="2"/>
    <n v="1988"/>
    <n v="7"/>
    <n v="38"/>
    <x v="0"/>
    <x v="1"/>
  </r>
  <r>
    <x v="59"/>
    <n v="49626"/>
    <s v="Finance - Executive"/>
    <x v="5"/>
    <s v="Executive"/>
    <n v="702"/>
    <n v="2"/>
    <x v="6"/>
    <d v="1985-03-07T00:00:00"/>
    <n v="618850"/>
    <x v="2"/>
    <n v="1985"/>
    <n v="3"/>
    <n v="41"/>
    <x v="0"/>
    <x v="0"/>
  </r>
  <r>
    <x v="29"/>
    <n v="25602"/>
    <s v="Strategy - Director"/>
    <x v="3"/>
    <s v="Director"/>
    <n v="747"/>
    <n v="1"/>
    <x v="6"/>
    <d v="1993-09-28T00:00:00"/>
    <n v="979398"/>
    <x v="2"/>
    <n v="1993"/>
    <n v="5"/>
    <n v="33"/>
    <x v="0"/>
    <x v="0"/>
  </r>
  <r>
    <x v="72"/>
    <n v="82529"/>
    <s v="Growth - Intern"/>
    <x v="2"/>
    <s v="Intern"/>
    <n v="712"/>
    <n v="5"/>
    <x v="8"/>
    <d v="1985-05-17T00:00:00"/>
    <n v="792059"/>
    <x v="1"/>
    <n v="1985"/>
    <n v="2"/>
    <n v="41"/>
    <x v="0"/>
    <x v="1"/>
  </r>
  <r>
    <x v="200"/>
    <n v="33160"/>
    <s v="Operation - Manager"/>
    <x v="1"/>
    <s v="Manager"/>
    <n v="714"/>
    <n v="1"/>
    <x v="8"/>
    <d v="1980-05-21T00:00:00"/>
    <n v="938703"/>
    <x v="1"/>
    <n v="1980"/>
    <n v="9"/>
    <n v="46"/>
    <x v="0"/>
    <x v="1"/>
  </r>
  <r>
    <x v="268"/>
    <n v="41449"/>
    <s v="Growth - Executive"/>
    <x v="2"/>
    <s v="Executive"/>
    <n v="741"/>
    <n v="3"/>
    <x v="4"/>
    <d v="1991-03-11T00:00:00"/>
    <n v="701666"/>
    <x v="1"/>
    <n v="1991"/>
    <n v="10"/>
    <n v="35"/>
    <x v="0"/>
    <x v="0"/>
  </r>
  <r>
    <x v="88"/>
    <n v="71321"/>
    <s v="Growth - Director"/>
    <x v="2"/>
    <s v="Director"/>
    <n v="758"/>
    <n v="4"/>
    <x v="3"/>
    <d v="1991-09-13T00:00:00"/>
    <n v="898390"/>
    <x v="0"/>
    <n v="1991"/>
    <n v="9"/>
    <n v="35"/>
    <x v="1"/>
    <x v="0"/>
  </r>
  <r>
    <x v="91"/>
    <n v="14370"/>
    <s v="Growth - Intern"/>
    <x v="2"/>
    <s v="Intern"/>
    <n v="776"/>
    <n v="5"/>
    <x v="9"/>
    <d v="1984-07-04T00:00:00"/>
    <n v="637201"/>
    <x v="1"/>
    <n v="1984"/>
    <n v="7"/>
    <n v="42"/>
    <x v="1"/>
    <x v="1"/>
  </r>
  <r>
    <x v="265"/>
    <n v="57441"/>
    <s v="Finance - Executive"/>
    <x v="5"/>
    <s v="Executive"/>
    <n v="701"/>
    <n v="3"/>
    <x v="7"/>
    <d v="1986-04-05T00:00:00"/>
    <n v="629314"/>
    <x v="2"/>
    <n v="1986"/>
    <n v="11"/>
    <n v="40"/>
    <x v="0"/>
    <x v="1"/>
  </r>
  <r>
    <x v="11"/>
    <n v="89223"/>
    <s v="Sales - Manager"/>
    <x v="4"/>
    <s v="Manager"/>
    <n v="777"/>
    <n v="5"/>
    <x v="4"/>
    <d v="1992-11-20T00:00:00"/>
    <n v="601092"/>
    <x v="0"/>
    <n v="1992"/>
    <n v="5"/>
    <n v="34"/>
    <x v="1"/>
    <x v="2"/>
  </r>
  <r>
    <x v="53"/>
    <n v="90372"/>
    <s v="Finance - Intern"/>
    <x v="5"/>
    <s v="Intern"/>
    <n v="746"/>
    <n v="2"/>
    <x v="8"/>
    <d v="1988-05-15T00:00:00"/>
    <n v="569389"/>
    <x v="0"/>
    <n v="1988"/>
    <n v="9"/>
    <n v="38"/>
    <x v="0"/>
    <x v="1"/>
  </r>
  <r>
    <x v="100"/>
    <n v="35132"/>
    <s v="Sales - Manager"/>
    <x v="4"/>
    <s v="Manager"/>
    <n v="745"/>
    <n v="1"/>
    <x v="1"/>
    <d v="1987-06-10T00:00:00"/>
    <n v="906581"/>
    <x v="1"/>
    <n v="1987"/>
    <n v="10"/>
    <n v="39"/>
    <x v="0"/>
    <x v="1"/>
  </r>
  <r>
    <x v="269"/>
    <n v="99699"/>
    <s v="Marketing - Manager"/>
    <x v="0"/>
    <s v="Manager"/>
    <n v="701"/>
    <n v="1"/>
    <x v="9"/>
    <d v="1991-10-07T00:00:00"/>
    <n v="691306"/>
    <x v="2"/>
    <n v="1991"/>
    <n v="3"/>
    <n v="35"/>
    <x v="0"/>
    <x v="1"/>
  </r>
  <r>
    <x v="270"/>
    <n v="73788"/>
    <s v="Operation - Intern"/>
    <x v="1"/>
    <s v="Intern"/>
    <n v="714"/>
    <n v="4"/>
    <x v="2"/>
    <d v="1994-10-31T00:00:00"/>
    <n v="594655"/>
    <x v="0"/>
    <n v="1994"/>
    <n v="11"/>
    <n v="32"/>
    <x v="0"/>
    <x v="1"/>
  </r>
  <r>
    <x v="271"/>
    <n v="33329"/>
    <s v="Growth - Intern"/>
    <x v="2"/>
    <s v="Intern"/>
    <n v="728"/>
    <n v="2"/>
    <x v="7"/>
    <d v="1988-03-16T00:00:00"/>
    <n v="609323"/>
    <x v="0"/>
    <n v="1988"/>
    <n v="7"/>
    <n v="38"/>
    <x v="0"/>
    <x v="1"/>
  </r>
  <r>
    <x v="272"/>
    <n v="91695"/>
    <s v="Sales - Director"/>
    <x v="4"/>
    <s v="Director"/>
    <n v="725"/>
    <n v="1"/>
    <x v="2"/>
    <d v="1985-10-14T00:00:00"/>
    <n v="616474"/>
    <x v="0"/>
    <n v="1985"/>
    <n v="8"/>
    <n v="41"/>
    <x v="0"/>
    <x v="1"/>
  </r>
  <r>
    <x v="264"/>
    <n v="43918"/>
    <s v="Sales - Intern"/>
    <x v="4"/>
    <s v="Intern"/>
    <n v="717"/>
    <n v="4"/>
    <x v="4"/>
    <d v="1987-09-04T00:00:00"/>
    <n v="965774"/>
    <x v="0"/>
    <n v="1987"/>
    <n v="5"/>
    <n v="39"/>
    <x v="0"/>
    <x v="0"/>
  </r>
  <r>
    <x v="273"/>
    <n v="72046"/>
    <s v="Finance - Intern"/>
    <x v="5"/>
    <s v="Intern"/>
    <n v="742"/>
    <n v="4"/>
    <x v="6"/>
    <d v="1986-11-17T00:00:00"/>
    <n v="866598"/>
    <x v="0"/>
    <n v="1986"/>
    <n v="8"/>
    <n v="40"/>
    <x v="0"/>
    <x v="0"/>
  </r>
  <r>
    <x v="274"/>
    <n v="71085"/>
    <s v="Marketing - Intern"/>
    <x v="0"/>
    <s v="Intern"/>
    <n v="747"/>
    <n v="5"/>
    <x v="0"/>
    <d v="1981-12-11T00:00:00"/>
    <n v="727411"/>
    <x v="0"/>
    <n v="1981"/>
    <n v="6"/>
    <n v="45"/>
    <x v="0"/>
    <x v="0"/>
  </r>
  <r>
    <x v="26"/>
    <n v="27980"/>
    <s v="Marketing - Intern"/>
    <x v="0"/>
    <s v="Intern"/>
    <n v="700"/>
    <n v="5"/>
    <x v="0"/>
    <d v="1988-05-17T00:00:00"/>
    <n v="840811"/>
    <x v="0"/>
    <n v="1988"/>
    <n v="11"/>
    <n v="38"/>
    <x v="0"/>
    <x v="0"/>
  </r>
  <r>
    <x v="74"/>
    <n v="21407"/>
    <s v="Strategy - Manager"/>
    <x v="3"/>
    <s v="Manager"/>
    <n v="723"/>
    <n v="1"/>
    <x v="1"/>
    <d v="1990-01-31T00:00:00"/>
    <n v="644713"/>
    <x v="2"/>
    <n v="1990"/>
    <n v="8"/>
    <n v="36"/>
    <x v="0"/>
    <x v="1"/>
  </r>
  <r>
    <x v="145"/>
    <n v="37415"/>
    <s v="Growth - Manager"/>
    <x v="2"/>
    <s v="Manager"/>
    <n v="705"/>
    <n v="3"/>
    <x v="5"/>
    <d v="1991-03-18T00:00:00"/>
    <n v="910971"/>
    <x v="2"/>
    <n v="1991"/>
    <n v="4"/>
    <n v="35"/>
    <x v="0"/>
    <x v="0"/>
  </r>
  <r>
    <x v="275"/>
    <n v="96780"/>
    <s v="Sales - Executive"/>
    <x v="4"/>
    <s v="Executive"/>
    <n v="755"/>
    <n v="1"/>
    <x v="5"/>
    <d v="1994-07-08T00:00:00"/>
    <n v="753695"/>
    <x v="1"/>
    <n v="1994"/>
    <n v="3"/>
    <n v="32"/>
    <x v="1"/>
    <x v="2"/>
  </r>
  <r>
    <x v="258"/>
    <n v="71238"/>
    <s v="Growth - Manager"/>
    <x v="2"/>
    <s v="Manager"/>
    <n v="780"/>
    <n v="1"/>
    <x v="0"/>
    <d v="1980-02-24T00:00:00"/>
    <n v="918569"/>
    <x v="0"/>
    <n v="1980"/>
    <n v="11"/>
    <n v="46"/>
    <x v="1"/>
    <x v="0"/>
  </r>
  <r>
    <x v="124"/>
    <n v="50595"/>
    <s v="Growth - Intern"/>
    <x v="2"/>
    <s v="Intern"/>
    <n v="745"/>
    <n v="4"/>
    <x v="8"/>
    <d v="1982-09-18T00:00:00"/>
    <n v="911149"/>
    <x v="0"/>
    <n v="1982"/>
    <n v="10"/>
    <n v="44"/>
    <x v="0"/>
    <x v="1"/>
  </r>
  <r>
    <x v="276"/>
    <n v="15443"/>
    <s v="Marketing - Director"/>
    <x v="0"/>
    <s v="Director"/>
    <n v="758"/>
    <n v="1"/>
    <x v="9"/>
    <d v="1990-06-07T00:00:00"/>
    <n v="704263"/>
    <x v="2"/>
    <n v="1990"/>
    <n v="2"/>
    <n v="36"/>
    <x v="1"/>
    <x v="1"/>
  </r>
  <r>
    <x v="277"/>
    <n v="63852"/>
    <s v="Marketing - Executive"/>
    <x v="0"/>
    <s v="Executive"/>
    <n v="736"/>
    <n v="1"/>
    <x v="8"/>
    <d v="1992-12-06T00:00:00"/>
    <n v="520081"/>
    <x v="0"/>
    <n v="1992"/>
    <n v="5"/>
    <n v="34"/>
    <x v="0"/>
    <x v="1"/>
  </r>
  <r>
    <x v="15"/>
    <n v="58573"/>
    <s v="Operation - Manager"/>
    <x v="1"/>
    <s v="Manager"/>
    <n v="747"/>
    <n v="2"/>
    <x v="4"/>
    <d v="1987-04-22T00:00:00"/>
    <n v="864697"/>
    <x v="2"/>
    <n v="1987"/>
    <n v="1"/>
    <n v="39"/>
    <x v="0"/>
    <x v="0"/>
  </r>
  <r>
    <x v="261"/>
    <n v="33080"/>
    <s v="Growth - Intern"/>
    <x v="2"/>
    <s v="Intern"/>
    <n v="781"/>
    <n v="2"/>
    <x v="3"/>
    <d v="1993-03-28T00:00:00"/>
    <n v="737419"/>
    <x v="2"/>
    <n v="1993"/>
    <n v="11"/>
    <n v="33"/>
    <x v="1"/>
    <x v="0"/>
  </r>
  <r>
    <x v="177"/>
    <n v="95942"/>
    <s v="Strategy - Director"/>
    <x v="3"/>
    <s v="Director"/>
    <n v="729"/>
    <n v="4"/>
    <x v="1"/>
    <d v="1993-05-03T00:00:00"/>
    <n v="558030"/>
    <x v="1"/>
    <n v="1993"/>
    <n v="10"/>
    <n v="33"/>
    <x v="0"/>
    <x v="1"/>
  </r>
  <r>
    <x v="116"/>
    <n v="87308"/>
    <s v="Growth - Manager"/>
    <x v="2"/>
    <s v="Manager"/>
    <n v="710"/>
    <n v="3"/>
    <x v="7"/>
    <d v="1990-09-25T00:00:00"/>
    <n v="588194"/>
    <x v="0"/>
    <n v="1990"/>
    <n v="10"/>
    <n v="36"/>
    <x v="0"/>
    <x v="1"/>
  </r>
  <r>
    <x v="83"/>
    <n v="13620"/>
    <s v="Strategy - Manager"/>
    <x v="3"/>
    <s v="Manager"/>
    <n v="785"/>
    <n v="4"/>
    <x v="8"/>
    <d v="1981-07-14T00:00:00"/>
    <n v="557207"/>
    <x v="2"/>
    <n v="1981"/>
    <n v="1"/>
    <n v="45"/>
    <x v="1"/>
    <x v="1"/>
  </r>
  <r>
    <x v="200"/>
    <n v="97312"/>
    <s v="Sales - Director"/>
    <x v="4"/>
    <s v="Director"/>
    <n v="788"/>
    <n v="5"/>
    <x v="2"/>
    <d v="1981-03-29T00:00:00"/>
    <n v="541314"/>
    <x v="2"/>
    <n v="1981"/>
    <n v="9"/>
    <n v="45"/>
    <x v="1"/>
    <x v="1"/>
  </r>
  <r>
    <x v="63"/>
    <n v="33399"/>
    <s v="Growth - Executive"/>
    <x v="2"/>
    <s v="Executive"/>
    <n v="708"/>
    <n v="2"/>
    <x v="3"/>
    <d v="1993-04-11T00:00:00"/>
    <n v="526493"/>
    <x v="2"/>
    <n v="1993"/>
    <n v="11"/>
    <n v="33"/>
    <x v="0"/>
    <x v="0"/>
  </r>
  <r>
    <x v="175"/>
    <n v="24165"/>
    <s v="Finance - Director"/>
    <x v="5"/>
    <s v="Director"/>
    <n v="751"/>
    <n v="1"/>
    <x v="7"/>
    <d v="1983-02-10T00:00:00"/>
    <n v="568904"/>
    <x v="1"/>
    <n v="1983"/>
    <n v="8"/>
    <n v="43"/>
    <x v="1"/>
    <x v="1"/>
  </r>
  <r>
    <x v="278"/>
    <n v="73609"/>
    <s v="Marketing - Intern"/>
    <x v="0"/>
    <s v="Intern"/>
    <n v="739"/>
    <n v="4"/>
    <x v="4"/>
    <d v="1983-01-23T00:00:00"/>
    <n v="558445"/>
    <x v="1"/>
    <n v="1983"/>
    <n v="10"/>
    <n v="43"/>
    <x v="0"/>
    <x v="0"/>
  </r>
  <r>
    <x v="279"/>
    <n v="17847"/>
    <s v="Growth - Manager"/>
    <x v="2"/>
    <s v="Manager"/>
    <n v="770"/>
    <n v="4"/>
    <x v="2"/>
    <d v="1982-12-05T00:00:00"/>
    <n v="653315"/>
    <x v="1"/>
    <n v="1982"/>
    <n v="5"/>
    <n v="44"/>
    <x v="1"/>
    <x v="1"/>
  </r>
  <r>
    <x v="62"/>
    <n v="34408"/>
    <s v="Marketing - Manager"/>
    <x v="0"/>
    <s v="Manager"/>
    <n v="772"/>
    <n v="1"/>
    <x v="9"/>
    <d v="1983-07-07T00:00:00"/>
    <n v="743563"/>
    <x v="2"/>
    <n v="1983"/>
    <n v="5"/>
    <n v="43"/>
    <x v="1"/>
    <x v="1"/>
  </r>
  <r>
    <x v="250"/>
    <n v="63076"/>
    <s v="Operation - Manager"/>
    <x v="1"/>
    <s v="Manager"/>
    <n v="793"/>
    <n v="1"/>
    <x v="3"/>
    <d v="1980-02-07T00:00:00"/>
    <n v="840725"/>
    <x v="0"/>
    <n v="1980"/>
    <n v="5"/>
    <n v="46"/>
    <x v="1"/>
    <x v="0"/>
  </r>
  <r>
    <x v="179"/>
    <n v="95803"/>
    <s v="Sales - Intern"/>
    <x v="4"/>
    <s v="Intern"/>
    <n v="798"/>
    <n v="3"/>
    <x v="4"/>
    <d v="1992-03-16T00:00:00"/>
    <n v="647937"/>
    <x v="0"/>
    <n v="1992"/>
    <n v="1"/>
    <n v="34"/>
    <x v="1"/>
    <x v="2"/>
  </r>
  <r>
    <x v="280"/>
    <n v="35698"/>
    <s v="Strategy - Executive"/>
    <x v="3"/>
    <s v="Executive"/>
    <n v="710"/>
    <n v="5"/>
    <x v="7"/>
    <d v="1990-09-23T00:00:00"/>
    <n v="541460"/>
    <x v="0"/>
    <n v="1990"/>
    <n v="2"/>
    <n v="36"/>
    <x v="0"/>
    <x v="1"/>
  </r>
  <r>
    <x v="131"/>
    <n v="95503"/>
    <s v="Marketing - Manager"/>
    <x v="0"/>
    <s v="Manager"/>
    <n v="743"/>
    <n v="4"/>
    <x v="6"/>
    <d v="1988-10-12T00:00:00"/>
    <n v="669353"/>
    <x v="1"/>
    <n v="1988"/>
    <n v="3"/>
    <n v="38"/>
    <x v="0"/>
    <x v="0"/>
  </r>
  <r>
    <x v="55"/>
    <n v="95921"/>
    <s v="Strategy - Manager"/>
    <x v="3"/>
    <s v="Manager"/>
    <n v="797"/>
    <n v="4"/>
    <x v="5"/>
    <d v="1981-01-25T00:00:00"/>
    <n v="928644"/>
    <x v="0"/>
    <n v="1981"/>
    <n v="2"/>
    <n v="45"/>
    <x v="1"/>
    <x v="2"/>
  </r>
  <r>
    <x v="129"/>
    <n v="27632"/>
    <s v="Finance - Intern"/>
    <x v="5"/>
    <s v="Intern"/>
    <n v="800"/>
    <n v="1"/>
    <x v="9"/>
    <d v="1981-12-13T00:00:00"/>
    <n v="960902"/>
    <x v="0"/>
    <n v="1981"/>
    <n v="6"/>
    <n v="45"/>
    <x v="1"/>
    <x v="1"/>
  </r>
  <r>
    <x v="173"/>
    <n v="63842"/>
    <s v="Finance - Executive"/>
    <x v="5"/>
    <s v="Executive"/>
    <n v="797"/>
    <n v="1"/>
    <x v="6"/>
    <d v="1987-09-06T00:00:00"/>
    <n v="858604"/>
    <x v="2"/>
    <n v="1987"/>
    <n v="1"/>
    <n v="39"/>
    <x v="1"/>
    <x v="0"/>
  </r>
  <r>
    <x v="281"/>
    <n v="37460"/>
    <s v="Sales - Director"/>
    <x v="4"/>
    <s v="Director"/>
    <n v="781"/>
    <n v="2"/>
    <x v="5"/>
    <d v="1992-03-24T00:00:00"/>
    <n v="524070"/>
    <x v="2"/>
    <n v="1992"/>
    <n v="10"/>
    <n v="34"/>
    <x v="1"/>
    <x v="2"/>
  </r>
  <r>
    <x v="50"/>
    <n v="72882"/>
    <s v="Sales - Executive"/>
    <x v="4"/>
    <s v="Executive"/>
    <n v="736"/>
    <n v="3"/>
    <x v="8"/>
    <d v="1989-06-07T00:00:00"/>
    <n v="643486"/>
    <x v="1"/>
    <n v="1989"/>
    <n v="10"/>
    <n v="37"/>
    <x v="0"/>
    <x v="1"/>
  </r>
  <r>
    <x v="1"/>
    <n v="27544"/>
    <s v="Marketing - Executive"/>
    <x v="0"/>
    <s v="Executive"/>
    <n v="715"/>
    <n v="5"/>
    <x v="9"/>
    <d v="1988-07-21T00:00:00"/>
    <n v="587547"/>
    <x v="2"/>
    <n v="1988"/>
    <n v="4"/>
    <n v="38"/>
    <x v="0"/>
    <x v="1"/>
  </r>
  <r>
    <x v="282"/>
    <n v="24343"/>
    <s v="Sales - Intern"/>
    <x v="4"/>
    <s v="Intern"/>
    <n v="767"/>
    <n v="1"/>
    <x v="3"/>
    <d v="1986-12-12T00:00:00"/>
    <n v="557672"/>
    <x v="1"/>
    <n v="1986"/>
    <n v="7"/>
    <n v="40"/>
    <x v="1"/>
    <x v="0"/>
  </r>
  <r>
    <x v="161"/>
    <n v="51730"/>
    <s v="Finance - Manager"/>
    <x v="5"/>
    <s v="Manager"/>
    <n v="787"/>
    <n v="3"/>
    <x v="1"/>
    <d v="1991-07-15T00:00:00"/>
    <n v="635431"/>
    <x v="2"/>
    <n v="1991"/>
    <n v="3"/>
    <n v="35"/>
    <x v="1"/>
    <x v="1"/>
  </r>
  <r>
    <x v="110"/>
    <n v="64295"/>
    <s v="Marketing - Director"/>
    <x v="0"/>
    <s v="Director"/>
    <n v="788"/>
    <n v="3"/>
    <x v="9"/>
    <d v="1988-04-03T00:00:00"/>
    <n v="594694"/>
    <x v="0"/>
    <n v="1988"/>
    <n v="6"/>
    <n v="38"/>
    <x v="1"/>
    <x v="1"/>
  </r>
  <r>
    <x v="38"/>
    <n v="93731"/>
    <s v="Marketing - Executive"/>
    <x v="0"/>
    <s v="Executive"/>
    <n v="725"/>
    <n v="3"/>
    <x v="9"/>
    <d v="1991-11-23T00:00:00"/>
    <n v="859247"/>
    <x v="1"/>
    <n v="1991"/>
    <n v="1"/>
    <n v="35"/>
    <x v="0"/>
    <x v="1"/>
  </r>
  <r>
    <x v="202"/>
    <n v="21875"/>
    <s v="Operation - Executive"/>
    <x v="1"/>
    <s v="Executive"/>
    <n v="721"/>
    <n v="2"/>
    <x v="8"/>
    <d v="1988-09-09T00:00:00"/>
    <n v="615686"/>
    <x v="2"/>
    <n v="1988"/>
    <n v="3"/>
    <n v="38"/>
    <x v="0"/>
    <x v="1"/>
  </r>
  <r>
    <x v="226"/>
    <n v="13640"/>
    <s v="Finance - Director"/>
    <x v="5"/>
    <s v="Director"/>
    <n v="717"/>
    <n v="2"/>
    <x v="5"/>
    <d v="1994-12-10T00:00:00"/>
    <n v="611218"/>
    <x v="0"/>
    <n v="1994"/>
    <n v="6"/>
    <n v="32"/>
    <x v="0"/>
    <x v="0"/>
  </r>
  <r>
    <x v="283"/>
    <n v="53720"/>
    <s v="Finance - Executive"/>
    <x v="5"/>
    <s v="Executive"/>
    <n v="764"/>
    <n v="4"/>
    <x v="7"/>
    <d v="1989-08-13T00:00:00"/>
    <n v="681585"/>
    <x v="1"/>
    <n v="1989"/>
    <n v="2"/>
    <n v="37"/>
    <x v="1"/>
    <x v="1"/>
  </r>
  <r>
    <x v="248"/>
    <n v="65888"/>
    <s v="Finance - Manager"/>
    <x v="5"/>
    <s v="Manager"/>
    <n v="767"/>
    <n v="1"/>
    <x v="5"/>
    <d v="1987-08-09T00:00:00"/>
    <n v="811827"/>
    <x v="0"/>
    <n v="1987"/>
    <n v="2"/>
    <n v="39"/>
    <x v="1"/>
    <x v="2"/>
  </r>
  <r>
    <x v="172"/>
    <n v="99843"/>
    <s v="Operation - Manager"/>
    <x v="1"/>
    <s v="Manager"/>
    <n v="769"/>
    <n v="3"/>
    <x v="0"/>
    <d v="1991-08-30T00:00:00"/>
    <n v="627334"/>
    <x v="2"/>
    <n v="1991"/>
    <n v="8"/>
    <n v="35"/>
    <x v="1"/>
    <x v="0"/>
  </r>
  <r>
    <x v="180"/>
    <n v="58228"/>
    <s v="Marketing - Executive"/>
    <x v="0"/>
    <s v="Executive"/>
    <n v="747"/>
    <n v="1"/>
    <x v="5"/>
    <d v="1982-06-03T00:00:00"/>
    <n v="531446"/>
    <x v="1"/>
    <n v="1982"/>
    <n v="9"/>
    <n v="44"/>
    <x v="0"/>
    <x v="0"/>
  </r>
  <r>
    <x v="220"/>
    <n v="12596"/>
    <s v="Sales - Executive"/>
    <x v="4"/>
    <s v="Executive"/>
    <n v="702"/>
    <n v="5"/>
    <x v="7"/>
    <d v="1983-09-08T00:00:00"/>
    <n v="970614"/>
    <x v="0"/>
    <n v="1983"/>
    <n v="4"/>
    <n v="43"/>
    <x v="0"/>
    <x v="1"/>
  </r>
  <r>
    <x v="284"/>
    <n v="44415"/>
    <s v="Operation - Intern"/>
    <x v="1"/>
    <s v="Intern"/>
    <n v="738"/>
    <n v="4"/>
    <x v="1"/>
    <d v="1989-07-29T00:00:00"/>
    <n v="594754"/>
    <x v="0"/>
    <n v="1989"/>
    <n v="5"/>
    <n v="37"/>
    <x v="0"/>
    <x v="1"/>
  </r>
  <r>
    <x v="235"/>
    <n v="38783"/>
    <s v="Growth - Manager"/>
    <x v="2"/>
    <s v="Manager"/>
    <n v="760"/>
    <n v="5"/>
    <x v="8"/>
    <d v="1994-03-25T00:00:00"/>
    <n v="642147"/>
    <x v="1"/>
    <n v="1994"/>
    <n v="3"/>
    <n v="32"/>
    <x v="1"/>
    <x v="1"/>
  </r>
  <r>
    <x v="182"/>
    <n v="17643"/>
    <s v="Marketing - Director"/>
    <x v="0"/>
    <s v="Director"/>
    <n v="781"/>
    <n v="5"/>
    <x v="8"/>
    <d v="1983-12-23T00:00:00"/>
    <n v="974246"/>
    <x v="0"/>
    <n v="1983"/>
    <n v="7"/>
    <n v="43"/>
    <x v="1"/>
    <x v="1"/>
  </r>
  <r>
    <x v="285"/>
    <n v="71821"/>
    <s v="Sales - Manager"/>
    <x v="4"/>
    <s v="Manager"/>
    <n v="702"/>
    <n v="2"/>
    <x v="4"/>
    <d v="1988-09-07T00:00:00"/>
    <n v="909939"/>
    <x v="0"/>
    <n v="1988"/>
    <n v="10"/>
    <n v="38"/>
    <x v="0"/>
    <x v="0"/>
  </r>
  <r>
    <x v="178"/>
    <n v="29417"/>
    <s v="Marketing - Director"/>
    <x v="0"/>
    <s v="Director"/>
    <n v="787"/>
    <n v="2"/>
    <x v="6"/>
    <d v="1985-01-16T00:00:00"/>
    <n v="819203"/>
    <x v="0"/>
    <n v="1985"/>
    <n v="2"/>
    <n v="41"/>
    <x v="1"/>
    <x v="0"/>
  </r>
  <r>
    <x v="231"/>
    <n v="38894"/>
    <s v="Growth - Manager"/>
    <x v="2"/>
    <s v="Manager"/>
    <n v="741"/>
    <n v="1"/>
    <x v="8"/>
    <d v="1980-04-17T00:00:00"/>
    <n v="713677"/>
    <x v="1"/>
    <n v="1980"/>
    <n v="6"/>
    <n v="46"/>
    <x v="0"/>
    <x v="1"/>
  </r>
  <r>
    <x v="197"/>
    <n v="37736"/>
    <s v="Operation - Director"/>
    <x v="1"/>
    <s v="Director"/>
    <n v="749"/>
    <n v="1"/>
    <x v="4"/>
    <d v="1992-02-15T00:00:00"/>
    <n v="883224"/>
    <x v="0"/>
    <n v="1992"/>
    <n v="1"/>
    <n v="34"/>
    <x v="0"/>
    <x v="0"/>
  </r>
  <r>
    <x v="14"/>
    <n v="62788"/>
    <s v="Growth - Executive"/>
    <x v="2"/>
    <s v="Executive"/>
    <n v="705"/>
    <n v="2"/>
    <x v="5"/>
    <d v="1994-05-17T00:00:00"/>
    <n v="708228"/>
    <x v="2"/>
    <n v="1994"/>
    <n v="3"/>
    <n v="32"/>
    <x v="0"/>
    <x v="0"/>
  </r>
  <r>
    <x v="196"/>
    <n v="45530"/>
    <s v="Sales - Intern"/>
    <x v="4"/>
    <s v="Intern"/>
    <n v="721"/>
    <n v="2"/>
    <x v="2"/>
    <d v="1994-07-18T00:00:00"/>
    <n v="538884"/>
    <x v="1"/>
    <n v="1994"/>
    <n v="7"/>
    <n v="32"/>
    <x v="0"/>
    <x v="1"/>
  </r>
  <r>
    <x v="55"/>
    <n v="49134"/>
    <s v="Sales - Executive"/>
    <x v="4"/>
    <s v="Executive"/>
    <n v="706"/>
    <n v="5"/>
    <x v="1"/>
    <d v="1982-05-23T00:00:00"/>
    <n v="647064"/>
    <x v="1"/>
    <n v="1982"/>
    <n v="2"/>
    <n v="44"/>
    <x v="0"/>
    <x v="1"/>
  </r>
  <r>
    <x v="275"/>
    <n v="58795"/>
    <s v="Growth - Director"/>
    <x v="2"/>
    <s v="Director"/>
    <n v="712"/>
    <n v="4"/>
    <x v="1"/>
    <d v="1992-03-05T00:00:00"/>
    <n v="701101"/>
    <x v="2"/>
    <n v="1992"/>
    <n v="3"/>
    <n v="34"/>
    <x v="0"/>
    <x v="1"/>
  </r>
  <r>
    <x v="238"/>
    <n v="76612"/>
    <s v="Finance - Executive"/>
    <x v="5"/>
    <s v="Executive"/>
    <n v="791"/>
    <n v="5"/>
    <x v="6"/>
    <d v="1993-10-09T00:00:00"/>
    <n v="539739"/>
    <x v="0"/>
    <n v="1993"/>
    <n v="9"/>
    <n v="33"/>
    <x v="1"/>
    <x v="0"/>
  </r>
  <r>
    <x v="270"/>
    <n v="76168"/>
    <s v="Finance - Manager"/>
    <x v="5"/>
    <s v="Manager"/>
    <n v="721"/>
    <n v="2"/>
    <x v="1"/>
    <d v="1982-07-13T00:00:00"/>
    <n v="602910"/>
    <x v="0"/>
    <n v="1982"/>
    <n v="11"/>
    <n v="44"/>
    <x v="0"/>
    <x v="1"/>
  </r>
  <r>
    <x v="102"/>
    <n v="87652"/>
    <s v="Marketing - Director"/>
    <x v="0"/>
    <s v="Director"/>
    <n v="784"/>
    <n v="3"/>
    <x v="2"/>
    <d v="1981-02-28T00:00:00"/>
    <n v="757408"/>
    <x v="2"/>
    <n v="1981"/>
    <n v="1"/>
    <n v="45"/>
    <x v="1"/>
    <x v="1"/>
  </r>
  <r>
    <x v="36"/>
    <n v="99257"/>
    <s v="Marketing - Executive"/>
    <x v="0"/>
    <s v="Executive"/>
    <n v="793"/>
    <n v="5"/>
    <x v="5"/>
    <d v="1985-06-14T00:00:00"/>
    <n v="844155"/>
    <x v="0"/>
    <n v="1985"/>
    <n v="7"/>
    <n v="41"/>
    <x v="1"/>
    <x v="2"/>
  </r>
  <r>
    <x v="286"/>
    <n v="99595"/>
    <s v="Strategy - Manager"/>
    <x v="3"/>
    <s v="Manager"/>
    <n v="725"/>
    <n v="4"/>
    <x v="9"/>
    <d v="1985-09-05T00:00:00"/>
    <n v="824832"/>
    <x v="2"/>
    <n v="1985"/>
    <n v="1"/>
    <n v="41"/>
    <x v="0"/>
    <x v="1"/>
  </r>
  <r>
    <x v="97"/>
    <n v="60673"/>
    <s v="Operation - Manager"/>
    <x v="1"/>
    <s v="Manager"/>
    <n v="781"/>
    <n v="4"/>
    <x v="1"/>
    <d v="1983-08-04T00:00:00"/>
    <n v="588374"/>
    <x v="0"/>
    <n v="1983"/>
    <n v="4"/>
    <n v="43"/>
    <x v="1"/>
    <x v="1"/>
  </r>
  <r>
    <x v="5"/>
    <n v="72892"/>
    <s v="Sales - Director"/>
    <x v="4"/>
    <s v="Director"/>
    <n v="789"/>
    <n v="5"/>
    <x v="6"/>
    <d v="1986-01-04T00:00:00"/>
    <n v="704543"/>
    <x v="0"/>
    <n v="1986"/>
    <n v="6"/>
    <n v="40"/>
    <x v="1"/>
    <x v="0"/>
  </r>
  <r>
    <x v="209"/>
    <n v="67365"/>
    <s v="Strategy - Director"/>
    <x v="3"/>
    <s v="Director"/>
    <n v="758"/>
    <n v="4"/>
    <x v="9"/>
    <d v="1987-10-21T00:00:00"/>
    <n v="588396"/>
    <x v="1"/>
    <n v="1987"/>
    <n v="10"/>
    <n v="39"/>
    <x v="1"/>
    <x v="1"/>
  </r>
  <r>
    <x v="183"/>
    <n v="62523"/>
    <s v="Strategy - Executive"/>
    <x v="3"/>
    <s v="Executive"/>
    <n v="738"/>
    <n v="3"/>
    <x v="5"/>
    <d v="1990-12-26T00:00:00"/>
    <n v="973676"/>
    <x v="2"/>
    <n v="1990"/>
    <n v="11"/>
    <n v="36"/>
    <x v="0"/>
    <x v="0"/>
  </r>
  <r>
    <x v="92"/>
    <n v="84606"/>
    <s v="Operation - Executive"/>
    <x v="1"/>
    <s v="Executive"/>
    <n v="706"/>
    <n v="4"/>
    <x v="7"/>
    <d v="1985-03-05T00:00:00"/>
    <n v="795220"/>
    <x v="1"/>
    <n v="1985"/>
    <n v="5"/>
    <n v="41"/>
    <x v="0"/>
    <x v="1"/>
  </r>
  <r>
    <x v="255"/>
    <n v="68072"/>
    <s v="Marketing - Manager"/>
    <x v="0"/>
    <s v="Manager"/>
    <n v="783"/>
    <n v="3"/>
    <x v="5"/>
    <d v="1983-11-09T00:00:00"/>
    <n v="824247"/>
    <x v="2"/>
    <n v="1983"/>
    <n v="3"/>
    <n v="43"/>
    <x v="1"/>
    <x v="2"/>
  </r>
  <r>
    <x v="276"/>
    <n v="90908"/>
    <s v="Operation - Intern"/>
    <x v="1"/>
    <s v="Intern"/>
    <n v="774"/>
    <n v="4"/>
    <x v="4"/>
    <d v="1991-07-09T00:00:00"/>
    <n v="668860"/>
    <x v="2"/>
    <n v="1991"/>
    <n v="2"/>
    <n v="35"/>
    <x v="1"/>
    <x v="2"/>
  </r>
  <r>
    <x v="287"/>
    <n v="93314"/>
    <s v="Strategy - Manager"/>
    <x v="3"/>
    <s v="Manager"/>
    <n v="709"/>
    <n v="3"/>
    <x v="7"/>
    <d v="1984-03-12T00:00:00"/>
    <n v="559191"/>
    <x v="0"/>
    <n v="1984"/>
    <n v="9"/>
    <n v="42"/>
    <x v="0"/>
    <x v="1"/>
  </r>
  <r>
    <x v="20"/>
    <n v="23446"/>
    <s v="Operation - Director"/>
    <x v="1"/>
    <s v="Director"/>
    <n v="728"/>
    <n v="2"/>
    <x v="8"/>
    <d v="1988-12-26T00:00:00"/>
    <n v="955694"/>
    <x v="2"/>
    <n v="1988"/>
    <n v="2"/>
    <n v="38"/>
    <x v="0"/>
    <x v="1"/>
  </r>
  <r>
    <x v="129"/>
    <n v="51340"/>
    <s v="Marketing - Director"/>
    <x v="0"/>
    <s v="Director"/>
    <n v="791"/>
    <n v="2"/>
    <x v="6"/>
    <d v="1986-09-03T00:00:00"/>
    <n v="996288"/>
    <x v="2"/>
    <n v="1986"/>
    <n v="6"/>
    <n v="40"/>
    <x v="1"/>
    <x v="0"/>
  </r>
  <r>
    <x v="187"/>
    <n v="54415"/>
    <s v="Strategy - Intern"/>
    <x v="3"/>
    <s v="Intern"/>
    <n v="768"/>
    <n v="2"/>
    <x v="8"/>
    <d v="1994-10-11T00:00:00"/>
    <n v="937051"/>
    <x v="2"/>
    <n v="1994"/>
    <n v="12"/>
    <n v="32"/>
    <x v="1"/>
    <x v="1"/>
  </r>
  <r>
    <x v="288"/>
    <n v="68804"/>
    <s v="Sales - Manager"/>
    <x v="4"/>
    <s v="Manager"/>
    <n v="728"/>
    <n v="1"/>
    <x v="2"/>
    <d v="1988-02-05T00:00:00"/>
    <n v="979646"/>
    <x v="1"/>
    <n v="1988"/>
    <n v="5"/>
    <n v="38"/>
    <x v="0"/>
    <x v="1"/>
  </r>
  <r>
    <x v="94"/>
    <n v="73497"/>
    <s v="Growth - Intern"/>
    <x v="2"/>
    <s v="Intern"/>
    <n v="701"/>
    <n v="4"/>
    <x v="8"/>
    <d v="1994-03-20T00:00:00"/>
    <n v="502276"/>
    <x v="2"/>
    <n v="1994"/>
    <n v="5"/>
    <n v="32"/>
    <x v="0"/>
    <x v="1"/>
  </r>
  <r>
    <x v="194"/>
    <n v="25084"/>
    <s v="Sales - Intern"/>
    <x v="4"/>
    <s v="Intern"/>
    <n v="710"/>
    <n v="4"/>
    <x v="9"/>
    <d v="1983-01-04T00:00:00"/>
    <n v="709198"/>
    <x v="2"/>
    <n v="1983"/>
    <n v="11"/>
    <n v="43"/>
    <x v="0"/>
    <x v="1"/>
  </r>
  <r>
    <x v="268"/>
    <n v="52248"/>
    <s v="Operation - Director"/>
    <x v="1"/>
    <s v="Director"/>
    <n v="718"/>
    <n v="4"/>
    <x v="1"/>
    <d v="1994-11-29T00:00:00"/>
    <n v="518945"/>
    <x v="2"/>
    <n v="1994"/>
    <n v="10"/>
    <n v="32"/>
    <x v="0"/>
    <x v="1"/>
  </r>
  <r>
    <x v="289"/>
    <n v="44776"/>
    <s v="Marketing - Manager"/>
    <x v="0"/>
    <s v="Manager"/>
    <n v="760"/>
    <n v="3"/>
    <x v="4"/>
    <d v="1980-04-15T00:00:00"/>
    <n v="992207"/>
    <x v="1"/>
    <n v="1980"/>
    <n v="9"/>
    <n v="46"/>
    <x v="1"/>
    <x v="2"/>
  </r>
  <r>
    <x v="168"/>
    <n v="93333"/>
    <s v="Marketing - Director"/>
    <x v="0"/>
    <s v="Director"/>
    <n v="724"/>
    <n v="4"/>
    <x v="4"/>
    <d v="1984-11-02T00:00:00"/>
    <n v="550209"/>
    <x v="1"/>
    <n v="1984"/>
    <n v="9"/>
    <n v="42"/>
    <x v="0"/>
    <x v="0"/>
  </r>
  <r>
    <x v="145"/>
    <n v="94017"/>
    <s v="Marketing - Director"/>
    <x v="0"/>
    <s v="Director"/>
    <n v="772"/>
    <n v="4"/>
    <x v="5"/>
    <d v="1984-02-11T00:00:00"/>
    <n v="717167"/>
    <x v="0"/>
    <n v="1984"/>
    <n v="4"/>
    <n v="42"/>
    <x v="1"/>
    <x v="2"/>
  </r>
  <r>
    <x v="148"/>
    <n v="76777"/>
    <s v="Sales - Manager"/>
    <x v="4"/>
    <s v="Manager"/>
    <n v="747"/>
    <n v="1"/>
    <x v="8"/>
    <d v="1989-03-17T00:00:00"/>
    <n v="851702"/>
    <x v="1"/>
    <n v="1989"/>
    <n v="9"/>
    <n v="37"/>
    <x v="0"/>
    <x v="1"/>
  </r>
  <r>
    <x v="290"/>
    <n v="13962"/>
    <s v="Strategy - Intern"/>
    <x v="3"/>
    <s v="Intern"/>
    <n v="728"/>
    <n v="3"/>
    <x v="5"/>
    <d v="1988-03-10T00:00:00"/>
    <n v="699753"/>
    <x v="1"/>
    <n v="1988"/>
    <n v="2"/>
    <n v="38"/>
    <x v="0"/>
    <x v="0"/>
  </r>
  <r>
    <x v="37"/>
    <n v="25311"/>
    <s v="Operation - Executive"/>
    <x v="1"/>
    <s v="Executive"/>
    <n v="748"/>
    <n v="4"/>
    <x v="3"/>
    <d v="1991-11-20T00:00:00"/>
    <n v="826757"/>
    <x v="1"/>
    <n v="1991"/>
    <n v="11"/>
    <n v="35"/>
    <x v="0"/>
    <x v="0"/>
  </r>
  <r>
    <x v="82"/>
    <n v="24638"/>
    <s v="Finance - Director"/>
    <x v="5"/>
    <s v="Director"/>
    <n v="779"/>
    <n v="5"/>
    <x v="7"/>
    <d v="1986-12-19T00:00:00"/>
    <n v="701070"/>
    <x v="2"/>
    <n v="1986"/>
    <n v="7"/>
    <n v="40"/>
    <x v="1"/>
    <x v="1"/>
  </r>
  <r>
    <x v="66"/>
    <n v="24920"/>
    <s v="Growth - Executive"/>
    <x v="2"/>
    <s v="Executive"/>
    <n v="778"/>
    <n v="5"/>
    <x v="9"/>
    <d v="1984-08-18T00:00:00"/>
    <n v="901164"/>
    <x v="1"/>
    <n v="1984"/>
    <n v="6"/>
    <n v="42"/>
    <x v="1"/>
    <x v="1"/>
  </r>
  <r>
    <x v="189"/>
    <n v="18601"/>
    <s v="Growth - Intern"/>
    <x v="2"/>
    <s v="Intern"/>
    <n v="702"/>
    <n v="2"/>
    <x v="9"/>
    <d v="1984-05-25T00:00:00"/>
    <n v="701342"/>
    <x v="2"/>
    <n v="1984"/>
    <n v="12"/>
    <n v="42"/>
    <x v="0"/>
    <x v="1"/>
  </r>
  <r>
    <x v="79"/>
    <n v="47369"/>
    <s v="Sales - Executive"/>
    <x v="4"/>
    <s v="Executive"/>
    <n v="748"/>
    <n v="5"/>
    <x v="2"/>
    <d v="1981-11-19T00:00:00"/>
    <n v="936650"/>
    <x v="0"/>
    <n v="1981"/>
    <n v="4"/>
    <n v="45"/>
    <x v="0"/>
    <x v="1"/>
  </r>
  <r>
    <x v="103"/>
    <n v="25737"/>
    <s v="Strategy - Intern"/>
    <x v="3"/>
    <s v="Intern"/>
    <n v="732"/>
    <n v="3"/>
    <x v="2"/>
    <d v="1986-06-01T00:00:00"/>
    <n v="805788"/>
    <x v="2"/>
    <n v="1986"/>
    <n v="4"/>
    <n v="40"/>
    <x v="0"/>
    <x v="1"/>
  </r>
  <r>
    <x v="246"/>
    <n v="66512"/>
    <s v="Marketing - Manager"/>
    <x v="0"/>
    <s v="Manager"/>
    <n v="721"/>
    <n v="2"/>
    <x v="5"/>
    <d v="1984-02-19T00:00:00"/>
    <n v="995024"/>
    <x v="2"/>
    <n v="1984"/>
    <n v="8"/>
    <n v="42"/>
    <x v="0"/>
    <x v="0"/>
  </r>
  <r>
    <x v="174"/>
    <n v="12037"/>
    <s v="Finance - Executive"/>
    <x v="5"/>
    <s v="Executive"/>
    <n v="775"/>
    <n v="2"/>
    <x v="9"/>
    <d v="1989-12-27T00:00:00"/>
    <n v="539159"/>
    <x v="2"/>
    <n v="1989"/>
    <n v="6"/>
    <n v="37"/>
    <x v="1"/>
    <x v="1"/>
  </r>
  <r>
    <x v="192"/>
    <n v="16734"/>
    <s v="Sales - Intern"/>
    <x v="4"/>
    <s v="Intern"/>
    <n v="706"/>
    <n v="4"/>
    <x v="6"/>
    <d v="1980-10-20T00:00:00"/>
    <n v="907385"/>
    <x v="2"/>
    <n v="1980"/>
    <n v="4"/>
    <n v="46"/>
    <x v="0"/>
    <x v="0"/>
  </r>
  <r>
    <x v="190"/>
    <n v="70828"/>
    <s v="Finance - Manager"/>
    <x v="5"/>
    <s v="Manager"/>
    <n v="780"/>
    <n v="4"/>
    <x v="1"/>
    <d v="1986-11-11T00:00:00"/>
    <n v="649264"/>
    <x v="1"/>
    <n v="1986"/>
    <n v="8"/>
    <n v="40"/>
    <x v="1"/>
    <x v="1"/>
  </r>
  <r>
    <x v="291"/>
    <n v="65304"/>
    <s v="Strategy - Manager"/>
    <x v="3"/>
    <s v="Manager"/>
    <n v="721"/>
    <n v="3"/>
    <x v="8"/>
    <d v="1983-05-25T00:00:00"/>
    <n v="858624"/>
    <x v="0"/>
    <n v="1983"/>
    <n v="11"/>
    <n v="43"/>
    <x v="0"/>
    <x v="1"/>
  </r>
  <r>
    <x v="110"/>
    <n v="56750"/>
    <s v="Sales - Manager"/>
    <x v="4"/>
    <s v="Manager"/>
    <n v="717"/>
    <n v="2"/>
    <x v="5"/>
    <d v="1994-03-04T00:00:00"/>
    <n v="581915"/>
    <x v="2"/>
    <n v="1994"/>
    <n v="6"/>
    <n v="32"/>
    <x v="0"/>
    <x v="0"/>
  </r>
  <r>
    <x v="292"/>
    <n v="93695"/>
    <s v="Finance - Director"/>
    <x v="5"/>
    <s v="Director"/>
    <n v="742"/>
    <n v="4"/>
    <x v="4"/>
    <d v="1982-10-13T00:00:00"/>
    <n v="920501"/>
    <x v="2"/>
    <n v="1982"/>
    <n v="5"/>
    <n v="44"/>
    <x v="0"/>
    <x v="0"/>
  </r>
  <r>
    <x v="232"/>
    <n v="50920"/>
    <s v="Strategy - Director"/>
    <x v="3"/>
    <s v="Director"/>
    <n v="707"/>
    <n v="1"/>
    <x v="0"/>
    <d v="1989-10-30T00:00:00"/>
    <n v="577254"/>
    <x v="2"/>
    <n v="1989"/>
    <n v="11"/>
    <n v="37"/>
    <x v="0"/>
    <x v="0"/>
  </r>
  <r>
    <x v="250"/>
    <n v="75985"/>
    <s v="Growth - Intern"/>
    <x v="2"/>
    <s v="Intern"/>
    <n v="754"/>
    <n v="2"/>
    <x v="7"/>
    <d v="1984-09-22T00:00:00"/>
    <n v="658749"/>
    <x v="1"/>
    <n v="1984"/>
    <n v="5"/>
    <n v="42"/>
    <x v="1"/>
    <x v="1"/>
  </r>
  <r>
    <x v="293"/>
    <n v="47600"/>
    <s v="Sales - Director"/>
    <x v="4"/>
    <s v="Director"/>
    <n v="786"/>
    <n v="1"/>
    <x v="3"/>
    <d v="1983-09-06T00:00:00"/>
    <n v="629181"/>
    <x v="0"/>
    <n v="1983"/>
    <n v="12"/>
    <n v="43"/>
    <x v="1"/>
    <x v="0"/>
  </r>
  <r>
    <x v="142"/>
    <n v="47831"/>
    <s v="Operation - Intern"/>
    <x v="1"/>
    <s v="Intern"/>
    <n v="701"/>
    <n v="5"/>
    <x v="0"/>
    <d v="1991-09-19T00:00:00"/>
    <n v="755674"/>
    <x v="0"/>
    <n v="1991"/>
    <n v="5"/>
    <n v="35"/>
    <x v="0"/>
    <x v="0"/>
  </r>
  <r>
    <x v="216"/>
    <n v="65776"/>
    <s v="Sales - Executive"/>
    <x v="4"/>
    <s v="Executive"/>
    <n v="777"/>
    <n v="5"/>
    <x v="0"/>
    <d v="1985-08-10T00:00:00"/>
    <n v="937733"/>
    <x v="1"/>
    <n v="1985"/>
    <n v="3"/>
    <n v="41"/>
    <x v="1"/>
    <x v="0"/>
  </r>
  <r>
    <x v="233"/>
    <n v="45142"/>
    <s v="Sales - Intern"/>
    <x v="4"/>
    <s v="Intern"/>
    <n v="730"/>
    <n v="2"/>
    <x v="6"/>
    <d v="1993-01-17T00:00:00"/>
    <n v="790012"/>
    <x v="2"/>
    <n v="1993"/>
    <n v="6"/>
    <n v="33"/>
    <x v="0"/>
    <x v="0"/>
  </r>
  <r>
    <x v="239"/>
    <n v="31489"/>
    <s v="Sales - Intern"/>
    <x v="4"/>
    <s v="Intern"/>
    <n v="735"/>
    <n v="5"/>
    <x v="5"/>
    <d v="1992-01-02T00:00:00"/>
    <n v="675858"/>
    <x v="2"/>
    <n v="1992"/>
    <n v="5"/>
    <n v="34"/>
    <x v="0"/>
    <x v="0"/>
  </r>
  <r>
    <x v="279"/>
    <n v="63373"/>
    <s v="Sales - Director"/>
    <x v="4"/>
    <s v="Director"/>
    <n v="702"/>
    <n v="1"/>
    <x v="4"/>
    <d v="1985-04-11T00:00:00"/>
    <n v="597273"/>
    <x v="0"/>
    <n v="1985"/>
    <n v="5"/>
    <n v="41"/>
    <x v="0"/>
    <x v="0"/>
  </r>
  <r>
    <x v="23"/>
    <n v="94111"/>
    <s v="Marketing - Manager"/>
    <x v="0"/>
    <s v="Manager"/>
    <n v="794"/>
    <n v="3"/>
    <x v="4"/>
    <d v="1985-04-15T00:00:00"/>
    <n v="675347"/>
    <x v="1"/>
    <n v="1985"/>
    <n v="4"/>
    <n v="41"/>
    <x v="1"/>
    <x v="2"/>
  </r>
  <r>
    <x v="66"/>
    <n v="73017"/>
    <s v="Sales - Manager"/>
    <x v="4"/>
    <s v="Manager"/>
    <n v="702"/>
    <n v="3"/>
    <x v="8"/>
    <d v="1984-10-12T00:00:00"/>
    <n v="780960"/>
    <x v="1"/>
    <n v="1984"/>
    <n v="6"/>
    <n v="42"/>
    <x v="0"/>
    <x v="1"/>
  </r>
  <r>
    <x v="225"/>
    <n v="92852"/>
    <s v="Growth - Director"/>
    <x v="2"/>
    <s v="Director"/>
    <n v="701"/>
    <n v="4"/>
    <x v="5"/>
    <d v="1988-11-28T00:00:00"/>
    <n v="976983"/>
    <x v="2"/>
    <n v="1988"/>
    <n v="4"/>
    <n v="38"/>
    <x v="0"/>
    <x v="0"/>
  </r>
  <r>
    <x v="195"/>
    <n v="48555"/>
    <s v="Sales - Intern"/>
    <x v="4"/>
    <s v="Intern"/>
    <n v="727"/>
    <n v="1"/>
    <x v="5"/>
    <d v="1982-12-23T00:00:00"/>
    <n v="791998"/>
    <x v="0"/>
    <n v="1982"/>
    <n v="7"/>
    <n v="44"/>
    <x v="0"/>
    <x v="0"/>
  </r>
  <r>
    <x v="23"/>
    <n v="33025"/>
    <s v="Marketing - Manager"/>
    <x v="0"/>
    <s v="Manager"/>
    <n v="720"/>
    <n v="5"/>
    <x v="0"/>
    <d v="1989-10-29T00:00:00"/>
    <n v="985846"/>
    <x v="0"/>
    <n v="1989"/>
    <n v="4"/>
    <n v="37"/>
    <x v="0"/>
    <x v="0"/>
  </r>
  <r>
    <x v="53"/>
    <n v="85377"/>
    <s v="Growth - Intern"/>
    <x v="2"/>
    <s v="Intern"/>
    <n v="794"/>
    <n v="1"/>
    <x v="5"/>
    <d v="1991-08-24T00:00:00"/>
    <n v="748644"/>
    <x v="1"/>
    <n v="1991"/>
    <n v="9"/>
    <n v="35"/>
    <x v="1"/>
    <x v="2"/>
  </r>
  <r>
    <x v="238"/>
    <n v="32109"/>
    <s v="Operation - Intern"/>
    <x v="1"/>
    <s v="Intern"/>
    <n v="756"/>
    <n v="4"/>
    <x v="8"/>
    <d v="1985-07-05T00:00:00"/>
    <n v="988754"/>
    <x v="2"/>
    <n v="1985"/>
    <n v="9"/>
    <n v="41"/>
    <x v="1"/>
    <x v="1"/>
  </r>
  <r>
    <x v="294"/>
    <n v="33024"/>
    <s v="Operation - Intern"/>
    <x v="1"/>
    <s v="Intern"/>
    <n v="759"/>
    <n v="5"/>
    <x v="3"/>
    <d v="1984-09-23T00:00:00"/>
    <n v="774185"/>
    <x v="0"/>
    <n v="1984"/>
    <n v="10"/>
    <n v="42"/>
    <x v="1"/>
    <x v="0"/>
  </r>
  <r>
    <x v="184"/>
    <n v="56492"/>
    <s v="Sales - Manager"/>
    <x v="4"/>
    <s v="Manager"/>
    <n v="738"/>
    <n v="3"/>
    <x v="7"/>
    <d v="1984-01-03T00:00:00"/>
    <n v="581204"/>
    <x v="0"/>
    <n v="1984"/>
    <n v="5"/>
    <n v="42"/>
    <x v="0"/>
    <x v="1"/>
  </r>
  <r>
    <x v="168"/>
    <n v="26996"/>
    <s v="Finance - Intern"/>
    <x v="5"/>
    <s v="Intern"/>
    <n v="743"/>
    <n v="5"/>
    <x v="7"/>
    <d v="1991-01-26T00:00:00"/>
    <n v="730063"/>
    <x v="0"/>
    <n v="1991"/>
    <n v="9"/>
    <n v="35"/>
    <x v="0"/>
    <x v="1"/>
  </r>
  <r>
    <x v="13"/>
    <n v="74602"/>
    <s v="Operation - Manager"/>
    <x v="1"/>
    <s v="Manager"/>
    <n v="749"/>
    <n v="1"/>
    <x v="9"/>
    <d v="1990-10-18T00:00:00"/>
    <n v="552345"/>
    <x v="0"/>
    <n v="1990"/>
    <n v="8"/>
    <n v="36"/>
    <x v="0"/>
    <x v="1"/>
  </r>
  <r>
    <x v="0"/>
    <n v="93694"/>
    <s v="Sales - Executive"/>
    <x v="4"/>
    <s v="Executive"/>
    <n v="745"/>
    <n v="5"/>
    <x v="1"/>
    <d v="1987-01-06T00:00:00"/>
    <n v="601147"/>
    <x v="1"/>
    <n v="1987"/>
    <n v="8"/>
    <n v="39"/>
    <x v="0"/>
    <x v="1"/>
  </r>
  <r>
    <x v="295"/>
    <n v="73290"/>
    <s v="Strategy - Director"/>
    <x v="3"/>
    <s v="Director"/>
    <n v="701"/>
    <n v="3"/>
    <x v="6"/>
    <d v="1993-02-05T00:00:00"/>
    <n v="799929"/>
    <x v="2"/>
    <n v="1993"/>
    <n v="10"/>
    <n v="33"/>
    <x v="0"/>
    <x v="0"/>
  </r>
  <r>
    <x v="285"/>
    <n v="21126"/>
    <s v="Growth - Manager"/>
    <x v="2"/>
    <s v="Manager"/>
    <n v="788"/>
    <n v="3"/>
    <x v="2"/>
    <d v="1986-03-14T00:00:00"/>
    <n v="660011"/>
    <x v="2"/>
    <n v="1986"/>
    <n v="10"/>
    <n v="40"/>
    <x v="1"/>
    <x v="1"/>
  </r>
  <r>
    <x v="233"/>
    <n v="52113"/>
    <s v="Marketing - Executive"/>
    <x v="0"/>
    <s v="Executive"/>
    <n v="797"/>
    <n v="5"/>
    <x v="3"/>
    <d v="1986-12-22T00:00:00"/>
    <n v="773951"/>
    <x v="2"/>
    <n v="1986"/>
    <n v="6"/>
    <n v="40"/>
    <x v="1"/>
    <x v="0"/>
  </r>
  <r>
    <x v="296"/>
    <n v="85030"/>
    <s v="Finance - Executive"/>
    <x v="5"/>
    <s v="Executive"/>
    <n v="791"/>
    <n v="4"/>
    <x v="9"/>
    <d v="1988-11-15T00:00:00"/>
    <n v="514612"/>
    <x v="2"/>
    <n v="1988"/>
    <n v="10"/>
    <n v="38"/>
    <x v="1"/>
    <x v="1"/>
  </r>
  <r>
    <x v="107"/>
    <n v="37637"/>
    <s v="Growth - Executive"/>
    <x v="2"/>
    <s v="Executive"/>
    <n v="704"/>
    <n v="4"/>
    <x v="1"/>
    <d v="1987-10-27T00:00:00"/>
    <n v="693106"/>
    <x v="0"/>
    <n v="1987"/>
    <n v="10"/>
    <n v="39"/>
    <x v="0"/>
    <x v="1"/>
  </r>
  <r>
    <x v="297"/>
    <n v="71901"/>
    <s v="Finance - Intern"/>
    <x v="5"/>
    <s v="Intern"/>
    <n v="786"/>
    <n v="4"/>
    <x v="8"/>
    <d v="1987-10-14T00:00:00"/>
    <n v="588495"/>
    <x v="2"/>
    <n v="1987"/>
    <n v="8"/>
    <n v="39"/>
    <x v="1"/>
    <x v="1"/>
  </r>
  <r>
    <x v="51"/>
    <n v="85468"/>
    <s v="Operation - Executive"/>
    <x v="1"/>
    <s v="Executive"/>
    <n v="749"/>
    <n v="5"/>
    <x v="8"/>
    <d v="1981-08-16T00:00:00"/>
    <n v="719399"/>
    <x v="1"/>
    <n v="1981"/>
    <n v="2"/>
    <n v="45"/>
    <x v="0"/>
    <x v="1"/>
  </r>
  <r>
    <x v="47"/>
    <n v="57336"/>
    <s v="Operation - Executive"/>
    <x v="1"/>
    <s v="Executive"/>
    <n v="779"/>
    <n v="5"/>
    <x v="1"/>
    <d v="1982-08-21T00:00:00"/>
    <n v="560702"/>
    <x v="0"/>
    <n v="1982"/>
    <n v="2"/>
    <n v="44"/>
    <x v="1"/>
    <x v="1"/>
  </r>
  <r>
    <x v="218"/>
    <n v="27308"/>
    <s v="Strategy - Intern"/>
    <x v="3"/>
    <s v="Intern"/>
    <n v="752"/>
    <n v="2"/>
    <x v="0"/>
    <d v="1986-01-14T00:00:00"/>
    <n v="560996"/>
    <x v="0"/>
    <n v="1986"/>
    <n v="3"/>
    <n v="40"/>
    <x v="1"/>
    <x v="0"/>
  </r>
  <r>
    <x v="298"/>
    <n v="77929"/>
    <s v="Finance - Intern"/>
    <x v="5"/>
    <s v="Intern"/>
    <n v="721"/>
    <n v="5"/>
    <x v="3"/>
    <d v="1987-09-21T00:00:00"/>
    <n v="896645"/>
    <x v="2"/>
    <n v="1987"/>
    <n v="6"/>
    <n v="39"/>
    <x v="0"/>
    <x v="0"/>
  </r>
  <r>
    <x v="141"/>
    <n v="17824"/>
    <s v="Growth - Intern"/>
    <x v="2"/>
    <s v="Intern"/>
    <n v="781"/>
    <n v="5"/>
    <x v="6"/>
    <d v="1983-05-26T00:00:00"/>
    <n v="745179"/>
    <x v="2"/>
    <n v="1983"/>
    <n v="11"/>
    <n v="43"/>
    <x v="1"/>
    <x v="0"/>
  </r>
  <r>
    <x v="79"/>
    <n v="16626"/>
    <s v="Finance - Manager"/>
    <x v="5"/>
    <s v="Manager"/>
    <n v="711"/>
    <n v="3"/>
    <x v="6"/>
    <d v="1985-10-01T00:00:00"/>
    <n v="566242"/>
    <x v="1"/>
    <n v="1985"/>
    <n v="4"/>
    <n v="41"/>
    <x v="0"/>
    <x v="0"/>
  </r>
  <r>
    <x v="266"/>
    <n v="23341"/>
    <s v="Strategy - Director"/>
    <x v="3"/>
    <s v="Director"/>
    <n v="723"/>
    <n v="5"/>
    <x v="7"/>
    <d v="1985-08-09T00:00:00"/>
    <n v="566764"/>
    <x v="1"/>
    <n v="1985"/>
    <n v="11"/>
    <n v="41"/>
    <x v="0"/>
    <x v="1"/>
  </r>
  <r>
    <x v="140"/>
    <n v="65397"/>
    <s v="Marketing - Director"/>
    <x v="0"/>
    <s v="Director"/>
    <n v="767"/>
    <n v="4"/>
    <x v="5"/>
    <d v="1982-07-16T00:00:00"/>
    <n v="975822"/>
    <x v="0"/>
    <n v="1982"/>
    <n v="8"/>
    <n v="44"/>
    <x v="1"/>
    <x v="2"/>
  </r>
  <r>
    <x v="144"/>
    <n v="54400"/>
    <s v="Marketing - Director"/>
    <x v="0"/>
    <s v="Director"/>
    <n v="754"/>
    <n v="1"/>
    <x v="1"/>
    <d v="1984-04-08T00:00:00"/>
    <n v="675139"/>
    <x v="2"/>
    <n v="1984"/>
    <n v="11"/>
    <n v="42"/>
    <x v="1"/>
    <x v="1"/>
  </r>
  <r>
    <x v="224"/>
    <n v="88756"/>
    <s v="Growth - Executive"/>
    <x v="2"/>
    <s v="Executive"/>
    <n v="782"/>
    <n v="1"/>
    <x v="0"/>
    <d v="1993-09-19T00:00:00"/>
    <n v="812143"/>
    <x v="1"/>
    <n v="1993"/>
    <n v="4"/>
    <n v="33"/>
    <x v="1"/>
    <x v="0"/>
  </r>
  <r>
    <x v="299"/>
    <n v="13872"/>
    <s v="Strategy - Manager"/>
    <x v="3"/>
    <s v="Manager"/>
    <n v="749"/>
    <n v="4"/>
    <x v="2"/>
    <d v="1981-02-16T00:00:00"/>
    <n v="513168"/>
    <x v="1"/>
    <n v="1981"/>
    <n v="11"/>
    <n v="45"/>
    <x v="0"/>
    <x v="1"/>
  </r>
  <r>
    <x v="212"/>
    <n v="67423"/>
    <s v="Sales - Intern"/>
    <x v="4"/>
    <s v="Intern"/>
    <n v="707"/>
    <n v="2"/>
    <x v="8"/>
    <d v="1994-08-05T00:00:00"/>
    <n v="651523"/>
    <x v="0"/>
    <n v="1994"/>
    <n v="2"/>
    <n v="32"/>
    <x v="0"/>
    <x v="1"/>
  </r>
  <r>
    <x v="65"/>
    <n v="22986"/>
    <s v="Growth - Intern"/>
    <x v="2"/>
    <s v="Intern"/>
    <n v="773"/>
    <n v="1"/>
    <x v="8"/>
    <d v="1990-07-05T00:00:00"/>
    <n v="958742"/>
    <x v="1"/>
    <n v="1990"/>
    <n v="4"/>
    <n v="36"/>
    <x v="1"/>
    <x v="1"/>
  </r>
  <r>
    <x v="99"/>
    <n v="93329"/>
    <s v="Strategy - Intern"/>
    <x v="3"/>
    <s v="Intern"/>
    <n v="780"/>
    <n v="5"/>
    <x v="4"/>
    <d v="1980-06-02T00:00:00"/>
    <n v="501611"/>
    <x v="0"/>
    <n v="1980"/>
    <n v="1"/>
    <n v="46"/>
    <x v="1"/>
    <x v="2"/>
  </r>
  <r>
    <x v="240"/>
    <n v="32818"/>
    <s v="Growth - Manager"/>
    <x v="2"/>
    <s v="Manager"/>
    <n v="721"/>
    <n v="4"/>
    <x v="9"/>
    <d v="1990-12-29T00:00:00"/>
    <n v="913989"/>
    <x v="0"/>
    <n v="1990"/>
    <n v="5"/>
    <n v="36"/>
    <x v="0"/>
    <x v="1"/>
  </r>
  <r>
    <x v="200"/>
    <n v="68286"/>
    <s v="Finance - Director"/>
    <x v="5"/>
    <s v="Director"/>
    <n v="782"/>
    <n v="5"/>
    <x v="2"/>
    <d v="1982-02-21T00:00:00"/>
    <n v="860088"/>
    <x v="0"/>
    <n v="1982"/>
    <n v="9"/>
    <n v="44"/>
    <x v="1"/>
    <x v="1"/>
  </r>
  <r>
    <x v="179"/>
    <n v="81971"/>
    <s v="Sales - Intern"/>
    <x v="4"/>
    <s v="Intern"/>
    <n v="737"/>
    <n v="2"/>
    <x v="9"/>
    <d v="1986-07-14T00:00:00"/>
    <n v="949805"/>
    <x v="1"/>
    <n v="1986"/>
    <n v="1"/>
    <n v="40"/>
    <x v="0"/>
    <x v="1"/>
  </r>
  <r>
    <x v="300"/>
    <n v="20146"/>
    <s v="Growth - Director"/>
    <x v="2"/>
    <s v="Director"/>
    <n v="775"/>
    <n v="4"/>
    <x v="7"/>
    <d v="1985-01-16T00:00:00"/>
    <n v="956480"/>
    <x v="1"/>
    <n v="1985"/>
    <n v="3"/>
    <n v="41"/>
    <x v="1"/>
    <x v="1"/>
  </r>
  <r>
    <x v="142"/>
    <n v="63506"/>
    <s v="Sales - Executive"/>
    <x v="4"/>
    <s v="Executive"/>
    <n v="705"/>
    <n v="4"/>
    <x v="2"/>
    <d v="1987-07-14T00:00:00"/>
    <n v="981173"/>
    <x v="2"/>
    <n v="1987"/>
    <n v="5"/>
    <n v="39"/>
    <x v="0"/>
    <x v="1"/>
  </r>
  <r>
    <x v="173"/>
    <n v="45428"/>
    <s v="Growth - Executive"/>
    <x v="2"/>
    <s v="Executive"/>
    <n v="782"/>
    <n v="5"/>
    <x v="3"/>
    <d v="1982-04-15T00:00:00"/>
    <n v="616349"/>
    <x v="0"/>
    <n v="1982"/>
    <n v="1"/>
    <n v="44"/>
    <x v="1"/>
    <x v="0"/>
  </r>
  <r>
    <x v="158"/>
    <n v="86462"/>
    <s v="Sales - Manager"/>
    <x v="4"/>
    <s v="Manager"/>
    <n v="701"/>
    <n v="1"/>
    <x v="9"/>
    <d v="1987-07-21T00:00:00"/>
    <n v="916244"/>
    <x v="1"/>
    <n v="1987"/>
    <n v="8"/>
    <n v="39"/>
    <x v="0"/>
    <x v="1"/>
  </r>
  <r>
    <x v="202"/>
    <n v="30763"/>
    <s v="Operation - Manager"/>
    <x v="1"/>
    <s v="Manager"/>
    <n v="747"/>
    <n v="2"/>
    <x v="4"/>
    <d v="1993-04-23T00:00:00"/>
    <n v="865981"/>
    <x v="0"/>
    <n v="1993"/>
    <n v="3"/>
    <n v="33"/>
    <x v="0"/>
    <x v="0"/>
  </r>
  <r>
    <x v="104"/>
    <n v="10594"/>
    <s v="Operation - Manager"/>
    <x v="1"/>
    <s v="Manager"/>
    <n v="764"/>
    <n v="4"/>
    <x v="1"/>
    <d v="1985-03-23T00:00:00"/>
    <n v="605195"/>
    <x v="1"/>
    <n v="1985"/>
    <n v="11"/>
    <n v="41"/>
    <x v="1"/>
    <x v="1"/>
  </r>
  <r>
    <x v="142"/>
    <n v="37893"/>
    <s v="Growth - Intern"/>
    <x v="2"/>
    <s v="Intern"/>
    <n v="780"/>
    <n v="5"/>
    <x v="2"/>
    <d v="1993-11-17T00:00:00"/>
    <n v="544939"/>
    <x v="2"/>
    <n v="1993"/>
    <n v="5"/>
    <n v="33"/>
    <x v="1"/>
    <x v="1"/>
  </r>
  <r>
    <x v="153"/>
    <n v="35349"/>
    <s v="Strategy - Director"/>
    <x v="3"/>
    <s v="Director"/>
    <n v="785"/>
    <n v="1"/>
    <x v="0"/>
    <d v="1985-02-13T00:00:00"/>
    <n v="908893"/>
    <x v="2"/>
    <n v="1985"/>
    <n v="1"/>
    <n v="41"/>
    <x v="1"/>
    <x v="0"/>
  </r>
  <r>
    <x v="62"/>
    <n v="50662"/>
    <s v="Growth - Manager"/>
    <x v="2"/>
    <s v="Manager"/>
    <n v="756"/>
    <n v="4"/>
    <x v="0"/>
    <d v="1992-06-29T00:00:00"/>
    <n v="727711"/>
    <x v="1"/>
    <n v="1992"/>
    <n v="5"/>
    <n v="34"/>
    <x v="1"/>
    <x v="0"/>
  </r>
  <r>
    <x v="271"/>
    <n v="60718"/>
    <s v="Sales - Executive"/>
    <x v="4"/>
    <s v="Executive"/>
    <n v="704"/>
    <n v="2"/>
    <x v="3"/>
    <d v="1994-06-08T00:00:00"/>
    <n v="742117"/>
    <x v="0"/>
    <n v="1994"/>
    <n v="7"/>
    <n v="32"/>
    <x v="0"/>
    <x v="0"/>
  </r>
  <r>
    <x v="120"/>
    <n v="94341"/>
    <s v="Sales - Director"/>
    <x v="4"/>
    <s v="Director"/>
    <n v="747"/>
    <n v="2"/>
    <x v="1"/>
    <d v="1981-06-01T00:00:00"/>
    <n v="980054"/>
    <x v="2"/>
    <n v="1981"/>
    <n v="6"/>
    <n v="45"/>
    <x v="0"/>
    <x v="1"/>
  </r>
  <r>
    <x v="39"/>
    <n v="69843"/>
    <s v="Strategy - Manager"/>
    <x v="3"/>
    <s v="Manager"/>
    <n v="704"/>
    <n v="2"/>
    <x v="5"/>
    <d v="1983-06-18T00:00:00"/>
    <n v="564431"/>
    <x v="0"/>
    <n v="1983"/>
    <n v="3"/>
    <n v="43"/>
    <x v="0"/>
    <x v="0"/>
  </r>
  <r>
    <x v="17"/>
    <n v="16301"/>
    <s v="Strategy - Executive"/>
    <x v="3"/>
    <s v="Executive"/>
    <n v="754"/>
    <n v="2"/>
    <x v="1"/>
    <d v="1984-11-18T00:00:00"/>
    <n v="510077"/>
    <x v="1"/>
    <n v="1984"/>
    <n v="4"/>
    <n v="42"/>
    <x v="1"/>
    <x v="1"/>
  </r>
  <r>
    <x v="116"/>
    <n v="36271"/>
    <s v="Sales - Director"/>
    <x v="4"/>
    <s v="Director"/>
    <n v="783"/>
    <n v="3"/>
    <x v="5"/>
    <d v="1987-12-29T00:00:00"/>
    <n v="763053"/>
    <x v="0"/>
    <n v="1987"/>
    <n v="10"/>
    <n v="39"/>
    <x v="1"/>
    <x v="2"/>
  </r>
  <r>
    <x v="62"/>
    <n v="52014"/>
    <s v="Marketing - Director"/>
    <x v="0"/>
    <s v="Director"/>
    <n v="769"/>
    <n v="2"/>
    <x v="9"/>
    <d v="1990-02-16T00:00:00"/>
    <n v="697289"/>
    <x v="2"/>
    <n v="1990"/>
    <n v="5"/>
    <n v="36"/>
    <x v="1"/>
    <x v="1"/>
  </r>
  <r>
    <x v="249"/>
    <n v="40231"/>
    <s v="Finance - Director"/>
    <x v="5"/>
    <s v="Director"/>
    <n v="727"/>
    <n v="1"/>
    <x v="4"/>
    <d v="1983-08-21T00:00:00"/>
    <n v="926458"/>
    <x v="0"/>
    <n v="1983"/>
    <n v="7"/>
    <n v="43"/>
    <x v="0"/>
    <x v="0"/>
  </r>
  <r>
    <x v="206"/>
    <n v="90401"/>
    <s v="Finance - Executive"/>
    <x v="5"/>
    <s v="Executive"/>
    <n v="788"/>
    <n v="4"/>
    <x v="6"/>
    <d v="1993-05-22T00:00:00"/>
    <n v="541072"/>
    <x v="1"/>
    <n v="1993"/>
    <n v="10"/>
    <n v="33"/>
    <x v="1"/>
    <x v="0"/>
  </r>
  <r>
    <x v="98"/>
    <n v="45815"/>
    <s v="Operation - Director"/>
    <x v="1"/>
    <s v="Director"/>
    <n v="766"/>
    <n v="4"/>
    <x v="3"/>
    <d v="1986-12-01T00:00:00"/>
    <n v="929726"/>
    <x v="2"/>
    <n v="1986"/>
    <n v="3"/>
    <n v="40"/>
    <x v="1"/>
    <x v="0"/>
  </r>
  <r>
    <x v="138"/>
    <n v="98390"/>
    <s v="Strategy - Intern"/>
    <x v="3"/>
    <s v="Intern"/>
    <n v="752"/>
    <n v="2"/>
    <x v="0"/>
    <d v="1981-09-06T00:00:00"/>
    <n v="570686"/>
    <x v="2"/>
    <n v="1981"/>
    <n v="7"/>
    <n v="45"/>
    <x v="1"/>
    <x v="0"/>
  </r>
  <r>
    <x v="150"/>
    <n v="19699"/>
    <s v="Strategy - Director"/>
    <x v="3"/>
    <s v="Director"/>
    <n v="728"/>
    <n v="3"/>
    <x v="9"/>
    <d v="1986-06-05T00:00:00"/>
    <n v="725775"/>
    <x v="2"/>
    <n v="1986"/>
    <n v="2"/>
    <n v="40"/>
    <x v="0"/>
    <x v="1"/>
  </r>
  <r>
    <x v="178"/>
    <n v="55935"/>
    <s v="Finance - Intern"/>
    <x v="5"/>
    <s v="Intern"/>
    <n v="746"/>
    <n v="1"/>
    <x v="2"/>
    <d v="1990-04-16T00:00:00"/>
    <n v="508324"/>
    <x v="2"/>
    <n v="1990"/>
    <n v="2"/>
    <n v="36"/>
    <x v="0"/>
    <x v="1"/>
  </r>
  <r>
    <x v="251"/>
    <n v="29979"/>
    <s v="Marketing - Executive"/>
    <x v="0"/>
    <s v="Executive"/>
    <n v="759"/>
    <n v="4"/>
    <x v="2"/>
    <d v="1984-05-16T00:00:00"/>
    <n v="721137"/>
    <x v="0"/>
    <n v="1984"/>
    <n v="1"/>
    <n v="42"/>
    <x v="1"/>
    <x v="1"/>
  </r>
  <r>
    <x v="18"/>
    <n v="14973"/>
    <s v="Sales - Executive"/>
    <x v="4"/>
    <s v="Executive"/>
    <n v="747"/>
    <n v="3"/>
    <x v="5"/>
    <d v="1980-02-03T00:00:00"/>
    <n v="668710"/>
    <x v="1"/>
    <n v="1980"/>
    <n v="8"/>
    <n v="46"/>
    <x v="0"/>
    <x v="0"/>
  </r>
  <r>
    <x v="301"/>
    <n v="17959"/>
    <s v="Operation - Manager"/>
    <x v="1"/>
    <s v="Manager"/>
    <n v="766"/>
    <n v="3"/>
    <x v="4"/>
    <d v="1985-09-25T00:00:00"/>
    <n v="670428"/>
    <x v="0"/>
    <n v="1985"/>
    <n v="9"/>
    <n v="41"/>
    <x v="1"/>
    <x v="2"/>
  </r>
  <r>
    <x v="104"/>
    <n v="17983"/>
    <s v="Finance - Director"/>
    <x v="5"/>
    <s v="Director"/>
    <n v="758"/>
    <n v="2"/>
    <x v="7"/>
    <d v="1986-04-23T00:00:00"/>
    <n v="847229"/>
    <x v="1"/>
    <n v="1986"/>
    <n v="11"/>
    <n v="40"/>
    <x v="1"/>
    <x v="1"/>
  </r>
  <r>
    <x v="101"/>
    <n v="29633"/>
    <s v="Operation - Intern"/>
    <x v="1"/>
    <s v="Intern"/>
    <n v="771"/>
    <n v="5"/>
    <x v="4"/>
    <d v="1990-02-16T00:00:00"/>
    <n v="669917"/>
    <x v="2"/>
    <n v="1990"/>
    <n v="2"/>
    <n v="36"/>
    <x v="1"/>
    <x v="2"/>
  </r>
  <r>
    <x v="87"/>
    <n v="75456"/>
    <s v="Marketing - Intern"/>
    <x v="0"/>
    <s v="Intern"/>
    <n v="774"/>
    <n v="4"/>
    <x v="3"/>
    <d v="1983-08-30T00:00:00"/>
    <n v="990091"/>
    <x v="1"/>
    <n v="1983"/>
    <n v="9"/>
    <n v="43"/>
    <x v="1"/>
    <x v="0"/>
  </r>
  <r>
    <x v="94"/>
    <n v="61438"/>
    <s v="Finance - Director"/>
    <x v="5"/>
    <s v="Director"/>
    <n v="704"/>
    <n v="4"/>
    <x v="8"/>
    <d v="1984-06-18T00:00:00"/>
    <n v="632671"/>
    <x v="0"/>
    <n v="1984"/>
    <n v="5"/>
    <n v="42"/>
    <x v="0"/>
    <x v="1"/>
  </r>
  <r>
    <x v="52"/>
    <n v="54730"/>
    <s v="Marketing - Manager"/>
    <x v="0"/>
    <s v="Manager"/>
    <n v="726"/>
    <n v="1"/>
    <x v="5"/>
    <d v="1984-08-26T00:00:00"/>
    <n v="694525"/>
    <x v="0"/>
    <n v="1984"/>
    <n v="4"/>
    <n v="42"/>
    <x v="0"/>
    <x v="0"/>
  </r>
  <r>
    <x v="76"/>
    <n v="22403"/>
    <s v="Strategy - Executive"/>
    <x v="3"/>
    <s v="Executive"/>
    <n v="774"/>
    <n v="4"/>
    <x v="2"/>
    <d v="1982-12-19T00:00:00"/>
    <n v="945314"/>
    <x v="1"/>
    <n v="1982"/>
    <n v="6"/>
    <n v="44"/>
    <x v="1"/>
    <x v="1"/>
  </r>
  <r>
    <x v="112"/>
    <n v="24460"/>
    <s v="Operation - Director"/>
    <x v="1"/>
    <s v="Director"/>
    <n v="731"/>
    <n v="5"/>
    <x v="4"/>
    <d v="1993-01-06T00:00:00"/>
    <n v="929077"/>
    <x v="0"/>
    <n v="1993"/>
    <n v="2"/>
    <n v="33"/>
    <x v="0"/>
    <x v="0"/>
  </r>
  <r>
    <x v="61"/>
    <n v="15555"/>
    <s v="Sales - Director"/>
    <x v="4"/>
    <s v="Director"/>
    <n v="761"/>
    <n v="5"/>
    <x v="5"/>
    <d v="1989-01-30T00:00:00"/>
    <n v="641971"/>
    <x v="2"/>
    <n v="1989"/>
    <n v="4"/>
    <n v="37"/>
    <x v="1"/>
    <x v="2"/>
  </r>
  <r>
    <x v="37"/>
    <n v="31572"/>
    <s v="Strategy - Intern"/>
    <x v="3"/>
    <s v="Intern"/>
    <n v="716"/>
    <n v="5"/>
    <x v="3"/>
    <d v="1993-01-04T00:00:00"/>
    <n v="986183"/>
    <x v="0"/>
    <n v="1993"/>
    <n v="11"/>
    <n v="33"/>
    <x v="0"/>
    <x v="0"/>
  </r>
  <r>
    <x v="39"/>
    <n v="94468"/>
    <s v="Growth - Manager"/>
    <x v="2"/>
    <s v="Manager"/>
    <n v="703"/>
    <n v="4"/>
    <x v="4"/>
    <d v="1992-01-06T00:00:00"/>
    <n v="525840"/>
    <x v="1"/>
    <n v="1992"/>
    <n v="3"/>
    <n v="34"/>
    <x v="0"/>
    <x v="0"/>
  </r>
  <r>
    <x v="7"/>
    <n v="98284"/>
    <s v="Strategy - Executive"/>
    <x v="3"/>
    <s v="Executive"/>
    <n v="722"/>
    <n v="5"/>
    <x v="3"/>
    <d v="1985-11-15T00:00:00"/>
    <n v="865509"/>
    <x v="0"/>
    <n v="1985"/>
    <n v="8"/>
    <n v="41"/>
    <x v="0"/>
    <x v="0"/>
  </r>
  <r>
    <x v="282"/>
    <n v="38660"/>
    <s v="Marketing - Executive"/>
    <x v="0"/>
    <s v="Executive"/>
    <n v="755"/>
    <n v="2"/>
    <x v="7"/>
    <d v="1993-04-09T00:00:00"/>
    <n v="983501"/>
    <x v="0"/>
    <n v="1993"/>
    <n v="7"/>
    <n v="33"/>
    <x v="1"/>
    <x v="1"/>
  </r>
  <r>
    <x v="38"/>
    <n v="98925"/>
    <s v="Marketing - Director"/>
    <x v="0"/>
    <s v="Director"/>
    <n v="743"/>
    <n v="1"/>
    <x v="5"/>
    <d v="1983-12-02T00:00:00"/>
    <n v="553339"/>
    <x v="0"/>
    <n v="1983"/>
    <n v="1"/>
    <n v="43"/>
    <x v="0"/>
    <x v="0"/>
  </r>
  <r>
    <x v="177"/>
    <n v="65148"/>
    <s v="Marketing - Intern"/>
    <x v="0"/>
    <s v="Intern"/>
    <n v="756"/>
    <n v="5"/>
    <x v="5"/>
    <d v="1982-09-09T00:00:00"/>
    <n v="549563"/>
    <x v="1"/>
    <n v="1982"/>
    <n v="10"/>
    <n v="44"/>
    <x v="1"/>
    <x v="2"/>
  </r>
  <r>
    <x v="9"/>
    <n v="71954"/>
    <s v="Finance - Executive"/>
    <x v="5"/>
    <s v="Executive"/>
    <n v="710"/>
    <n v="2"/>
    <x v="5"/>
    <d v="1985-02-09T00:00:00"/>
    <n v="596391"/>
    <x v="2"/>
    <n v="1985"/>
    <n v="5"/>
    <n v="41"/>
    <x v="0"/>
    <x v="0"/>
  </r>
  <r>
    <x v="152"/>
    <n v="85361"/>
    <s v="Finance - Director"/>
    <x v="5"/>
    <s v="Director"/>
    <n v="750"/>
    <n v="2"/>
    <x v="3"/>
    <d v="1990-06-26T00:00:00"/>
    <n v="932471"/>
    <x v="2"/>
    <n v="1990"/>
    <n v="10"/>
    <n v="36"/>
    <x v="1"/>
    <x v="0"/>
  </r>
  <r>
    <x v="27"/>
    <n v="48460"/>
    <s v="Sales - Manager"/>
    <x v="4"/>
    <s v="Manager"/>
    <n v="763"/>
    <n v="5"/>
    <x v="7"/>
    <d v="1994-01-12T00:00:00"/>
    <n v="892876"/>
    <x v="2"/>
    <n v="1994"/>
    <n v="1"/>
    <n v="32"/>
    <x v="1"/>
    <x v="1"/>
  </r>
  <r>
    <x v="7"/>
    <n v="28260"/>
    <s v="Growth - Executive"/>
    <x v="2"/>
    <s v="Executive"/>
    <n v="777"/>
    <n v="1"/>
    <x v="1"/>
    <d v="1987-04-20T00:00:00"/>
    <n v="759460"/>
    <x v="2"/>
    <n v="1987"/>
    <n v="8"/>
    <n v="39"/>
    <x v="1"/>
    <x v="1"/>
  </r>
  <r>
    <x v="63"/>
    <n v="79019"/>
    <s v="Growth - Director"/>
    <x v="2"/>
    <s v="Director"/>
    <n v="722"/>
    <n v="4"/>
    <x v="9"/>
    <d v="1992-11-21T00:00:00"/>
    <n v="937822"/>
    <x v="1"/>
    <n v="1992"/>
    <n v="11"/>
    <n v="34"/>
    <x v="0"/>
    <x v="1"/>
  </r>
  <r>
    <x v="191"/>
    <n v="48370"/>
    <s v="Growth - Intern"/>
    <x v="2"/>
    <s v="Intern"/>
    <n v="792"/>
    <n v="2"/>
    <x v="8"/>
    <d v="1993-10-01T00:00:00"/>
    <n v="971965"/>
    <x v="2"/>
    <n v="1993"/>
    <n v="5"/>
    <n v="33"/>
    <x v="1"/>
    <x v="1"/>
  </r>
  <r>
    <x v="224"/>
    <n v="83571"/>
    <s v="Growth - Intern"/>
    <x v="2"/>
    <s v="Intern"/>
    <n v="728"/>
    <n v="3"/>
    <x v="0"/>
    <d v="1992-07-02T00:00:00"/>
    <n v="819520"/>
    <x v="2"/>
    <n v="1992"/>
    <n v="4"/>
    <n v="34"/>
    <x v="0"/>
    <x v="0"/>
  </r>
  <r>
    <x v="186"/>
    <n v="14826"/>
    <s v="Growth - Manager"/>
    <x v="2"/>
    <s v="Manager"/>
    <n v="774"/>
    <n v="4"/>
    <x v="9"/>
    <d v="1992-03-03T00:00:00"/>
    <n v="814530"/>
    <x v="1"/>
    <n v="1992"/>
    <n v="8"/>
    <n v="34"/>
    <x v="1"/>
    <x v="1"/>
  </r>
  <r>
    <x v="21"/>
    <n v="78823"/>
    <s v="Operation - Executive"/>
    <x v="1"/>
    <s v="Executive"/>
    <n v="752"/>
    <n v="1"/>
    <x v="3"/>
    <d v="1990-12-23T00:00:00"/>
    <n v="953866"/>
    <x v="1"/>
    <n v="1990"/>
    <n v="3"/>
    <n v="36"/>
    <x v="1"/>
    <x v="0"/>
  </r>
  <r>
    <x v="10"/>
    <n v="34005"/>
    <s v="Finance - Intern"/>
    <x v="5"/>
    <s v="Intern"/>
    <n v="713"/>
    <n v="2"/>
    <x v="5"/>
    <d v="1990-09-13T00:00:00"/>
    <n v="736970"/>
    <x v="0"/>
    <n v="1990"/>
    <n v="11"/>
    <n v="36"/>
    <x v="0"/>
    <x v="0"/>
  </r>
  <r>
    <x v="302"/>
    <n v="50325"/>
    <s v="Marketing - Executive"/>
    <x v="0"/>
    <s v="Executive"/>
    <n v="784"/>
    <n v="3"/>
    <x v="9"/>
    <d v="1990-07-14T00:00:00"/>
    <n v="565722"/>
    <x v="1"/>
    <n v="1990"/>
    <n v="9"/>
    <n v="36"/>
    <x v="1"/>
    <x v="1"/>
  </r>
  <r>
    <x v="150"/>
    <n v="13130"/>
    <s v="Sales - Intern"/>
    <x v="4"/>
    <s v="Intern"/>
    <n v="730"/>
    <n v="3"/>
    <x v="5"/>
    <d v="1994-06-11T00:00:00"/>
    <n v="734947"/>
    <x v="1"/>
    <n v="1994"/>
    <n v="2"/>
    <n v="32"/>
    <x v="0"/>
    <x v="0"/>
  </r>
  <r>
    <x v="7"/>
    <n v="45759"/>
    <s v="Growth - Executive"/>
    <x v="2"/>
    <s v="Executive"/>
    <n v="734"/>
    <n v="5"/>
    <x v="8"/>
    <d v="1981-05-21T00:00:00"/>
    <n v="935278"/>
    <x v="1"/>
    <n v="1981"/>
    <n v="8"/>
    <n v="45"/>
    <x v="0"/>
    <x v="1"/>
  </r>
  <r>
    <x v="33"/>
    <n v="98695"/>
    <s v="Growth - Executive"/>
    <x v="2"/>
    <s v="Executive"/>
    <n v="704"/>
    <n v="2"/>
    <x v="6"/>
    <d v="1981-10-31T00:00:00"/>
    <n v="721081"/>
    <x v="2"/>
    <n v="1981"/>
    <n v="1"/>
    <n v="45"/>
    <x v="0"/>
    <x v="0"/>
  </r>
  <r>
    <x v="145"/>
    <n v="72401"/>
    <s v="Sales - Manager"/>
    <x v="4"/>
    <s v="Manager"/>
    <n v="718"/>
    <n v="1"/>
    <x v="7"/>
    <d v="1986-01-17T00:00:00"/>
    <n v="586165"/>
    <x v="2"/>
    <n v="1986"/>
    <n v="4"/>
    <n v="40"/>
    <x v="0"/>
    <x v="1"/>
  </r>
  <r>
    <x v="65"/>
    <n v="85134"/>
    <s v="Strategy - Executive"/>
    <x v="3"/>
    <s v="Executive"/>
    <n v="728"/>
    <n v="4"/>
    <x v="9"/>
    <d v="1985-11-27T00:00:00"/>
    <n v="557403"/>
    <x v="0"/>
    <n v="1985"/>
    <n v="4"/>
    <n v="41"/>
    <x v="0"/>
    <x v="1"/>
  </r>
  <r>
    <x v="229"/>
    <n v="94412"/>
    <s v="Finance - Manager"/>
    <x v="5"/>
    <s v="Manager"/>
    <n v="786"/>
    <n v="4"/>
    <x v="4"/>
    <d v="1991-12-30T00:00:00"/>
    <n v="877945"/>
    <x v="1"/>
    <n v="1991"/>
    <n v="9"/>
    <n v="35"/>
    <x v="1"/>
    <x v="2"/>
  </r>
  <r>
    <x v="93"/>
    <n v="98555"/>
    <s v="Growth - Executive"/>
    <x v="2"/>
    <s v="Executive"/>
    <n v="743"/>
    <n v="5"/>
    <x v="9"/>
    <d v="1993-03-09T00:00:00"/>
    <n v="557735"/>
    <x v="1"/>
    <n v="1993"/>
    <n v="7"/>
    <n v="33"/>
    <x v="0"/>
    <x v="1"/>
  </r>
  <r>
    <x v="303"/>
    <n v="71644"/>
    <s v="Finance - Manager"/>
    <x v="5"/>
    <s v="Manager"/>
    <n v="723"/>
    <n v="1"/>
    <x v="5"/>
    <d v="1989-04-02T00:00:00"/>
    <n v="898684"/>
    <x v="0"/>
    <n v="1989"/>
    <n v="4"/>
    <n v="37"/>
    <x v="0"/>
    <x v="0"/>
  </r>
  <r>
    <x v="252"/>
    <n v="53794"/>
    <s v="Sales - Manager"/>
    <x v="4"/>
    <s v="Manager"/>
    <n v="723"/>
    <n v="2"/>
    <x v="2"/>
    <d v="1983-06-03T00:00:00"/>
    <n v="999597"/>
    <x v="1"/>
    <n v="1983"/>
    <n v="6"/>
    <n v="43"/>
    <x v="0"/>
    <x v="1"/>
  </r>
  <r>
    <x v="185"/>
    <n v="52610"/>
    <s v="Finance - Executive"/>
    <x v="5"/>
    <s v="Executive"/>
    <n v="800"/>
    <n v="5"/>
    <x v="2"/>
    <d v="1992-05-07T00:00:00"/>
    <n v="917930"/>
    <x v="0"/>
    <n v="1992"/>
    <n v="1"/>
    <n v="34"/>
    <x v="1"/>
    <x v="1"/>
  </r>
  <r>
    <x v="234"/>
    <n v="54452"/>
    <s v="Finance - Manager"/>
    <x v="5"/>
    <s v="Manager"/>
    <n v="765"/>
    <n v="3"/>
    <x v="3"/>
    <d v="1992-04-06T00:00:00"/>
    <n v="864291"/>
    <x v="0"/>
    <n v="1992"/>
    <n v="2"/>
    <n v="34"/>
    <x v="1"/>
    <x v="0"/>
  </r>
  <r>
    <x v="231"/>
    <n v="62573"/>
    <s v="Strategy - Intern"/>
    <x v="3"/>
    <s v="Intern"/>
    <n v="703"/>
    <n v="3"/>
    <x v="1"/>
    <d v="1993-11-21T00:00:00"/>
    <n v="694026"/>
    <x v="2"/>
    <n v="1993"/>
    <n v="6"/>
    <n v="33"/>
    <x v="0"/>
    <x v="1"/>
  </r>
  <r>
    <x v="119"/>
    <n v="17465"/>
    <s v="Finance - Manager"/>
    <x v="5"/>
    <s v="Manager"/>
    <n v="748"/>
    <n v="4"/>
    <x v="0"/>
    <d v="1988-10-17T00:00:00"/>
    <n v="862990"/>
    <x v="1"/>
    <n v="1988"/>
    <n v="4"/>
    <n v="38"/>
    <x v="0"/>
    <x v="0"/>
  </r>
  <r>
    <x v="211"/>
    <n v="58255"/>
    <s v="Sales - Manager"/>
    <x v="4"/>
    <s v="Manager"/>
    <n v="796"/>
    <n v="4"/>
    <x v="0"/>
    <d v="1993-05-22T00:00:00"/>
    <n v="570936"/>
    <x v="2"/>
    <n v="1993"/>
    <n v="10"/>
    <n v="33"/>
    <x v="1"/>
    <x v="0"/>
  </r>
  <r>
    <x v="257"/>
    <n v="15392"/>
    <s v="Strategy - Manager"/>
    <x v="3"/>
    <s v="Manager"/>
    <n v="704"/>
    <n v="4"/>
    <x v="1"/>
    <d v="1992-12-25T00:00:00"/>
    <n v="940130"/>
    <x v="0"/>
    <n v="1992"/>
    <n v="5"/>
    <n v="34"/>
    <x v="0"/>
    <x v="1"/>
  </r>
  <r>
    <x v="41"/>
    <n v="93307"/>
    <s v="Finance - Executive"/>
    <x v="5"/>
    <s v="Executive"/>
    <n v="762"/>
    <n v="5"/>
    <x v="2"/>
    <d v="1993-05-10T00:00:00"/>
    <n v="923284"/>
    <x v="0"/>
    <n v="1993"/>
    <n v="1"/>
    <n v="33"/>
    <x v="1"/>
    <x v="1"/>
  </r>
  <r>
    <x v="12"/>
    <n v="76210"/>
    <s v="Operation - Manager"/>
    <x v="1"/>
    <s v="Manager"/>
    <n v="796"/>
    <n v="3"/>
    <x v="0"/>
    <d v="1988-07-12T00:00:00"/>
    <n v="580793"/>
    <x v="1"/>
    <n v="1988"/>
    <n v="2"/>
    <n v="38"/>
    <x v="1"/>
    <x v="0"/>
  </r>
  <r>
    <x v="91"/>
    <n v="77353"/>
    <s v="Finance - Director"/>
    <x v="5"/>
    <s v="Director"/>
    <n v="758"/>
    <n v="5"/>
    <x v="2"/>
    <d v="1981-01-14T00:00:00"/>
    <n v="847258"/>
    <x v="0"/>
    <n v="1981"/>
    <n v="7"/>
    <n v="45"/>
    <x v="1"/>
    <x v="1"/>
  </r>
  <r>
    <x v="83"/>
    <n v="34273"/>
    <s v="Sales - Manager"/>
    <x v="4"/>
    <s v="Manager"/>
    <n v="768"/>
    <n v="4"/>
    <x v="0"/>
    <d v="1984-12-19T00:00:00"/>
    <n v="506736"/>
    <x v="1"/>
    <n v="1984"/>
    <n v="1"/>
    <n v="42"/>
    <x v="1"/>
    <x v="0"/>
  </r>
  <r>
    <x v="292"/>
    <n v="84750"/>
    <s v="Growth - Director"/>
    <x v="2"/>
    <s v="Director"/>
    <n v="749"/>
    <n v="1"/>
    <x v="0"/>
    <d v="1981-08-24T00:00:00"/>
    <n v="867752"/>
    <x v="2"/>
    <n v="1981"/>
    <n v="5"/>
    <n v="45"/>
    <x v="0"/>
    <x v="0"/>
  </r>
  <r>
    <x v="255"/>
    <n v="39641"/>
    <s v="Operation - Intern"/>
    <x v="1"/>
    <s v="Intern"/>
    <n v="793"/>
    <n v="2"/>
    <x v="8"/>
    <d v="1983-12-20T00:00:00"/>
    <n v="839870"/>
    <x v="1"/>
    <n v="1983"/>
    <n v="3"/>
    <n v="43"/>
    <x v="1"/>
    <x v="1"/>
  </r>
  <r>
    <x v="133"/>
    <n v="38013"/>
    <s v="Strategy - Manager"/>
    <x v="3"/>
    <s v="Manager"/>
    <n v="756"/>
    <n v="5"/>
    <x v="2"/>
    <d v="1993-11-15T00:00:00"/>
    <n v="512988"/>
    <x v="2"/>
    <n v="1993"/>
    <n v="10"/>
    <n v="33"/>
    <x v="1"/>
    <x v="1"/>
  </r>
  <r>
    <x v="253"/>
    <n v="17970"/>
    <s v="Operation - Intern"/>
    <x v="1"/>
    <s v="Intern"/>
    <n v="748"/>
    <n v="5"/>
    <x v="5"/>
    <d v="1980-03-16T00:00:00"/>
    <n v="855983"/>
    <x v="2"/>
    <n v="1980"/>
    <n v="4"/>
    <n v="46"/>
    <x v="0"/>
    <x v="0"/>
  </r>
  <r>
    <x v="304"/>
    <n v="82087"/>
    <s v="Operation - Director"/>
    <x v="1"/>
    <s v="Director"/>
    <n v="767"/>
    <n v="3"/>
    <x v="3"/>
    <d v="1989-08-14T00:00:00"/>
    <n v="839506"/>
    <x v="2"/>
    <n v="1989"/>
    <n v="7"/>
    <n v="37"/>
    <x v="1"/>
    <x v="0"/>
  </r>
  <r>
    <x v="21"/>
    <n v="69407"/>
    <s v="Marketing - Manager"/>
    <x v="0"/>
    <s v="Manager"/>
    <n v="754"/>
    <n v="3"/>
    <x v="3"/>
    <d v="1988-06-06T00:00:00"/>
    <n v="850355"/>
    <x v="0"/>
    <n v="1988"/>
    <n v="3"/>
    <n v="38"/>
    <x v="1"/>
    <x v="0"/>
  </r>
  <r>
    <x v="172"/>
    <n v="51439"/>
    <s v="Operation - Manager"/>
    <x v="1"/>
    <s v="Manager"/>
    <n v="784"/>
    <n v="2"/>
    <x v="8"/>
    <d v="1986-10-19T00:00:00"/>
    <n v="698767"/>
    <x v="1"/>
    <n v="1986"/>
    <n v="8"/>
    <n v="40"/>
    <x v="1"/>
    <x v="1"/>
  </r>
  <r>
    <x v="144"/>
    <n v="96597"/>
    <s v="Growth - Director"/>
    <x v="2"/>
    <s v="Director"/>
    <n v="711"/>
    <n v="3"/>
    <x v="0"/>
    <d v="1982-10-03T00:00:00"/>
    <n v="979209"/>
    <x v="1"/>
    <n v="1982"/>
    <n v="11"/>
    <n v="44"/>
    <x v="0"/>
    <x v="0"/>
  </r>
  <r>
    <x v="45"/>
    <n v="62604"/>
    <s v="Sales - Executive"/>
    <x v="4"/>
    <s v="Executive"/>
    <n v="781"/>
    <n v="1"/>
    <x v="9"/>
    <d v="1980-12-10T00:00:00"/>
    <n v="624867"/>
    <x v="1"/>
    <n v="1980"/>
    <n v="4"/>
    <n v="46"/>
    <x v="1"/>
    <x v="1"/>
  </r>
  <r>
    <x v="228"/>
    <n v="11075"/>
    <s v="Finance - Manager"/>
    <x v="5"/>
    <s v="Manager"/>
    <n v="713"/>
    <n v="5"/>
    <x v="5"/>
    <d v="1983-02-22T00:00:00"/>
    <n v="622640"/>
    <x v="2"/>
    <n v="1983"/>
    <n v="4"/>
    <n v="43"/>
    <x v="0"/>
    <x v="0"/>
  </r>
  <r>
    <x v="264"/>
    <n v="92028"/>
    <s v="Marketing - Director"/>
    <x v="0"/>
    <s v="Director"/>
    <n v="763"/>
    <n v="4"/>
    <x v="2"/>
    <d v="1981-07-11T00:00:00"/>
    <n v="563736"/>
    <x v="1"/>
    <n v="1981"/>
    <n v="5"/>
    <n v="45"/>
    <x v="1"/>
    <x v="1"/>
  </r>
  <r>
    <x v="160"/>
    <n v="30370"/>
    <s v="Marketing - Manager"/>
    <x v="0"/>
    <s v="Manager"/>
    <n v="781"/>
    <n v="1"/>
    <x v="1"/>
    <d v="1982-10-16T00:00:00"/>
    <n v="968094"/>
    <x v="2"/>
    <n v="1982"/>
    <n v="3"/>
    <n v="44"/>
    <x v="1"/>
    <x v="1"/>
  </r>
  <r>
    <x v="277"/>
    <n v="19054"/>
    <s v="Marketing - Intern"/>
    <x v="0"/>
    <s v="Intern"/>
    <n v="711"/>
    <n v="5"/>
    <x v="1"/>
    <d v="1989-03-29T00:00:00"/>
    <n v="881748"/>
    <x v="2"/>
    <n v="1989"/>
    <n v="5"/>
    <n v="37"/>
    <x v="0"/>
    <x v="1"/>
  </r>
  <r>
    <x v="283"/>
    <n v="93308"/>
    <s v="Strategy - Director"/>
    <x v="3"/>
    <s v="Director"/>
    <n v="784"/>
    <n v="1"/>
    <x v="7"/>
    <d v="1989-07-26T00:00:00"/>
    <n v="744871"/>
    <x v="1"/>
    <n v="1989"/>
    <n v="2"/>
    <n v="37"/>
    <x v="1"/>
    <x v="1"/>
  </r>
  <r>
    <x v="248"/>
    <n v="75614"/>
    <s v="Operation - Intern"/>
    <x v="1"/>
    <s v="Intern"/>
    <n v="729"/>
    <n v="1"/>
    <x v="7"/>
    <d v="1990-10-06T00:00:00"/>
    <n v="545164"/>
    <x v="2"/>
    <n v="1990"/>
    <n v="2"/>
    <n v="36"/>
    <x v="0"/>
    <x v="1"/>
  </r>
  <r>
    <x v="305"/>
    <n v="26093"/>
    <s v="Strategy - Manager"/>
    <x v="3"/>
    <s v="Manager"/>
    <n v="747"/>
    <n v="1"/>
    <x v="7"/>
    <d v="1989-06-14T00:00:00"/>
    <n v="824245"/>
    <x v="1"/>
    <n v="1989"/>
    <n v="9"/>
    <n v="37"/>
    <x v="0"/>
    <x v="1"/>
  </r>
  <r>
    <x v="179"/>
    <n v="12031"/>
    <s v="Finance - Manager"/>
    <x v="5"/>
    <s v="Manager"/>
    <n v="777"/>
    <n v="4"/>
    <x v="4"/>
    <d v="1983-05-11T00:00:00"/>
    <n v="875258"/>
    <x v="1"/>
    <n v="1983"/>
    <n v="1"/>
    <n v="43"/>
    <x v="1"/>
    <x v="2"/>
  </r>
  <r>
    <x v="175"/>
    <n v="59382"/>
    <s v="Finance - Manager"/>
    <x v="5"/>
    <s v="Manager"/>
    <n v="730"/>
    <n v="2"/>
    <x v="7"/>
    <d v="1984-05-13T00:00:00"/>
    <n v="801163"/>
    <x v="1"/>
    <n v="1984"/>
    <n v="8"/>
    <n v="42"/>
    <x v="0"/>
    <x v="1"/>
  </r>
  <r>
    <x v="68"/>
    <n v="48790"/>
    <s v="Sales - Director"/>
    <x v="4"/>
    <s v="Director"/>
    <n v="708"/>
    <n v="5"/>
    <x v="1"/>
    <d v="1986-04-17T00:00:00"/>
    <n v="537442"/>
    <x v="2"/>
    <n v="1986"/>
    <n v="2"/>
    <n v="40"/>
    <x v="0"/>
    <x v="1"/>
  </r>
  <r>
    <x v="50"/>
    <n v="89837"/>
    <s v="Finance - Director"/>
    <x v="5"/>
    <s v="Director"/>
    <n v="711"/>
    <n v="1"/>
    <x v="9"/>
    <d v="1989-03-24T00:00:00"/>
    <n v="693530"/>
    <x v="1"/>
    <n v="1989"/>
    <n v="10"/>
    <n v="37"/>
    <x v="0"/>
    <x v="1"/>
  </r>
  <r>
    <x v="148"/>
    <n v="77042"/>
    <s v="Marketing - Executive"/>
    <x v="0"/>
    <s v="Executive"/>
    <n v="747"/>
    <n v="5"/>
    <x v="0"/>
    <d v="1991-04-27T00:00:00"/>
    <n v="949239"/>
    <x v="1"/>
    <n v="1991"/>
    <n v="9"/>
    <n v="35"/>
    <x v="0"/>
    <x v="0"/>
  </r>
  <r>
    <x v="204"/>
    <n v="67996"/>
    <s v="Growth - Manager"/>
    <x v="2"/>
    <s v="Manager"/>
    <n v="799"/>
    <n v="5"/>
    <x v="1"/>
    <d v="1994-09-01T00:00:00"/>
    <n v="581105"/>
    <x v="2"/>
    <n v="1994"/>
    <n v="9"/>
    <n v="32"/>
    <x v="1"/>
    <x v="1"/>
  </r>
  <r>
    <x v="301"/>
    <n v="99363"/>
    <s v="Growth - Director"/>
    <x v="2"/>
    <s v="Director"/>
    <n v="736"/>
    <n v="5"/>
    <x v="9"/>
    <d v="1984-04-10T00:00:00"/>
    <n v="562888"/>
    <x v="0"/>
    <n v="1984"/>
    <n v="9"/>
    <n v="42"/>
    <x v="0"/>
    <x v="1"/>
  </r>
  <r>
    <x v="273"/>
    <n v="10898"/>
    <s v="Strategy - Manager"/>
    <x v="3"/>
    <s v="Manager"/>
    <n v="719"/>
    <n v="1"/>
    <x v="3"/>
    <d v="1994-12-08T00:00:00"/>
    <n v="668384"/>
    <x v="0"/>
    <n v="1994"/>
    <n v="8"/>
    <n v="32"/>
    <x v="0"/>
    <x v="0"/>
  </r>
  <r>
    <x v="260"/>
    <n v="29743"/>
    <s v="Sales - Manager"/>
    <x v="4"/>
    <s v="Manager"/>
    <n v="741"/>
    <n v="3"/>
    <x v="0"/>
    <d v="1985-06-29T00:00:00"/>
    <n v="578374"/>
    <x v="1"/>
    <n v="1985"/>
    <n v="3"/>
    <n v="41"/>
    <x v="0"/>
    <x v="0"/>
  </r>
  <r>
    <x v="166"/>
    <n v="47015"/>
    <s v="Finance - Executive"/>
    <x v="5"/>
    <s v="Executive"/>
    <n v="713"/>
    <n v="1"/>
    <x v="7"/>
    <d v="1983-01-06T00:00:00"/>
    <n v="611606"/>
    <x v="0"/>
    <n v="1983"/>
    <n v="7"/>
    <n v="43"/>
    <x v="0"/>
    <x v="1"/>
  </r>
  <r>
    <x v="80"/>
    <n v="10568"/>
    <s v="Strategy - Director"/>
    <x v="3"/>
    <s v="Director"/>
    <n v="730"/>
    <n v="1"/>
    <x v="9"/>
    <d v="1988-03-12T00:00:00"/>
    <n v="630670"/>
    <x v="1"/>
    <n v="1988"/>
    <n v="4"/>
    <n v="38"/>
    <x v="0"/>
    <x v="1"/>
  </r>
  <r>
    <x v="82"/>
    <n v="36742"/>
    <s v="Growth - Intern"/>
    <x v="2"/>
    <s v="Intern"/>
    <n v="763"/>
    <n v="1"/>
    <x v="8"/>
    <d v="1988-06-15T00:00:00"/>
    <n v="983476"/>
    <x v="0"/>
    <n v="1988"/>
    <n v="7"/>
    <n v="38"/>
    <x v="1"/>
    <x v="1"/>
  </r>
  <r>
    <x v="223"/>
    <n v="47028"/>
    <s v="Growth - Manager"/>
    <x v="2"/>
    <s v="Manager"/>
    <n v="736"/>
    <n v="3"/>
    <x v="4"/>
    <d v="1986-05-04T00:00:00"/>
    <n v="854328"/>
    <x v="2"/>
    <n v="1986"/>
    <n v="8"/>
    <n v="40"/>
    <x v="0"/>
    <x v="0"/>
  </r>
  <r>
    <x v="275"/>
    <n v="14105"/>
    <s v="Finance - Intern"/>
    <x v="5"/>
    <s v="Intern"/>
    <n v="799"/>
    <n v="2"/>
    <x v="0"/>
    <d v="1983-09-18T00:00:00"/>
    <n v="641083"/>
    <x v="2"/>
    <n v="1983"/>
    <n v="3"/>
    <n v="43"/>
    <x v="1"/>
    <x v="0"/>
  </r>
  <r>
    <x v="218"/>
    <n v="84873"/>
    <s v="Marketing - Intern"/>
    <x v="0"/>
    <s v="Intern"/>
    <n v="786"/>
    <n v="1"/>
    <x v="3"/>
    <d v="1994-07-10T00:00:00"/>
    <n v="712355"/>
    <x v="2"/>
    <n v="1994"/>
    <n v="3"/>
    <n v="32"/>
    <x v="1"/>
    <x v="0"/>
  </r>
  <r>
    <x v="59"/>
    <n v="68730"/>
    <s v="Sales - Intern"/>
    <x v="4"/>
    <s v="Intern"/>
    <n v="766"/>
    <n v="3"/>
    <x v="8"/>
    <d v="1980-09-02T00:00:00"/>
    <n v="590362"/>
    <x v="1"/>
    <n v="1980"/>
    <n v="3"/>
    <n v="46"/>
    <x v="1"/>
    <x v="1"/>
  </r>
  <r>
    <x v="198"/>
    <n v="99258"/>
    <s v="Operation - Director"/>
    <x v="1"/>
    <s v="Director"/>
    <n v="800"/>
    <n v="1"/>
    <x v="9"/>
    <d v="1981-10-13T00:00:00"/>
    <n v="644680"/>
    <x v="0"/>
    <n v="1981"/>
    <n v="5"/>
    <n v="45"/>
    <x v="1"/>
    <x v="1"/>
  </r>
  <r>
    <x v="118"/>
    <n v="86342"/>
    <s v="Operation - Director"/>
    <x v="1"/>
    <s v="Director"/>
    <n v="712"/>
    <n v="2"/>
    <x v="5"/>
    <d v="1994-11-04T00:00:00"/>
    <n v="520268"/>
    <x v="0"/>
    <n v="1994"/>
    <n v="9"/>
    <n v="32"/>
    <x v="0"/>
    <x v="0"/>
  </r>
  <r>
    <x v="129"/>
    <n v="39613"/>
    <s v="Strategy - Manager"/>
    <x v="3"/>
    <s v="Manager"/>
    <n v="778"/>
    <n v="2"/>
    <x v="1"/>
    <d v="1984-02-08T00:00:00"/>
    <n v="991520"/>
    <x v="0"/>
    <n v="1984"/>
    <n v="6"/>
    <n v="42"/>
    <x v="1"/>
    <x v="1"/>
  </r>
  <r>
    <x v="259"/>
    <n v="34129"/>
    <s v="Finance - Intern"/>
    <x v="5"/>
    <s v="Intern"/>
    <n v="784"/>
    <n v="3"/>
    <x v="5"/>
    <d v="1982-10-05T00:00:00"/>
    <n v="946533"/>
    <x v="1"/>
    <n v="1982"/>
    <n v="1"/>
    <n v="44"/>
    <x v="1"/>
    <x v="2"/>
  </r>
  <r>
    <x v="134"/>
    <n v="14333"/>
    <s v="Strategy - Intern"/>
    <x v="3"/>
    <s v="Intern"/>
    <n v="791"/>
    <n v="3"/>
    <x v="9"/>
    <d v="1987-05-23T00:00:00"/>
    <n v="637256"/>
    <x v="0"/>
    <n v="1987"/>
    <n v="6"/>
    <n v="39"/>
    <x v="1"/>
    <x v="1"/>
  </r>
  <r>
    <x v="172"/>
    <n v="55712"/>
    <s v="Finance - Intern"/>
    <x v="5"/>
    <s v="Intern"/>
    <n v="717"/>
    <n v="4"/>
    <x v="9"/>
    <d v="1987-11-09T00:00:00"/>
    <n v="926315"/>
    <x v="0"/>
    <n v="1987"/>
    <n v="8"/>
    <n v="39"/>
    <x v="0"/>
    <x v="1"/>
  </r>
  <r>
    <x v="222"/>
    <n v="43140"/>
    <s v="Operation - Intern"/>
    <x v="1"/>
    <s v="Intern"/>
    <n v="790"/>
    <n v="1"/>
    <x v="1"/>
    <d v="1991-07-27T00:00:00"/>
    <n v="690767"/>
    <x v="1"/>
    <n v="1991"/>
    <n v="4"/>
    <n v="35"/>
    <x v="1"/>
    <x v="1"/>
  </r>
  <r>
    <x v="278"/>
    <n v="67409"/>
    <s v="Strategy - Director"/>
    <x v="3"/>
    <s v="Director"/>
    <n v="738"/>
    <n v="1"/>
    <x v="5"/>
    <d v="1993-12-13T00:00:00"/>
    <n v="588039"/>
    <x v="1"/>
    <n v="1993"/>
    <n v="10"/>
    <n v="33"/>
    <x v="0"/>
    <x v="0"/>
  </r>
  <r>
    <x v="303"/>
    <n v="42015"/>
    <s v="Growth - Manager"/>
    <x v="2"/>
    <s v="Manager"/>
    <n v="715"/>
    <n v="5"/>
    <x v="3"/>
    <d v="1989-12-09T00:00:00"/>
    <n v="951265"/>
    <x v="0"/>
    <n v="1989"/>
    <n v="4"/>
    <n v="37"/>
    <x v="0"/>
    <x v="0"/>
  </r>
  <r>
    <x v="236"/>
    <n v="87945"/>
    <s v="Operation - Manager"/>
    <x v="1"/>
    <s v="Manager"/>
    <n v="704"/>
    <n v="2"/>
    <x v="3"/>
    <d v="1980-10-25T00:00:00"/>
    <n v="735776"/>
    <x v="2"/>
    <n v="1980"/>
    <n v="10"/>
    <n v="46"/>
    <x v="0"/>
    <x v="0"/>
  </r>
  <r>
    <x v="130"/>
    <n v="51552"/>
    <s v="Sales - Executive"/>
    <x v="4"/>
    <s v="Executive"/>
    <n v="776"/>
    <n v="2"/>
    <x v="1"/>
    <d v="1984-09-11T00:00:00"/>
    <n v="962906"/>
    <x v="2"/>
    <n v="1984"/>
    <n v="5"/>
    <n v="42"/>
    <x v="1"/>
    <x v="1"/>
  </r>
  <r>
    <x v="96"/>
    <n v="56716"/>
    <s v="Marketing - Executive"/>
    <x v="0"/>
    <s v="Executive"/>
    <n v="784"/>
    <n v="5"/>
    <x v="1"/>
    <d v="1991-05-10T00:00:00"/>
    <n v="845891"/>
    <x v="1"/>
    <n v="1991"/>
    <n v="12"/>
    <n v="35"/>
    <x v="1"/>
    <x v="1"/>
  </r>
  <r>
    <x v="99"/>
    <n v="25193"/>
    <s v="Operation - Director"/>
    <x v="1"/>
    <s v="Director"/>
    <n v="721"/>
    <n v="2"/>
    <x v="3"/>
    <d v="1987-01-31T00:00:00"/>
    <n v="717802"/>
    <x v="2"/>
    <n v="1987"/>
    <n v="1"/>
    <n v="39"/>
    <x v="0"/>
    <x v="0"/>
  </r>
  <r>
    <x v="255"/>
    <n v="15531"/>
    <s v="Finance - Intern"/>
    <x v="5"/>
    <s v="Intern"/>
    <n v="783"/>
    <n v="5"/>
    <x v="9"/>
    <d v="1987-12-26T00:00:00"/>
    <n v="945602"/>
    <x v="2"/>
    <n v="1987"/>
    <n v="3"/>
    <n v="39"/>
    <x v="1"/>
    <x v="1"/>
  </r>
  <r>
    <x v="306"/>
    <n v="14820"/>
    <s v="Operation - Manager"/>
    <x v="1"/>
    <s v="Manager"/>
    <n v="784"/>
    <n v="2"/>
    <x v="8"/>
    <d v="1992-04-26T00:00:00"/>
    <n v="959169"/>
    <x v="1"/>
    <n v="1992"/>
    <n v="1"/>
    <n v="34"/>
    <x v="1"/>
    <x v="1"/>
  </r>
  <r>
    <x v="47"/>
    <n v="94706"/>
    <s v="Sales - Executive"/>
    <x v="4"/>
    <s v="Executive"/>
    <n v="718"/>
    <n v="1"/>
    <x v="4"/>
    <d v="1988-07-01T00:00:00"/>
    <n v="765265"/>
    <x v="2"/>
    <n v="1988"/>
    <n v="2"/>
    <n v="38"/>
    <x v="0"/>
    <x v="0"/>
  </r>
  <r>
    <x v="129"/>
    <n v="18287"/>
    <s v="Marketing - Intern"/>
    <x v="0"/>
    <s v="Intern"/>
    <n v="703"/>
    <n v="3"/>
    <x v="3"/>
    <d v="1986-03-06T00:00:00"/>
    <n v="651096"/>
    <x v="1"/>
    <n v="1986"/>
    <n v="6"/>
    <n v="40"/>
    <x v="0"/>
    <x v="0"/>
  </r>
  <r>
    <x v="86"/>
    <n v="33013"/>
    <s v="Strategy - Manager"/>
    <x v="3"/>
    <s v="Manager"/>
    <n v="766"/>
    <n v="4"/>
    <x v="1"/>
    <d v="1990-05-13T00:00:00"/>
    <n v="609677"/>
    <x v="2"/>
    <n v="1990"/>
    <n v="9"/>
    <n v="36"/>
    <x v="1"/>
    <x v="1"/>
  </r>
  <r>
    <x v="119"/>
    <n v="71151"/>
    <s v="Growth - Director"/>
    <x v="2"/>
    <s v="Director"/>
    <n v="737"/>
    <n v="1"/>
    <x v="1"/>
    <d v="1985-03-14T00:00:00"/>
    <n v="582154"/>
    <x v="2"/>
    <n v="1985"/>
    <n v="4"/>
    <n v="41"/>
    <x v="0"/>
    <x v="1"/>
  </r>
  <r>
    <x v="24"/>
    <n v="77027"/>
    <s v="Finance - Manager"/>
    <x v="5"/>
    <s v="Manager"/>
    <n v="783"/>
    <n v="2"/>
    <x v="5"/>
    <d v="1980-01-23T00:00:00"/>
    <n v="773882"/>
    <x v="1"/>
    <n v="1980"/>
    <n v="9"/>
    <n v="46"/>
    <x v="1"/>
    <x v="2"/>
  </r>
  <r>
    <x v="254"/>
    <n v="66416"/>
    <s v="Operation - Director"/>
    <x v="1"/>
    <s v="Director"/>
    <n v="715"/>
    <n v="2"/>
    <x v="2"/>
    <d v="1985-03-16T00:00:00"/>
    <n v="599224"/>
    <x v="1"/>
    <n v="1985"/>
    <n v="2"/>
    <n v="41"/>
    <x v="0"/>
    <x v="1"/>
  </r>
  <r>
    <x v="307"/>
    <n v="56294"/>
    <s v="Marketing - Intern"/>
    <x v="0"/>
    <s v="Intern"/>
    <n v="711"/>
    <n v="3"/>
    <x v="1"/>
    <d v="1984-08-31T00:00:00"/>
    <n v="765713"/>
    <x v="0"/>
    <n v="1984"/>
    <n v="1"/>
    <n v="42"/>
    <x v="0"/>
    <x v="1"/>
  </r>
  <r>
    <x v="235"/>
    <n v="44734"/>
    <s v="Finance - Manager"/>
    <x v="5"/>
    <s v="Manager"/>
    <n v="796"/>
    <n v="1"/>
    <x v="8"/>
    <d v="1991-02-05T00:00:00"/>
    <n v="776281"/>
    <x v="1"/>
    <n v="1991"/>
    <n v="3"/>
    <n v="35"/>
    <x v="1"/>
    <x v="1"/>
  </r>
  <r>
    <x v="139"/>
    <n v="78090"/>
    <s v="Finance - Director"/>
    <x v="5"/>
    <s v="Director"/>
    <n v="779"/>
    <n v="4"/>
    <x v="5"/>
    <d v="1983-08-21T00:00:00"/>
    <n v="511371"/>
    <x v="0"/>
    <n v="1983"/>
    <n v="7"/>
    <n v="43"/>
    <x v="1"/>
    <x v="2"/>
  </r>
  <r>
    <x v="305"/>
    <n v="96451"/>
    <s v="Strategy - Executive"/>
    <x v="3"/>
    <s v="Executive"/>
    <n v="732"/>
    <n v="4"/>
    <x v="0"/>
    <d v="1992-07-05T00:00:00"/>
    <n v="948797"/>
    <x v="1"/>
    <n v="1992"/>
    <n v="9"/>
    <n v="34"/>
    <x v="0"/>
    <x v="0"/>
  </r>
  <r>
    <x v="191"/>
    <n v="18301"/>
    <s v="Finance - Executive"/>
    <x v="5"/>
    <s v="Executive"/>
    <n v="700"/>
    <n v="5"/>
    <x v="1"/>
    <d v="1991-11-06T00:00:00"/>
    <n v="532162"/>
    <x v="0"/>
    <n v="1991"/>
    <n v="5"/>
    <n v="35"/>
    <x v="0"/>
    <x v="1"/>
  </r>
  <r>
    <x v="64"/>
    <n v="46301"/>
    <s v="Finance - Manager"/>
    <x v="5"/>
    <s v="Manager"/>
    <n v="789"/>
    <n v="2"/>
    <x v="3"/>
    <d v="1988-10-18T00:00:00"/>
    <n v="522574"/>
    <x v="2"/>
    <n v="1988"/>
    <n v="6"/>
    <n v="38"/>
    <x v="1"/>
    <x v="0"/>
  </r>
  <r>
    <x v="292"/>
    <n v="79812"/>
    <s v="Sales - Director"/>
    <x v="4"/>
    <s v="Director"/>
    <n v="703"/>
    <n v="2"/>
    <x v="8"/>
    <d v="1984-12-26T00:00:00"/>
    <n v="749612"/>
    <x v="0"/>
    <n v="1984"/>
    <n v="5"/>
    <n v="42"/>
    <x v="0"/>
    <x v="1"/>
  </r>
  <r>
    <x v="35"/>
    <n v="29381"/>
    <s v="Finance - Manager"/>
    <x v="5"/>
    <s v="Manager"/>
    <n v="762"/>
    <n v="3"/>
    <x v="6"/>
    <d v="1986-05-08T00:00:00"/>
    <n v="856227"/>
    <x v="0"/>
    <n v="1986"/>
    <n v="10"/>
    <n v="40"/>
    <x v="1"/>
    <x v="0"/>
  </r>
  <r>
    <x v="62"/>
    <n v="49301"/>
    <s v="Growth - Executive"/>
    <x v="2"/>
    <s v="Executive"/>
    <n v="760"/>
    <n v="5"/>
    <x v="3"/>
    <d v="1988-10-26T00:00:00"/>
    <n v="930103"/>
    <x v="0"/>
    <n v="1988"/>
    <n v="5"/>
    <n v="38"/>
    <x v="1"/>
    <x v="0"/>
  </r>
  <r>
    <x v="210"/>
    <n v="27484"/>
    <s v="Strategy - Manager"/>
    <x v="3"/>
    <s v="Manager"/>
    <n v="792"/>
    <n v="3"/>
    <x v="7"/>
    <d v="1981-02-10T00:00:00"/>
    <n v="894228"/>
    <x v="0"/>
    <n v="1981"/>
    <n v="7"/>
    <n v="45"/>
    <x v="1"/>
    <x v="1"/>
  </r>
  <r>
    <x v="226"/>
    <n v="22173"/>
    <s v="Growth - Intern"/>
    <x v="2"/>
    <s v="Intern"/>
    <n v="730"/>
    <n v="5"/>
    <x v="2"/>
    <d v="1991-10-30T00:00:00"/>
    <n v="606031"/>
    <x v="1"/>
    <n v="1991"/>
    <n v="6"/>
    <n v="35"/>
    <x v="0"/>
    <x v="1"/>
  </r>
  <r>
    <x v="132"/>
    <n v="54376"/>
    <s v="Growth - Intern"/>
    <x v="2"/>
    <s v="Intern"/>
    <n v="788"/>
    <n v="2"/>
    <x v="1"/>
    <d v="1988-10-16T00:00:00"/>
    <n v="826701"/>
    <x v="2"/>
    <n v="1988"/>
    <n v="7"/>
    <n v="38"/>
    <x v="1"/>
    <x v="1"/>
  </r>
  <r>
    <x v="240"/>
    <n v="65661"/>
    <s v="Finance - Director"/>
    <x v="5"/>
    <s v="Director"/>
    <n v="735"/>
    <n v="3"/>
    <x v="0"/>
    <d v="1991-06-18T00:00:00"/>
    <n v="669792"/>
    <x v="2"/>
    <n v="1991"/>
    <n v="5"/>
    <n v="35"/>
    <x v="0"/>
    <x v="0"/>
  </r>
  <r>
    <x v="194"/>
    <n v="61481"/>
    <s v="Marketing - Manager"/>
    <x v="0"/>
    <s v="Manager"/>
    <n v="722"/>
    <n v="1"/>
    <x v="2"/>
    <d v="1990-04-05T00:00:00"/>
    <n v="875570"/>
    <x v="0"/>
    <n v="1990"/>
    <n v="11"/>
    <n v="36"/>
    <x v="0"/>
    <x v="1"/>
  </r>
  <r>
    <x v="308"/>
    <n v="94928"/>
    <s v="Growth - Director"/>
    <x v="2"/>
    <s v="Director"/>
    <n v="767"/>
    <n v="4"/>
    <x v="9"/>
    <d v="1984-05-22T00:00:00"/>
    <n v="646484"/>
    <x v="1"/>
    <n v="1984"/>
    <n v="1"/>
    <n v="42"/>
    <x v="1"/>
    <x v="1"/>
  </r>
  <r>
    <x v="233"/>
    <n v="40486"/>
    <s v="Growth - Intern"/>
    <x v="2"/>
    <s v="Intern"/>
    <n v="759"/>
    <n v="5"/>
    <x v="3"/>
    <d v="1984-09-19T00:00:00"/>
    <n v="668078"/>
    <x v="0"/>
    <n v="1984"/>
    <n v="6"/>
    <n v="42"/>
    <x v="1"/>
    <x v="0"/>
  </r>
  <r>
    <x v="247"/>
    <n v="64958"/>
    <s v="Operation - Intern"/>
    <x v="1"/>
    <s v="Intern"/>
    <n v="754"/>
    <n v="5"/>
    <x v="6"/>
    <d v="1983-10-06T00:00:00"/>
    <n v="937616"/>
    <x v="2"/>
    <n v="1983"/>
    <n v="3"/>
    <n v="43"/>
    <x v="1"/>
    <x v="0"/>
  </r>
  <r>
    <x v="289"/>
    <n v="70729"/>
    <s v="Finance - Manager"/>
    <x v="5"/>
    <s v="Manager"/>
    <n v="764"/>
    <n v="5"/>
    <x v="8"/>
    <d v="1991-05-09T00:00:00"/>
    <n v="677063"/>
    <x v="1"/>
    <n v="1991"/>
    <n v="9"/>
    <n v="35"/>
    <x v="1"/>
    <x v="1"/>
  </r>
  <r>
    <x v="243"/>
    <n v="96414"/>
    <s v="Marketing - Intern"/>
    <x v="0"/>
    <s v="Intern"/>
    <n v="745"/>
    <n v="5"/>
    <x v="2"/>
    <d v="1990-02-26T00:00:00"/>
    <n v="803817"/>
    <x v="0"/>
    <n v="1990"/>
    <n v="11"/>
    <n v="36"/>
    <x v="0"/>
    <x v="1"/>
  </r>
  <r>
    <x v="219"/>
    <n v="33677"/>
    <s v="Growth - Director"/>
    <x v="2"/>
    <s v="Director"/>
    <n v="782"/>
    <n v="4"/>
    <x v="8"/>
    <d v="1992-07-24T00:00:00"/>
    <n v="821477"/>
    <x v="1"/>
    <n v="1992"/>
    <n v="8"/>
    <n v="34"/>
    <x v="1"/>
    <x v="1"/>
  </r>
  <r>
    <x v="221"/>
    <n v="58063"/>
    <s v="Finance - Manager"/>
    <x v="5"/>
    <s v="Manager"/>
    <n v="765"/>
    <n v="2"/>
    <x v="2"/>
    <d v="1982-11-01T00:00:00"/>
    <n v="657984"/>
    <x v="1"/>
    <n v="1982"/>
    <n v="6"/>
    <n v="44"/>
    <x v="1"/>
    <x v="1"/>
  </r>
  <r>
    <x v="124"/>
    <n v="81615"/>
    <s v="Operation - Executive"/>
    <x v="1"/>
    <s v="Executive"/>
    <n v="712"/>
    <n v="3"/>
    <x v="4"/>
    <d v="1981-12-25T00:00:00"/>
    <n v="679377"/>
    <x v="2"/>
    <n v="1981"/>
    <n v="10"/>
    <n v="45"/>
    <x v="0"/>
    <x v="0"/>
  </r>
  <r>
    <x v="121"/>
    <n v="20244"/>
    <s v="Growth - Intern"/>
    <x v="2"/>
    <s v="Intern"/>
    <n v="767"/>
    <n v="1"/>
    <x v="1"/>
    <d v="1992-12-25T00:00:00"/>
    <n v="962286"/>
    <x v="1"/>
    <n v="1992"/>
    <n v="6"/>
    <n v="34"/>
    <x v="1"/>
    <x v="1"/>
  </r>
  <r>
    <x v="19"/>
    <n v="97648"/>
    <s v="Growth - Manager"/>
    <x v="2"/>
    <s v="Manager"/>
    <n v="775"/>
    <n v="3"/>
    <x v="2"/>
    <d v="1990-10-28T00:00:00"/>
    <n v="860215"/>
    <x v="2"/>
    <n v="1990"/>
    <n v="5"/>
    <n v="36"/>
    <x v="1"/>
    <x v="1"/>
  </r>
  <r>
    <x v="40"/>
    <n v="50647"/>
    <s v="Operation - Manager"/>
    <x v="1"/>
    <s v="Manager"/>
    <n v="753"/>
    <n v="5"/>
    <x v="4"/>
    <d v="1985-01-30T00:00:00"/>
    <n v="522681"/>
    <x v="1"/>
    <n v="1985"/>
    <n v="8"/>
    <n v="41"/>
    <x v="1"/>
    <x v="2"/>
  </r>
  <r>
    <x v="306"/>
    <n v="13236"/>
    <s v="Finance - Executive"/>
    <x v="5"/>
    <s v="Executive"/>
    <n v="728"/>
    <n v="2"/>
    <x v="3"/>
    <d v="1988-02-03T00:00:00"/>
    <n v="555277"/>
    <x v="0"/>
    <n v="1988"/>
    <n v="1"/>
    <n v="38"/>
    <x v="0"/>
    <x v="0"/>
  </r>
  <r>
    <x v="91"/>
    <n v="61444"/>
    <s v="Marketing - Intern"/>
    <x v="0"/>
    <s v="Intern"/>
    <n v="783"/>
    <n v="1"/>
    <x v="4"/>
    <d v="1983-11-24T00:00:00"/>
    <n v="857148"/>
    <x v="0"/>
    <n v="1983"/>
    <n v="7"/>
    <n v="43"/>
    <x v="1"/>
    <x v="2"/>
  </r>
  <r>
    <x v="233"/>
    <n v="26611"/>
    <s v="Marketing - Intern"/>
    <x v="0"/>
    <s v="Intern"/>
    <n v="726"/>
    <n v="5"/>
    <x v="3"/>
    <d v="1981-05-15T00:00:00"/>
    <n v="870214"/>
    <x v="1"/>
    <n v="1981"/>
    <n v="6"/>
    <n v="45"/>
    <x v="0"/>
    <x v="0"/>
  </r>
  <r>
    <x v="282"/>
    <n v="91537"/>
    <s v="Sales - Executive"/>
    <x v="4"/>
    <s v="Executive"/>
    <n v="756"/>
    <n v="5"/>
    <x v="4"/>
    <d v="1991-02-20T00:00:00"/>
    <n v="627376"/>
    <x v="0"/>
    <n v="1991"/>
    <n v="7"/>
    <n v="35"/>
    <x v="1"/>
    <x v="2"/>
  </r>
  <r>
    <x v="133"/>
    <n v="32099"/>
    <s v="Finance - Director"/>
    <x v="5"/>
    <s v="Director"/>
    <n v="756"/>
    <n v="4"/>
    <x v="1"/>
    <d v="1984-07-15T00:00:00"/>
    <n v="954359"/>
    <x v="2"/>
    <n v="1984"/>
    <n v="10"/>
    <n v="42"/>
    <x v="1"/>
    <x v="1"/>
  </r>
  <r>
    <x v="240"/>
    <n v="28619"/>
    <s v="Strategy - Manager"/>
    <x v="3"/>
    <s v="Manager"/>
    <n v="704"/>
    <n v="4"/>
    <x v="5"/>
    <d v="1986-12-13T00:00:00"/>
    <n v="646469"/>
    <x v="0"/>
    <n v="1986"/>
    <n v="5"/>
    <n v="40"/>
    <x v="0"/>
    <x v="0"/>
  </r>
  <r>
    <x v="309"/>
    <n v="20711"/>
    <s v="Strategy - Director"/>
    <x v="3"/>
    <s v="Director"/>
    <n v="761"/>
    <n v="1"/>
    <x v="4"/>
    <d v="1988-05-25T00:00:00"/>
    <n v="826223"/>
    <x v="2"/>
    <n v="1988"/>
    <n v="8"/>
    <n v="38"/>
    <x v="1"/>
    <x v="2"/>
  </r>
  <r>
    <x v="132"/>
    <n v="75218"/>
    <s v="Strategy - Intern"/>
    <x v="3"/>
    <s v="Intern"/>
    <n v="713"/>
    <n v="2"/>
    <x v="0"/>
    <d v="1990-01-06T00:00:00"/>
    <n v="876627"/>
    <x v="0"/>
    <n v="1990"/>
    <n v="7"/>
    <n v="36"/>
    <x v="0"/>
    <x v="0"/>
  </r>
  <r>
    <x v="182"/>
    <n v="22308"/>
    <s v="Marketing - Executive"/>
    <x v="0"/>
    <s v="Executive"/>
    <n v="782"/>
    <n v="3"/>
    <x v="6"/>
    <d v="1981-02-24T00:00:00"/>
    <n v="695501"/>
    <x v="2"/>
    <n v="1981"/>
    <n v="7"/>
    <n v="45"/>
    <x v="1"/>
    <x v="0"/>
  </r>
  <r>
    <x v="222"/>
    <n v="40929"/>
    <s v="Finance - Executive"/>
    <x v="5"/>
    <s v="Executive"/>
    <n v="718"/>
    <n v="1"/>
    <x v="3"/>
    <d v="1988-12-16T00:00:00"/>
    <n v="533267"/>
    <x v="2"/>
    <n v="1988"/>
    <n v="4"/>
    <n v="38"/>
    <x v="0"/>
    <x v="0"/>
  </r>
  <r>
    <x v="47"/>
    <n v="57724"/>
    <s v="Operation - Intern"/>
    <x v="1"/>
    <s v="Intern"/>
    <n v="786"/>
    <n v="5"/>
    <x v="5"/>
    <d v="1982-12-20T00:00:00"/>
    <n v="887534"/>
    <x v="1"/>
    <n v="1982"/>
    <n v="2"/>
    <n v="44"/>
    <x v="1"/>
    <x v="2"/>
  </r>
  <r>
    <x v="168"/>
    <n v="97800"/>
    <s v="Sales - Manager"/>
    <x v="4"/>
    <s v="Manager"/>
    <n v="763"/>
    <n v="3"/>
    <x v="6"/>
    <d v="1981-10-14T00:00:00"/>
    <n v="861672"/>
    <x v="1"/>
    <n v="1981"/>
    <n v="9"/>
    <n v="45"/>
    <x v="1"/>
    <x v="0"/>
  </r>
  <r>
    <x v="50"/>
    <n v="11126"/>
    <s v="Operation - Executive"/>
    <x v="1"/>
    <s v="Executive"/>
    <n v="777"/>
    <n v="5"/>
    <x v="5"/>
    <d v="1989-08-19T00:00:00"/>
    <n v="672213"/>
    <x v="1"/>
    <n v="1989"/>
    <n v="10"/>
    <n v="37"/>
    <x v="1"/>
    <x v="2"/>
  </r>
  <r>
    <x v="309"/>
    <n v="94574"/>
    <s v="Finance - Director"/>
    <x v="5"/>
    <s v="Director"/>
    <n v="720"/>
    <n v="5"/>
    <x v="2"/>
    <d v="1991-09-27T00:00:00"/>
    <n v="906952"/>
    <x v="1"/>
    <n v="1991"/>
    <n v="8"/>
    <n v="35"/>
    <x v="0"/>
    <x v="1"/>
  </r>
  <r>
    <x v="287"/>
    <n v="16350"/>
    <s v="Finance - Intern"/>
    <x v="5"/>
    <s v="Intern"/>
    <n v="716"/>
    <n v="5"/>
    <x v="1"/>
    <d v="1984-04-23T00:00:00"/>
    <n v="821944"/>
    <x v="0"/>
    <n v="1984"/>
    <n v="9"/>
    <n v="42"/>
    <x v="0"/>
    <x v="1"/>
  </r>
  <r>
    <x v="19"/>
    <n v="82645"/>
    <s v="Finance - Manager"/>
    <x v="5"/>
    <s v="Manager"/>
    <n v="743"/>
    <n v="3"/>
    <x v="5"/>
    <d v="1980-03-28T00:00:00"/>
    <n v="680862"/>
    <x v="1"/>
    <n v="1980"/>
    <n v="5"/>
    <n v="46"/>
    <x v="0"/>
    <x v="0"/>
  </r>
  <r>
    <x v="63"/>
    <n v="38073"/>
    <s v="Strategy - Director"/>
    <x v="3"/>
    <s v="Director"/>
    <n v="798"/>
    <n v="3"/>
    <x v="3"/>
    <d v="1986-11-27T00:00:00"/>
    <n v="693830"/>
    <x v="2"/>
    <n v="1986"/>
    <n v="11"/>
    <n v="40"/>
    <x v="1"/>
    <x v="0"/>
  </r>
  <r>
    <x v="245"/>
    <n v="14716"/>
    <s v="Growth - Manager"/>
    <x v="2"/>
    <s v="Manager"/>
    <n v="745"/>
    <n v="1"/>
    <x v="0"/>
    <d v="1986-09-12T00:00:00"/>
    <n v="777241"/>
    <x v="2"/>
    <n v="1986"/>
    <n v="11"/>
    <n v="40"/>
    <x v="0"/>
    <x v="0"/>
  </r>
  <r>
    <x v="292"/>
    <n v="81159"/>
    <s v="Strategy - Intern"/>
    <x v="3"/>
    <s v="Intern"/>
    <n v="763"/>
    <n v="3"/>
    <x v="2"/>
    <d v="1982-05-30T00:00:00"/>
    <n v="975228"/>
    <x v="0"/>
    <n v="1982"/>
    <n v="5"/>
    <n v="44"/>
    <x v="1"/>
    <x v="1"/>
  </r>
  <r>
    <x v="48"/>
    <n v="53880"/>
    <s v="Strategy - Intern"/>
    <x v="3"/>
    <s v="Intern"/>
    <n v="701"/>
    <n v="5"/>
    <x v="7"/>
    <d v="1983-12-14T00:00:00"/>
    <n v="771214"/>
    <x v="2"/>
    <n v="1983"/>
    <n v="7"/>
    <n v="43"/>
    <x v="0"/>
    <x v="1"/>
  </r>
  <r>
    <x v="221"/>
    <n v="99629"/>
    <s v="Marketing - Executive"/>
    <x v="0"/>
    <s v="Executive"/>
    <n v="740"/>
    <n v="2"/>
    <x v="1"/>
    <d v="1992-02-11T00:00:00"/>
    <n v="565545"/>
    <x v="1"/>
    <n v="1992"/>
    <n v="6"/>
    <n v="34"/>
    <x v="0"/>
    <x v="1"/>
  </r>
  <r>
    <x v="252"/>
    <n v="24234"/>
    <s v="Growth - Director"/>
    <x v="2"/>
    <s v="Director"/>
    <n v="747"/>
    <n v="3"/>
    <x v="1"/>
    <d v="1992-11-08T00:00:00"/>
    <n v="765449"/>
    <x v="0"/>
    <n v="1992"/>
    <n v="6"/>
    <n v="34"/>
    <x v="0"/>
    <x v="1"/>
  </r>
  <r>
    <x v="310"/>
    <n v="31539"/>
    <s v="Marketing - Director"/>
    <x v="0"/>
    <s v="Director"/>
    <n v="790"/>
    <n v="1"/>
    <x v="7"/>
    <d v="1985-01-18T00:00:00"/>
    <n v="682740"/>
    <x v="2"/>
    <n v="1985"/>
    <n v="4"/>
    <n v="41"/>
    <x v="1"/>
    <x v="1"/>
  </r>
  <r>
    <x v="70"/>
    <n v="81827"/>
    <s v="Growth - Manager"/>
    <x v="2"/>
    <s v="Manager"/>
    <n v="785"/>
    <n v="5"/>
    <x v="3"/>
    <d v="1986-03-24T00:00:00"/>
    <n v="980836"/>
    <x v="1"/>
    <n v="1986"/>
    <n v="9"/>
    <n v="40"/>
    <x v="1"/>
    <x v="0"/>
  </r>
  <r>
    <x v="291"/>
    <n v="45458"/>
    <s v="Strategy - Director"/>
    <x v="3"/>
    <s v="Director"/>
    <n v="755"/>
    <n v="1"/>
    <x v="7"/>
    <d v="1989-08-28T00:00:00"/>
    <n v="689069"/>
    <x v="2"/>
    <n v="1989"/>
    <n v="11"/>
    <n v="37"/>
    <x v="1"/>
    <x v="1"/>
  </r>
  <r>
    <x v="260"/>
    <n v="67627"/>
    <s v="Operation - Manager"/>
    <x v="1"/>
    <s v="Manager"/>
    <n v="729"/>
    <n v="3"/>
    <x v="5"/>
    <d v="1992-11-17T00:00:00"/>
    <n v="806247"/>
    <x v="1"/>
    <n v="1992"/>
    <n v="3"/>
    <n v="34"/>
    <x v="0"/>
    <x v="0"/>
  </r>
  <r>
    <x v="13"/>
    <n v="72047"/>
    <s v="Marketing - Manager"/>
    <x v="0"/>
    <s v="Manager"/>
    <n v="705"/>
    <n v="4"/>
    <x v="5"/>
    <d v="1988-08-31T00:00:00"/>
    <n v="804174"/>
    <x v="2"/>
    <n v="1988"/>
    <n v="8"/>
    <n v="38"/>
    <x v="0"/>
    <x v="0"/>
  </r>
  <r>
    <x v="229"/>
    <n v="93155"/>
    <s v="Marketing - Manager"/>
    <x v="0"/>
    <s v="Manager"/>
    <n v="798"/>
    <n v="2"/>
    <x v="9"/>
    <d v="1991-04-24T00:00:00"/>
    <n v="966413"/>
    <x v="2"/>
    <n v="1991"/>
    <n v="9"/>
    <n v="35"/>
    <x v="1"/>
    <x v="1"/>
  </r>
  <r>
    <x v="255"/>
    <n v="80058"/>
    <s v="Operation - Manager"/>
    <x v="1"/>
    <s v="Manager"/>
    <n v="795"/>
    <n v="4"/>
    <x v="8"/>
    <d v="1980-02-28T00:00:00"/>
    <n v="617424"/>
    <x v="1"/>
    <n v="1980"/>
    <n v="3"/>
    <n v="46"/>
    <x v="1"/>
    <x v="1"/>
  </r>
  <r>
    <x v="269"/>
    <n v="79415"/>
    <s v="Marketing - Director"/>
    <x v="0"/>
    <s v="Director"/>
    <n v="750"/>
    <n v="4"/>
    <x v="9"/>
    <d v="1989-01-18T00:00:00"/>
    <n v="539918"/>
    <x v="2"/>
    <n v="1989"/>
    <n v="3"/>
    <n v="37"/>
    <x v="1"/>
    <x v="1"/>
  </r>
  <r>
    <x v="159"/>
    <n v="46354"/>
    <s v="Sales - Intern"/>
    <x v="4"/>
    <s v="Intern"/>
    <n v="700"/>
    <n v="3"/>
    <x v="3"/>
    <d v="1986-07-24T00:00:00"/>
    <n v="598644"/>
    <x v="1"/>
    <n v="1986"/>
    <n v="3"/>
    <n v="40"/>
    <x v="0"/>
    <x v="0"/>
  </r>
  <r>
    <x v="145"/>
    <n v="12868"/>
    <s v="Strategy - Director"/>
    <x v="3"/>
    <s v="Director"/>
    <n v="747"/>
    <n v="4"/>
    <x v="2"/>
    <d v="1994-05-16T00:00:00"/>
    <n v="624403"/>
    <x v="0"/>
    <n v="1994"/>
    <n v="4"/>
    <n v="32"/>
    <x v="0"/>
    <x v="1"/>
  </r>
  <r>
    <x v="156"/>
    <n v="54769"/>
    <s v="Operation - Manager"/>
    <x v="1"/>
    <s v="Manager"/>
    <n v="732"/>
    <n v="2"/>
    <x v="3"/>
    <d v="1984-02-28T00:00:00"/>
    <n v="788050"/>
    <x v="2"/>
    <n v="1984"/>
    <n v="10"/>
    <n v="42"/>
    <x v="0"/>
    <x v="0"/>
  </r>
  <r>
    <x v="16"/>
    <n v="18483"/>
    <s v="Strategy - Intern"/>
    <x v="3"/>
    <s v="Intern"/>
    <n v="800"/>
    <n v="2"/>
    <x v="8"/>
    <d v="1987-07-18T00:00:00"/>
    <n v="707675"/>
    <x v="0"/>
    <n v="1987"/>
    <n v="6"/>
    <n v="39"/>
    <x v="1"/>
    <x v="1"/>
  </r>
  <r>
    <x v="253"/>
    <n v="78797"/>
    <s v="Growth - Manager"/>
    <x v="2"/>
    <s v="Manager"/>
    <n v="735"/>
    <n v="5"/>
    <x v="0"/>
    <d v="1986-09-28T00:00:00"/>
    <n v="832627"/>
    <x v="0"/>
    <n v="1986"/>
    <n v="4"/>
    <n v="40"/>
    <x v="0"/>
    <x v="0"/>
  </r>
  <r>
    <x v="299"/>
    <n v="32940"/>
    <s v="Finance - Director"/>
    <x v="5"/>
    <s v="Director"/>
    <n v="765"/>
    <n v="1"/>
    <x v="4"/>
    <d v="1985-01-30T00:00:00"/>
    <n v="804818"/>
    <x v="0"/>
    <n v="1985"/>
    <n v="11"/>
    <n v="41"/>
    <x v="1"/>
    <x v="2"/>
  </r>
  <r>
    <x v="152"/>
    <n v="54381"/>
    <s v="Finance - Director"/>
    <x v="5"/>
    <s v="Director"/>
    <n v="798"/>
    <n v="2"/>
    <x v="4"/>
    <d v="1986-02-04T00:00:00"/>
    <n v="869201"/>
    <x v="1"/>
    <n v="1986"/>
    <n v="10"/>
    <n v="40"/>
    <x v="1"/>
    <x v="2"/>
  </r>
  <r>
    <x v="272"/>
    <n v="64344"/>
    <s v="Sales - Executive"/>
    <x v="4"/>
    <s v="Executive"/>
    <n v="701"/>
    <n v="2"/>
    <x v="1"/>
    <d v="1983-11-14T00:00:00"/>
    <n v="824500"/>
    <x v="1"/>
    <n v="1983"/>
    <n v="8"/>
    <n v="43"/>
    <x v="0"/>
    <x v="1"/>
  </r>
  <r>
    <x v="269"/>
    <n v="41689"/>
    <s v="Growth - Manager"/>
    <x v="2"/>
    <s v="Manager"/>
    <n v="714"/>
    <n v="4"/>
    <x v="0"/>
    <d v="1990-10-25T00:00:00"/>
    <n v="631899"/>
    <x v="0"/>
    <n v="1990"/>
    <n v="3"/>
    <n v="36"/>
    <x v="0"/>
    <x v="0"/>
  </r>
  <r>
    <x v="124"/>
    <n v="95894"/>
    <s v="Sales - Manager"/>
    <x v="4"/>
    <s v="Manager"/>
    <n v="715"/>
    <n v="3"/>
    <x v="9"/>
    <d v="1980-07-12T00:00:00"/>
    <n v="695967"/>
    <x v="0"/>
    <n v="1980"/>
    <n v="10"/>
    <n v="46"/>
    <x v="0"/>
    <x v="1"/>
  </r>
  <r>
    <x v="30"/>
    <n v="35780"/>
    <s v="Marketing - Executive"/>
    <x v="0"/>
    <s v="Executive"/>
    <n v="763"/>
    <n v="1"/>
    <x v="7"/>
    <d v="1981-08-11T00:00:00"/>
    <n v="526782"/>
    <x v="0"/>
    <n v="1981"/>
    <n v="3"/>
    <n v="45"/>
    <x v="1"/>
    <x v="1"/>
  </r>
  <r>
    <x v="311"/>
    <n v="28120"/>
    <s v="Marketing - Executive"/>
    <x v="0"/>
    <s v="Executive"/>
    <n v="735"/>
    <n v="3"/>
    <x v="3"/>
    <d v="1993-03-27T00:00:00"/>
    <n v="761956"/>
    <x v="0"/>
    <n v="1993"/>
    <n v="7"/>
    <n v="33"/>
    <x v="0"/>
    <x v="0"/>
  </r>
  <r>
    <x v="232"/>
    <n v="98400"/>
    <s v="Marketing - Manager"/>
    <x v="0"/>
    <s v="Manager"/>
    <n v="728"/>
    <n v="1"/>
    <x v="3"/>
    <d v="1983-02-18T00:00:00"/>
    <n v="928898"/>
    <x v="1"/>
    <n v="1983"/>
    <n v="11"/>
    <n v="43"/>
    <x v="0"/>
    <x v="0"/>
  </r>
  <r>
    <x v="311"/>
    <n v="39285"/>
    <s v="Strategy - Executive"/>
    <x v="3"/>
    <s v="Executive"/>
    <n v="800"/>
    <n v="5"/>
    <x v="5"/>
    <d v="1980-09-20T00:00:00"/>
    <n v="845711"/>
    <x v="0"/>
    <n v="1980"/>
    <n v="7"/>
    <n v="46"/>
    <x v="1"/>
    <x v="2"/>
  </r>
  <r>
    <x v="6"/>
    <n v="60601"/>
    <s v="Strategy - Executive"/>
    <x v="3"/>
    <s v="Executive"/>
    <n v="718"/>
    <n v="1"/>
    <x v="2"/>
    <d v="1986-04-05T00:00:00"/>
    <n v="659772"/>
    <x v="2"/>
    <n v="1986"/>
    <n v="3"/>
    <n v="40"/>
    <x v="0"/>
    <x v="1"/>
  </r>
  <r>
    <x v="312"/>
    <n v="52124"/>
    <s v="Strategy - Intern"/>
    <x v="3"/>
    <s v="Intern"/>
    <n v="704"/>
    <n v="4"/>
    <x v="6"/>
    <d v="1985-12-25T00:00:00"/>
    <n v="883451"/>
    <x v="1"/>
    <n v="1985"/>
    <n v="1"/>
    <n v="41"/>
    <x v="0"/>
    <x v="0"/>
  </r>
  <r>
    <x v="141"/>
    <n v="48906"/>
    <s v="Growth - Manager"/>
    <x v="2"/>
    <s v="Manager"/>
    <n v="764"/>
    <n v="4"/>
    <x v="3"/>
    <d v="1993-10-23T00:00:00"/>
    <n v="598402"/>
    <x v="2"/>
    <n v="1993"/>
    <n v="11"/>
    <n v="33"/>
    <x v="1"/>
    <x v="0"/>
  </r>
  <r>
    <x v="163"/>
    <n v="94013"/>
    <s v="Growth - Intern"/>
    <x v="2"/>
    <s v="Intern"/>
    <n v="746"/>
    <n v="5"/>
    <x v="3"/>
    <d v="1989-01-17T00:00:00"/>
    <n v="766825"/>
    <x v="1"/>
    <n v="1989"/>
    <n v="6"/>
    <n v="37"/>
    <x v="0"/>
    <x v="0"/>
  </r>
  <r>
    <x v="313"/>
    <n v="91564"/>
    <s v="Marketing - Intern"/>
    <x v="0"/>
    <s v="Intern"/>
    <n v="733"/>
    <n v="3"/>
    <x v="3"/>
    <d v="1993-10-28T00:00:00"/>
    <n v="520185"/>
    <x v="2"/>
    <n v="1993"/>
    <n v="11"/>
    <n v="33"/>
    <x v="0"/>
    <x v="0"/>
  </r>
  <r>
    <x v="171"/>
    <n v="77571"/>
    <s v="Strategy - Intern"/>
    <x v="3"/>
    <s v="Intern"/>
    <n v="768"/>
    <n v="5"/>
    <x v="3"/>
    <d v="1985-07-25T00:00:00"/>
    <n v="652693"/>
    <x v="0"/>
    <n v="1985"/>
    <n v="9"/>
    <n v="41"/>
    <x v="1"/>
    <x v="0"/>
  </r>
  <r>
    <x v="252"/>
    <n v="62920"/>
    <s v="Operation - Intern"/>
    <x v="1"/>
    <s v="Intern"/>
    <n v="797"/>
    <n v="4"/>
    <x v="5"/>
    <d v="1984-07-23T00:00:00"/>
    <n v="974604"/>
    <x v="1"/>
    <n v="1984"/>
    <n v="6"/>
    <n v="42"/>
    <x v="1"/>
    <x v="2"/>
  </r>
  <r>
    <x v="24"/>
    <n v="51657"/>
    <s v="Finance - Executive"/>
    <x v="5"/>
    <s v="Executive"/>
    <n v="700"/>
    <n v="3"/>
    <x v="1"/>
    <d v="1994-02-08T00:00:00"/>
    <n v="652556"/>
    <x v="0"/>
    <n v="1994"/>
    <n v="9"/>
    <n v="32"/>
    <x v="0"/>
    <x v="1"/>
  </r>
  <r>
    <x v="162"/>
    <n v="27189"/>
    <s v="Strategy - Executive"/>
    <x v="3"/>
    <s v="Executive"/>
    <n v="792"/>
    <n v="5"/>
    <x v="9"/>
    <d v="1980-11-09T00:00:00"/>
    <n v="981713"/>
    <x v="1"/>
    <n v="1980"/>
    <n v="8"/>
    <n v="46"/>
    <x v="1"/>
    <x v="1"/>
  </r>
  <r>
    <x v="216"/>
    <n v="95814"/>
    <s v="Operation - Director"/>
    <x v="1"/>
    <s v="Director"/>
    <n v="780"/>
    <n v="3"/>
    <x v="7"/>
    <d v="1980-04-22T00:00:00"/>
    <n v="825297"/>
    <x v="1"/>
    <n v="1980"/>
    <n v="3"/>
    <n v="46"/>
    <x v="1"/>
    <x v="1"/>
  </r>
  <r>
    <x v="66"/>
    <n v="56624"/>
    <s v="Operation - Executive"/>
    <x v="1"/>
    <s v="Executive"/>
    <n v="732"/>
    <n v="4"/>
    <x v="2"/>
    <d v="1983-09-28T00:00:00"/>
    <n v="848351"/>
    <x v="2"/>
    <n v="1983"/>
    <n v="6"/>
    <n v="43"/>
    <x v="0"/>
    <x v="1"/>
  </r>
  <r>
    <x v="203"/>
    <n v="60042"/>
    <s v="Finance - Executive"/>
    <x v="5"/>
    <s v="Executive"/>
    <n v="775"/>
    <n v="5"/>
    <x v="9"/>
    <d v="1981-03-14T00:00:00"/>
    <n v="777439"/>
    <x v="0"/>
    <n v="1981"/>
    <n v="7"/>
    <n v="45"/>
    <x v="1"/>
    <x v="1"/>
  </r>
  <r>
    <x v="99"/>
    <n v="54677"/>
    <s v="Marketing - Director"/>
    <x v="0"/>
    <s v="Director"/>
    <n v="775"/>
    <n v="2"/>
    <x v="2"/>
    <d v="1988-02-02T00:00:00"/>
    <n v="792628"/>
    <x v="1"/>
    <n v="1988"/>
    <n v="1"/>
    <n v="38"/>
    <x v="1"/>
    <x v="1"/>
  </r>
  <r>
    <x v="311"/>
    <n v="95702"/>
    <s v="Growth - Manager"/>
    <x v="2"/>
    <s v="Manager"/>
    <n v="776"/>
    <n v="1"/>
    <x v="9"/>
    <d v="1980-04-14T00:00:00"/>
    <n v="849554"/>
    <x v="1"/>
    <n v="1980"/>
    <n v="7"/>
    <n v="46"/>
    <x v="1"/>
    <x v="1"/>
  </r>
  <r>
    <x v="241"/>
    <n v="33695"/>
    <s v="Growth - Director"/>
    <x v="2"/>
    <s v="Director"/>
    <n v="752"/>
    <n v="4"/>
    <x v="1"/>
    <d v="1983-01-28T00:00:00"/>
    <n v="542294"/>
    <x v="1"/>
    <n v="1983"/>
    <n v="11"/>
    <n v="43"/>
    <x v="1"/>
    <x v="1"/>
  </r>
  <r>
    <x v="88"/>
    <n v="60864"/>
    <s v="Sales - Director"/>
    <x v="4"/>
    <s v="Director"/>
    <n v="780"/>
    <n v="2"/>
    <x v="0"/>
    <d v="1981-04-24T00:00:00"/>
    <n v="701846"/>
    <x v="2"/>
    <n v="1981"/>
    <n v="9"/>
    <n v="45"/>
    <x v="1"/>
    <x v="0"/>
  </r>
  <r>
    <x v="174"/>
    <n v="85562"/>
    <s v="Operation - Director"/>
    <x v="1"/>
    <s v="Director"/>
    <n v="800"/>
    <n v="3"/>
    <x v="5"/>
    <d v="1990-07-30T00:00:00"/>
    <n v="714928"/>
    <x v="1"/>
    <n v="1990"/>
    <n v="6"/>
    <n v="36"/>
    <x v="1"/>
    <x v="2"/>
  </r>
  <r>
    <x v="202"/>
    <n v="95010"/>
    <s v="Finance - Manager"/>
    <x v="5"/>
    <s v="Manager"/>
    <n v="765"/>
    <n v="1"/>
    <x v="6"/>
    <d v="1994-09-30T00:00:00"/>
    <n v="649481"/>
    <x v="2"/>
    <n v="1994"/>
    <n v="3"/>
    <n v="32"/>
    <x v="1"/>
    <x v="0"/>
  </r>
  <r>
    <x v="314"/>
    <n v="89337"/>
    <s v="Finance - Executive"/>
    <x v="5"/>
    <s v="Executive"/>
    <n v="706"/>
    <n v="1"/>
    <x v="4"/>
    <d v="1988-02-18T00:00:00"/>
    <n v="818937"/>
    <x v="2"/>
    <n v="1988"/>
    <n v="1"/>
    <n v="38"/>
    <x v="0"/>
    <x v="0"/>
  </r>
  <r>
    <x v="175"/>
    <n v="80935"/>
    <s v="Sales - Executive"/>
    <x v="4"/>
    <s v="Executive"/>
    <n v="794"/>
    <n v="1"/>
    <x v="2"/>
    <d v="1991-04-15T00:00:00"/>
    <n v="836244"/>
    <x v="0"/>
    <n v="1991"/>
    <n v="8"/>
    <n v="35"/>
    <x v="1"/>
    <x v="1"/>
  </r>
  <r>
    <x v="1"/>
    <n v="91116"/>
    <s v="Sales - Intern"/>
    <x v="4"/>
    <s v="Intern"/>
    <n v="760"/>
    <n v="5"/>
    <x v="0"/>
    <d v="1981-05-05T00:00:00"/>
    <n v="976620"/>
    <x v="0"/>
    <n v="1981"/>
    <n v="4"/>
    <n v="45"/>
    <x v="1"/>
    <x v="0"/>
  </r>
  <r>
    <x v="235"/>
    <n v="91781"/>
    <s v="Sales - Intern"/>
    <x v="4"/>
    <s v="Intern"/>
    <n v="712"/>
    <n v="2"/>
    <x v="3"/>
    <d v="1994-11-11T00:00:00"/>
    <n v="688316"/>
    <x v="2"/>
    <n v="1994"/>
    <n v="3"/>
    <n v="32"/>
    <x v="0"/>
    <x v="0"/>
  </r>
  <r>
    <x v="178"/>
    <n v="31188"/>
    <s v="Operation - Director"/>
    <x v="1"/>
    <s v="Director"/>
    <n v="753"/>
    <n v="1"/>
    <x v="6"/>
    <d v="1990-07-06T00:00:00"/>
    <n v="507723"/>
    <x v="1"/>
    <n v="1990"/>
    <n v="2"/>
    <n v="36"/>
    <x v="1"/>
    <x v="0"/>
  </r>
  <r>
    <x v="235"/>
    <n v="90362"/>
    <s v="Operation - Intern"/>
    <x v="1"/>
    <s v="Intern"/>
    <n v="729"/>
    <n v="2"/>
    <x v="0"/>
    <d v="1983-03-07T00:00:00"/>
    <n v="950691"/>
    <x v="0"/>
    <n v="1983"/>
    <n v="3"/>
    <n v="43"/>
    <x v="0"/>
    <x v="0"/>
  </r>
  <r>
    <x v="293"/>
    <n v="13218"/>
    <s v="Marketing - Director"/>
    <x v="0"/>
    <s v="Director"/>
    <n v="797"/>
    <n v="3"/>
    <x v="2"/>
    <d v="1988-03-31T00:00:00"/>
    <n v="905122"/>
    <x v="0"/>
    <n v="1988"/>
    <n v="12"/>
    <n v="38"/>
    <x v="1"/>
    <x v="1"/>
  </r>
  <r>
    <x v="68"/>
    <n v="32247"/>
    <s v="Strategy - Executive"/>
    <x v="3"/>
    <s v="Executive"/>
    <n v="773"/>
    <n v="2"/>
    <x v="0"/>
    <d v="1985-09-22T00:00:00"/>
    <n v="620964"/>
    <x v="1"/>
    <n v="1985"/>
    <n v="2"/>
    <n v="41"/>
    <x v="1"/>
    <x v="0"/>
  </r>
  <r>
    <x v="315"/>
    <n v="54770"/>
    <s v="Finance - Executive"/>
    <x v="5"/>
    <s v="Executive"/>
    <n v="719"/>
    <n v="5"/>
    <x v="6"/>
    <d v="1984-03-25T00:00:00"/>
    <n v="888508"/>
    <x v="1"/>
    <n v="1984"/>
    <n v="8"/>
    <n v="42"/>
    <x v="0"/>
    <x v="0"/>
  </r>
  <r>
    <x v="91"/>
    <n v="15093"/>
    <s v="Growth - Director"/>
    <x v="2"/>
    <s v="Director"/>
    <n v="799"/>
    <n v="3"/>
    <x v="9"/>
    <d v="1983-01-19T00:00:00"/>
    <n v="878722"/>
    <x v="0"/>
    <n v="1983"/>
    <n v="7"/>
    <n v="43"/>
    <x v="1"/>
    <x v="1"/>
  </r>
  <r>
    <x v="25"/>
    <n v="41003"/>
    <s v="Sales - Manager"/>
    <x v="4"/>
    <s v="Manager"/>
    <n v="728"/>
    <n v="1"/>
    <x v="9"/>
    <d v="1994-08-19T00:00:00"/>
    <n v="840484"/>
    <x v="0"/>
    <n v="1994"/>
    <n v="10"/>
    <n v="32"/>
    <x v="0"/>
    <x v="1"/>
  </r>
  <r>
    <x v="316"/>
    <n v="71360"/>
    <s v="Finance - Manager"/>
    <x v="5"/>
    <s v="Manager"/>
    <n v="759"/>
    <n v="1"/>
    <x v="4"/>
    <d v="1990-04-02T00:00:00"/>
    <n v="549585"/>
    <x v="1"/>
    <n v="1990"/>
    <n v="2"/>
    <n v="36"/>
    <x v="1"/>
    <x v="2"/>
  </r>
  <r>
    <x v="96"/>
    <n v="81825"/>
    <s v="Marketing - Manager"/>
    <x v="0"/>
    <s v="Manager"/>
    <n v="799"/>
    <n v="4"/>
    <x v="3"/>
    <d v="1994-07-16T00:00:00"/>
    <n v="536781"/>
    <x v="1"/>
    <n v="1994"/>
    <n v="12"/>
    <n v="32"/>
    <x v="1"/>
    <x v="0"/>
  </r>
  <r>
    <x v="79"/>
    <n v="51621"/>
    <s v="Operation - Director"/>
    <x v="1"/>
    <s v="Director"/>
    <n v="710"/>
    <n v="4"/>
    <x v="0"/>
    <d v="1990-03-24T00:00:00"/>
    <n v="595939"/>
    <x v="0"/>
    <n v="1990"/>
    <n v="4"/>
    <n v="36"/>
    <x v="0"/>
    <x v="0"/>
  </r>
  <r>
    <x v="239"/>
    <n v="80975"/>
    <s v="Marketing - Executive"/>
    <x v="0"/>
    <s v="Executive"/>
    <n v="721"/>
    <n v="5"/>
    <x v="0"/>
    <d v="1980-05-10T00:00:00"/>
    <n v="566056"/>
    <x v="0"/>
    <n v="1980"/>
    <n v="5"/>
    <n v="46"/>
    <x v="0"/>
    <x v="0"/>
  </r>
  <r>
    <x v="137"/>
    <n v="51491"/>
    <s v="Marketing - Director"/>
    <x v="0"/>
    <s v="Director"/>
    <n v="757"/>
    <n v="5"/>
    <x v="5"/>
    <d v="1991-05-02T00:00:00"/>
    <n v="986196"/>
    <x v="1"/>
    <n v="1991"/>
    <n v="4"/>
    <n v="35"/>
    <x v="1"/>
    <x v="2"/>
  </r>
  <r>
    <x v="317"/>
    <n v="69793"/>
    <s v="Finance - Director"/>
    <x v="5"/>
    <s v="Director"/>
    <n v="748"/>
    <n v="5"/>
    <x v="5"/>
    <d v="1989-09-05T00:00:00"/>
    <n v="813370"/>
    <x v="0"/>
    <n v="1989"/>
    <n v="3"/>
    <n v="37"/>
    <x v="0"/>
    <x v="0"/>
  </r>
  <r>
    <x v="229"/>
    <n v="39086"/>
    <s v="Strategy - Director"/>
    <x v="3"/>
    <s v="Director"/>
    <n v="729"/>
    <n v="3"/>
    <x v="4"/>
    <d v="1993-06-18T00:00:00"/>
    <n v="556577"/>
    <x v="0"/>
    <n v="1993"/>
    <n v="9"/>
    <n v="33"/>
    <x v="0"/>
    <x v="0"/>
  </r>
  <r>
    <x v="291"/>
    <n v="23190"/>
    <s v="Operation - Intern"/>
    <x v="1"/>
    <s v="Intern"/>
    <n v="746"/>
    <n v="3"/>
    <x v="7"/>
    <d v="1985-06-09T00:00:00"/>
    <n v="690349"/>
    <x v="0"/>
    <n v="1985"/>
    <n v="11"/>
    <n v="41"/>
    <x v="0"/>
    <x v="1"/>
  </r>
  <r>
    <x v="302"/>
    <n v="76476"/>
    <s v="Operation - Director"/>
    <x v="1"/>
    <s v="Director"/>
    <n v="768"/>
    <n v="2"/>
    <x v="1"/>
    <d v="1984-08-04T00:00:00"/>
    <n v="935092"/>
    <x v="2"/>
    <n v="1984"/>
    <n v="9"/>
    <n v="42"/>
    <x v="1"/>
    <x v="1"/>
  </r>
  <r>
    <x v="231"/>
    <n v="60417"/>
    <s v="Growth - Manager"/>
    <x v="2"/>
    <s v="Manager"/>
    <n v="701"/>
    <n v="1"/>
    <x v="5"/>
    <d v="1994-09-01T00:00:00"/>
    <n v="966916"/>
    <x v="1"/>
    <n v="1994"/>
    <n v="6"/>
    <n v="32"/>
    <x v="0"/>
    <x v="0"/>
  </r>
  <r>
    <x v="318"/>
    <n v="49213"/>
    <s v="Growth - Executive"/>
    <x v="2"/>
    <s v="Executive"/>
    <n v="799"/>
    <n v="1"/>
    <x v="8"/>
    <d v="1990-05-09T00:00:00"/>
    <n v="501499"/>
    <x v="0"/>
    <n v="1990"/>
    <n v="6"/>
    <n v="36"/>
    <x v="1"/>
    <x v="1"/>
  </r>
  <r>
    <x v="254"/>
    <n v="62181"/>
    <s v="Finance - Executive"/>
    <x v="5"/>
    <s v="Executive"/>
    <n v="787"/>
    <n v="1"/>
    <x v="0"/>
    <d v="1989-05-03T00:00:00"/>
    <n v="518247"/>
    <x v="2"/>
    <n v="1989"/>
    <n v="2"/>
    <n v="37"/>
    <x v="1"/>
    <x v="0"/>
  </r>
  <r>
    <x v="19"/>
    <n v="34654"/>
    <s v="Strategy - Intern"/>
    <x v="3"/>
    <s v="Intern"/>
    <n v="720"/>
    <n v="2"/>
    <x v="5"/>
    <d v="1981-12-30T00:00:00"/>
    <n v="865045"/>
    <x v="1"/>
    <n v="1981"/>
    <n v="5"/>
    <n v="45"/>
    <x v="0"/>
    <x v="0"/>
  </r>
  <r>
    <x v="319"/>
    <n v="46681"/>
    <s v="Strategy - Executive"/>
    <x v="3"/>
    <s v="Executive"/>
    <n v="789"/>
    <n v="1"/>
    <x v="3"/>
    <d v="1993-11-30T00:00:00"/>
    <n v="731147"/>
    <x v="1"/>
    <n v="1993"/>
    <n v="4"/>
    <n v="33"/>
    <x v="1"/>
    <x v="0"/>
  </r>
  <r>
    <x v="272"/>
    <n v="60004"/>
    <s v="Strategy - Executive"/>
    <x v="3"/>
    <s v="Executive"/>
    <n v="705"/>
    <n v="3"/>
    <x v="7"/>
    <d v="1986-06-07T00:00:00"/>
    <n v="791950"/>
    <x v="1"/>
    <n v="1986"/>
    <n v="8"/>
    <n v="40"/>
    <x v="0"/>
    <x v="1"/>
  </r>
  <r>
    <x v="305"/>
    <n v="67704"/>
    <s v="Strategy - Manager"/>
    <x v="3"/>
    <s v="Manager"/>
    <n v="783"/>
    <n v="5"/>
    <x v="4"/>
    <d v="1988-06-17T00:00:00"/>
    <n v="911948"/>
    <x v="0"/>
    <n v="1988"/>
    <n v="9"/>
    <n v="38"/>
    <x v="1"/>
    <x v="2"/>
  </r>
  <r>
    <x v="126"/>
    <n v="39833"/>
    <s v="Marketing - Director"/>
    <x v="0"/>
    <s v="Director"/>
    <n v="730"/>
    <n v="4"/>
    <x v="4"/>
    <d v="1992-06-03T00:00:00"/>
    <n v="932873"/>
    <x v="0"/>
    <n v="1992"/>
    <n v="5"/>
    <n v="34"/>
    <x v="0"/>
    <x v="0"/>
  </r>
  <r>
    <x v="320"/>
    <n v="20617"/>
    <s v="Finance - Director"/>
    <x v="5"/>
    <s v="Director"/>
    <n v="739"/>
    <n v="3"/>
    <x v="2"/>
    <d v="1994-12-11T00:00:00"/>
    <n v="805851"/>
    <x v="0"/>
    <n v="1994"/>
    <n v="3"/>
    <n v="32"/>
    <x v="0"/>
    <x v="1"/>
  </r>
  <r>
    <x v="267"/>
    <n v="29950"/>
    <s v="Strategy - Director"/>
    <x v="3"/>
    <s v="Director"/>
    <n v="784"/>
    <n v="2"/>
    <x v="3"/>
    <d v="1983-10-29T00:00:00"/>
    <n v="555688"/>
    <x v="2"/>
    <n v="1983"/>
    <n v="4"/>
    <n v="43"/>
    <x v="1"/>
    <x v="0"/>
  </r>
  <r>
    <x v="70"/>
    <n v="84211"/>
    <s v="Strategy - Intern"/>
    <x v="3"/>
    <s v="Intern"/>
    <n v="781"/>
    <n v="2"/>
    <x v="6"/>
    <d v="1994-02-28T00:00:00"/>
    <n v="576772"/>
    <x v="0"/>
    <n v="1994"/>
    <n v="9"/>
    <n v="32"/>
    <x v="1"/>
    <x v="0"/>
  </r>
  <r>
    <x v="154"/>
    <n v="84049"/>
    <s v="Sales - Executive"/>
    <x v="4"/>
    <s v="Executive"/>
    <n v="800"/>
    <n v="3"/>
    <x v="2"/>
    <d v="1982-02-23T00:00:00"/>
    <n v="593323"/>
    <x v="1"/>
    <n v="1982"/>
    <n v="9"/>
    <n v="44"/>
    <x v="1"/>
    <x v="1"/>
  </r>
  <r>
    <x v="224"/>
    <n v="68344"/>
    <s v="Marketing - Manager"/>
    <x v="0"/>
    <s v="Manager"/>
    <n v="756"/>
    <n v="3"/>
    <x v="3"/>
    <d v="1993-07-07T00:00:00"/>
    <n v="628220"/>
    <x v="2"/>
    <n v="1993"/>
    <n v="4"/>
    <n v="33"/>
    <x v="1"/>
    <x v="0"/>
  </r>
  <r>
    <x v="303"/>
    <n v="43744"/>
    <s v="Sales - Director"/>
    <x v="4"/>
    <s v="Director"/>
    <n v="747"/>
    <n v="2"/>
    <x v="5"/>
    <d v="1990-01-16T00:00:00"/>
    <n v="693621"/>
    <x v="2"/>
    <n v="1990"/>
    <n v="4"/>
    <n v="36"/>
    <x v="0"/>
    <x v="0"/>
  </r>
  <r>
    <x v="72"/>
    <n v="16002"/>
    <s v="Marketing - Intern"/>
    <x v="0"/>
    <s v="Intern"/>
    <n v="783"/>
    <n v="2"/>
    <x v="9"/>
    <d v="1992-05-12T00:00:00"/>
    <n v="868112"/>
    <x v="1"/>
    <n v="1992"/>
    <n v="2"/>
    <n v="34"/>
    <x v="1"/>
    <x v="1"/>
  </r>
  <r>
    <x v="28"/>
    <n v="53353"/>
    <s v="Strategy - Executive"/>
    <x v="3"/>
    <s v="Executive"/>
    <n v="715"/>
    <n v="1"/>
    <x v="1"/>
    <d v="1994-09-11T00:00:00"/>
    <n v="883957"/>
    <x v="0"/>
    <n v="1994"/>
    <n v="10"/>
    <n v="32"/>
    <x v="0"/>
    <x v="1"/>
  </r>
  <r>
    <x v="239"/>
    <n v="80050"/>
    <s v="Finance - Director"/>
    <x v="5"/>
    <s v="Director"/>
    <n v="726"/>
    <n v="1"/>
    <x v="2"/>
    <d v="1982-07-25T00:00:00"/>
    <n v="645331"/>
    <x v="0"/>
    <n v="1982"/>
    <n v="5"/>
    <n v="44"/>
    <x v="0"/>
    <x v="1"/>
  </r>
  <r>
    <x v="232"/>
    <n v="20792"/>
    <s v="Marketing - Director"/>
    <x v="0"/>
    <s v="Director"/>
    <n v="779"/>
    <n v="2"/>
    <x v="6"/>
    <d v="1986-01-09T00:00:00"/>
    <n v="693474"/>
    <x v="2"/>
    <n v="1986"/>
    <n v="11"/>
    <n v="40"/>
    <x v="1"/>
    <x v="0"/>
  </r>
  <r>
    <x v="286"/>
    <n v="95386"/>
    <s v="Strategy - Manager"/>
    <x v="3"/>
    <s v="Manager"/>
    <n v="732"/>
    <n v="5"/>
    <x v="0"/>
    <d v="1980-04-26T00:00:00"/>
    <n v="910949"/>
    <x v="0"/>
    <n v="1980"/>
    <n v="1"/>
    <n v="46"/>
    <x v="0"/>
    <x v="0"/>
  </r>
  <r>
    <x v="76"/>
    <n v="61042"/>
    <s v="Strategy - Intern"/>
    <x v="3"/>
    <s v="Intern"/>
    <n v="788"/>
    <n v="4"/>
    <x v="9"/>
    <d v="1984-01-10T00:00:00"/>
    <n v="742181"/>
    <x v="2"/>
    <n v="1984"/>
    <n v="6"/>
    <n v="42"/>
    <x v="1"/>
    <x v="1"/>
  </r>
  <r>
    <x v="74"/>
    <n v="49163"/>
    <s v="Marketing - Manager"/>
    <x v="0"/>
    <s v="Manager"/>
    <n v="735"/>
    <n v="1"/>
    <x v="4"/>
    <d v="1987-06-10T00:00:00"/>
    <n v="530738"/>
    <x v="1"/>
    <n v="1987"/>
    <n v="8"/>
    <n v="39"/>
    <x v="0"/>
    <x v="0"/>
  </r>
  <r>
    <x v="321"/>
    <n v="89479"/>
    <s v="Operation - Manager"/>
    <x v="1"/>
    <s v="Manager"/>
    <n v="770"/>
    <n v="5"/>
    <x v="6"/>
    <d v="1983-07-23T00:00:00"/>
    <n v="966350"/>
    <x v="1"/>
    <n v="1983"/>
    <n v="12"/>
    <n v="43"/>
    <x v="1"/>
    <x v="0"/>
  </r>
  <r>
    <x v="98"/>
    <n v="61277"/>
    <s v="Growth - Executive"/>
    <x v="2"/>
    <s v="Executive"/>
    <n v="761"/>
    <n v="4"/>
    <x v="3"/>
    <d v="1985-04-30T00:00:00"/>
    <n v="760297"/>
    <x v="1"/>
    <n v="1985"/>
    <n v="3"/>
    <n v="41"/>
    <x v="1"/>
    <x v="0"/>
  </r>
  <r>
    <x v="133"/>
    <n v="40667"/>
    <s v="Growth - Intern"/>
    <x v="2"/>
    <s v="Intern"/>
    <n v="754"/>
    <n v="5"/>
    <x v="1"/>
    <d v="1988-05-02T00:00:00"/>
    <n v="941650"/>
    <x v="2"/>
    <n v="1988"/>
    <n v="10"/>
    <n v="38"/>
    <x v="1"/>
    <x v="1"/>
  </r>
  <r>
    <x v="35"/>
    <n v="86938"/>
    <s v="Strategy - Executive"/>
    <x v="3"/>
    <s v="Executive"/>
    <n v="743"/>
    <n v="1"/>
    <x v="8"/>
    <d v="1984-12-08T00:00:00"/>
    <n v="645045"/>
    <x v="0"/>
    <n v="1984"/>
    <n v="10"/>
    <n v="42"/>
    <x v="0"/>
    <x v="1"/>
  </r>
  <r>
    <x v="190"/>
    <n v="46268"/>
    <s v="Strategy - Manager"/>
    <x v="3"/>
    <s v="Manager"/>
    <n v="752"/>
    <n v="2"/>
    <x v="9"/>
    <d v="1992-01-06T00:00:00"/>
    <n v="519971"/>
    <x v="1"/>
    <n v="1992"/>
    <n v="8"/>
    <n v="34"/>
    <x v="1"/>
    <x v="1"/>
  </r>
  <r>
    <x v="322"/>
    <n v="56840"/>
    <s v="Operation - Director"/>
    <x v="1"/>
    <s v="Director"/>
    <n v="755"/>
    <n v="5"/>
    <x v="4"/>
    <d v="1985-02-27T00:00:00"/>
    <n v="641697"/>
    <x v="1"/>
    <n v="1985"/>
    <n v="4"/>
    <n v="41"/>
    <x v="1"/>
    <x v="2"/>
  </r>
  <r>
    <x v="147"/>
    <n v="27730"/>
    <s v="Growth - Director"/>
    <x v="2"/>
    <s v="Director"/>
    <n v="755"/>
    <n v="1"/>
    <x v="1"/>
    <d v="1993-11-06T00:00:00"/>
    <n v="856240"/>
    <x v="0"/>
    <n v="1993"/>
    <n v="6"/>
    <n v="33"/>
    <x v="1"/>
    <x v="1"/>
  </r>
  <r>
    <x v="39"/>
    <n v="37808"/>
    <s v="Strategy - Director"/>
    <x v="3"/>
    <s v="Director"/>
    <n v="765"/>
    <n v="1"/>
    <x v="3"/>
    <d v="1991-01-25T00:00:00"/>
    <n v="670204"/>
    <x v="1"/>
    <n v="1991"/>
    <n v="3"/>
    <n v="35"/>
    <x v="1"/>
    <x v="0"/>
  </r>
  <r>
    <x v="323"/>
    <n v="47096"/>
    <s v="Sales - Manager"/>
    <x v="4"/>
    <s v="Manager"/>
    <n v="732"/>
    <n v="4"/>
    <x v="2"/>
    <d v="1993-01-02T00:00:00"/>
    <n v="679278"/>
    <x v="1"/>
    <n v="1993"/>
    <n v="3"/>
    <n v="33"/>
    <x v="0"/>
    <x v="1"/>
  </r>
  <r>
    <x v="258"/>
    <n v="33235"/>
    <s v="Operation - Executive"/>
    <x v="1"/>
    <s v="Executive"/>
    <n v="800"/>
    <n v="3"/>
    <x v="4"/>
    <d v="1981-10-06T00:00:00"/>
    <n v="889281"/>
    <x v="1"/>
    <n v="1981"/>
    <n v="11"/>
    <n v="45"/>
    <x v="1"/>
    <x v="2"/>
  </r>
  <r>
    <x v="214"/>
    <n v="12400"/>
    <s v="Operation - Manager"/>
    <x v="1"/>
    <s v="Manager"/>
    <n v="718"/>
    <n v="3"/>
    <x v="5"/>
    <d v="1989-02-07T00:00:00"/>
    <n v="869677"/>
    <x v="1"/>
    <n v="1989"/>
    <n v="5"/>
    <n v="37"/>
    <x v="0"/>
    <x v="0"/>
  </r>
  <r>
    <x v="55"/>
    <n v="92748"/>
    <s v="Growth - Director"/>
    <x v="2"/>
    <s v="Director"/>
    <n v="762"/>
    <n v="3"/>
    <x v="0"/>
    <d v="1989-03-29T00:00:00"/>
    <n v="707598"/>
    <x v="0"/>
    <n v="1989"/>
    <n v="2"/>
    <n v="37"/>
    <x v="1"/>
    <x v="0"/>
  </r>
  <r>
    <x v="324"/>
    <n v="40888"/>
    <s v="Sales - Executive"/>
    <x v="4"/>
    <s v="Executive"/>
    <n v="789"/>
    <n v="4"/>
    <x v="5"/>
    <d v="1987-06-23T00:00:00"/>
    <n v="519794"/>
    <x v="1"/>
    <n v="1987"/>
    <n v="12"/>
    <n v="39"/>
    <x v="1"/>
    <x v="2"/>
  </r>
  <r>
    <x v="94"/>
    <n v="22223"/>
    <s v="Marketing - Executive"/>
    <x v="0"/>
    <s v="Executive"/>
    <n v="766"/>
    <n v="2"/>
    <x v="1"/>
    <d v="1982-07-10T00:00:00"/>
    <n v="801696"/>
    <x v="0"/>
    <n v="1982"/>
    <n v="5"/>
    <n v="44"/>
    <x v="1"/>
    <x v="1"/>
  </r>
  <r>
    <x v="30"/>
    <n v="30644"/>
    <s v="Strategy - Manager"/>
    <x v="3"/>
    <s v="Manager"/>
    <n v="756"/>
    <n v="1"/>
    <x v="8"/>
    <d v="1994-02-08T00:00:00"/>
    <n v="768649"/>
    <x v="2"/>
    <n v="1994"/>
    <n v="3"/>
    <n v="32"/>
    <x v="1"/>
    <x v="1"/>
  </r>
  <r>
    <x v="324"/>
    <n v="15917"/>
    <s v="Strategy - Manager"/>
    <x v="3"/>
    <s v="Manager"/>
    <n v="792"/>
    <n v="1"/>
    <x v="6"/>
    <d v="1985-11-17T00:00:00"/>
    <n v="560791"/>
    <x v="2"/>
    <n v="1985"/>
    <n v="12"/>
    <n v="41"/>
    <x v="1"/>
    <x v="0"/>
  </r>
  <r>
    <x v="179"/>
    <n v="74081"/>
    <s v="Finance - Director"/>
    <x v="5"/>
    <s v="Director"/>
    <n v="782"/>
    <n v="2"/>
    <x v="9"/>
    <d v="1981-07-02T00:00:00"/>
    <n v="958927"/>
    <x v="2"/>
    <n v="1981"/>
    <n v="1"/>
    <n v="45"/>
    <x v="1"/>
    <x v="1"/>
  </r>
  <r>
    <x v="59"/>
    <n v="38406"/>
    <s v="Growth - Director"/>
    <x v="2"/>
    <s v="Director"/>
    <n v="798"/>
    <n v="2"/>
    <x v="9"/>
    <d v="1983-09-28T00:00:00"/>
    <n v="746078"/>
    <x v="0"/>
    <n v="1983"/>
    <n v="3"/>
    <n v="43"/>
    <x v="1"/>
    <x v="1"/>
  </r>
  <r>
    <x v="144"/>
    <n v="48986"/>
    <s v="Growth - Intern"/>
    <x v="2"/>
    <s v="Intern"/>
    <n v="723"/>
    <n v="1"/>
    <x v="3"/>
    <d v="1990-08-27T00:00:00"/>
    <n v="865697"/>
    <x v="0"/>
    <n v="1990"/>
    <n v="11"/>
    <n v="36"/>
    <x v="0"/>
    <x v="0"/>
  </r>
  <r>
    <x v="316"/>
    <n v="42393"/>
    <s v="Sales - Director"/>
    <x v="4"/>
    <s v="Director"/>
    <n v="718"/>
    <n v="5"/>
    <x v="6"/>
    <d v="1986-04-19T00:00:00"/>
    <n v="856724"/>
    <x v="2"/>
    <n v="1986"/>
    <n v="2"/>
    <n v="40"/>
    <x v="0"/>
    <x v="0"/>
  </r>
  <r>
    <x v="9"/>
    <n v="99825"/>
    <s v="Finance - Executive"/>
    <x v="5"/>
    <s v="Executive"/>
    <n v="722"/>
    <n v="2"/>
    <x v="8"/>
    <d v="1984-11-04T00:00:00"/>
    <n v="862656"/>
    <x v="0"/>
    <n v="1984"/>
    <n v="5"/>
    <n v="42"/>
    <x v="0"/>
    <x v="1"/>
  </r>
  <r>
    <x v="248"/>
    <n v="80413"/>
    <s v="Strategy - Executive"/>
    <x v="3"/>
    <s v="Executive"/>
    <n v="716"/>
    <n v="1"/>
    <x v="3"/>
    <d v="1992-04-25T00:00:00"/>
    <n v="610603"/>
    <x v="0"/>
    <n v="1992"/>
    <n v="2"/>
    <n v="34"/>
    <x v="0"/>
    <x v="0"/>
  </r>
  <r>
    <x v="220"/>
    <n v="98909"/>
    <s v="Operation - Manager"/>
    <x v="1"/>
    <s v="Manager"/>
    <n v="706"/>
    <n v="4"/>
    <x v="1"/>
    <d v="1990-08-07T00:00:00"/>
    <n v="622627"/>
    <x v="2"/>
    <n v="1990"/>
    <n v="4"/>
    <n v="36"/>
    <x v="0"/>
    <x v="1"/>
  </r>
  <r>
    <x v="10"/>
    <n v="17934"/>
    <s v="Finance - Manager"/>
    <x v="5"/>
    <s v="Manager"/>
    <n v="752"/>
    <n v="2"/>
    <x v="0"/>
    <d v="1991-09-25T00:00:00"/>
    <n v="621307"/>
    <x v="0"/>
    <n v="1991"/>
    <n v="11"/>
    <n v="35"/>
    <x v="1"/>
    <x v="0"/>
  </r>
  <r>
    <x v="216"/>
    <n v="53632"/>
    <s v="Growth - Director"/>
    <x v="2"/>
    <s v="Director"/>
    <n v="729"/>
    <n v="2"/>
    <x v="5"/>
    <d v="1985-06-21T00:00:00"/>
    <n v="546261"/>
    <x v="0"/>
    <n v="1985"/>
    <n v="3"/>
    <n v="41"/>
    <x v="0"/>
    <x v="0"/>
  </r>
  <r>
    <x v="70"/>
    <n v="14147"/>
    <s v="Operation - Intern"/>
    <x v="1"/>
    <s v="Intern"/>
    <n v="774"/>
    <n v="3"/>
    <x v="0"/>
    <d v="1986-06-27T00:00:00"/>
    <n v="765398"/>
    <x v="0"/>
    <n v="1986"/>
    <n v="9"/>
    <n v="40"/>
    <x v="1"/>
    <x v="0"/>
  </r>
  <r>
    <x v="325"/>
    <n v="14886"/>
    <s v="Marketing - Director"/>
    <x v="0"/>
    <s v="Director"/>
    <n v="740"/>
    <n v="4"/>
    <x v="9"/>
    <d v="1981-04-01T00:00:00"/>
    <n v="675410"/>
    <x v="1"/>
    <n v="1981"/>
    <n v="5"/>
    <n v="45"/>
    <x v="0"/>
    <x v="1"/>
  </r>
  <r>
    <x v="106"/>
    <n v="17693"/>
    <s v="Marketing - Executive"/>
    <x v="0"/>
    <s v="Executive"/>
    <n v="737"/>
    <n v="4"/>
    <x v="2"/>
    <d v="1986-11-14T00:00:00"/>
    <n v="934943"/>
    <x v="1"/>
    <n v="1986"/>
    <n v="11"/>
    <n v="40"/>
    <x v="0"/>
    <x v="1"/>
  </r>
  <r>
    <x v="103"/>
    <n v="63705"/>
    <s v="Growth - Executive"/>
    <x v="2"/>
    <s v="Executive"/>
    <n v="769"/>
    <n v="2"/>
    <x v="2"/>
    <d v="1985-06-02T00:00:00"/>
    <n v="753887"/>
    <x v="0"/>
    <n v="1985"/>
    <n v="4"/>
    <n v="41"/>
    <x v="1"/>
    <x v="1"/>
  </r>
  <r>
    <x v="223"/>
    <n v="79227"/>
    <s v="Operation - Executive"/>
    <x v="1"/>
    <s v="Executive"/>
    <n v="716"/>
    <n v="4"/>
    <x v="5"/>
    <d v="1981-07-01T00:00:00"/>
    <n v="815919"/>
    <x v="0"/>
    <n v="1981"/>
    <n v="8"/>
    <n v="45"/>
    <x v="0"/>
    <x v="0"/>
  </r>
  <r>
    <x v="0"/>
    <n v="50994"/>
    <s v="Operation - Executive"/>
    <x v="1"/>
    <s v="Executive"/>
    <n v="778"/>
    <n v="5"/>
    <x v="6"/>
    <d v="1993-06-25T00:00:00"/>
    <n v="683977"/>
    <x v="2"/>
    <n v="1993"/>
    <n v="8"/>
    <n v="33"/>
    <x v="1"/>
    <x v="0"/>
  </r>
  <r>
    <x v="15"/>
    <n v="28960"/>
    <s v="Growth - Director"/>
    <x v="2"/>
    <s v="Director"/>
    <n v="758"/>
    <n v="3"/>
    <x v="0"/>
    <d v="1985-09-08T00:00:00"/>
    <n v="503619"/>
    <x v="1"/>
    <n v="1985"/>
    <n v="1"/>
    <n v="41"/>
    <x v="1"/>
    <x v="0"/>
  </r>
  <r>
    <x v="324"/>
    <n v="80217"/>
    <s v="Sales - Intern"/>
    <x v="4"/>
    <s v="Intern"/>
    <n v="777"/>
    <n v="2"/>
    <x v="2"/>
    <d v="1982-07-16T00:00:00"/>
    <n v="889056"/>
    <x v="0"/>
    <n v="1982"/>
    <n v="12"/>
    <n v="44"/>
    <x v="1"/>
    <x v="1"/>
  </r>
  <r>
    <x v="207"/>
    <n v="30845"/>
    <s v="Finance - Executive"/>
    <x v="5"/>
    <s v="Executive"/>
    <n v="738"/>
    <n v="4"/>
    <x v="6"/>
    <d v="1991-08-17T00:00:00"/>
    <n v="702299"/>
    <x v="0"/>
    <n v="1991"/>
    <n v="6"/>
    <n v="35"/>
    <x v="0"/>
    <x v="0"/>
  </r>
  <r>
    <x v="180"/>
    <n v="56704"/>
    <s v="Operation - Manager"/>
    <x v="1"/>
    <s v="Manager"/>
    <n v="772"/>
    <n v="3"/>
    <x v="4"/>
    <d v="1994-11-08T00:00:00"/>
    <n v="582495"/>
    <x v="2"/>
    <n v="1994"/>
    <n v="9"/>
    <n v="32"/>
    <x v="1"/>
    <x v="2"/>
  </r>
  <r>
    <x v="126"/>
    <n v="86488"/>
    <s v="Marketing - Director"/>
    <x v="0"/>
    <s v="Director"/>
    <n v="764"/>
    <n v="2"/>
    <x v="8"/>
    <d v="1988-04-27T00:00:00"/>
    <n v="658127"/>
    <x v="1"/>
    <n v="1988"/>
    <n v="5"/>
    <n v="38"/>
    <x v="1"/>
    <x v="1"/>
  </r>
  <r>
    <x v="196"/>
    <n v="79462"/>
    <s v="Growth - Intern"/>
    <x v="2"/>
    <s v="Intern"/>
    <n v="739"/>
    <n v="2"/>
    <x v="0"/>
    <d v="1982-05-21T00:00:00"/>
    <n v="955880"/>
    <x v="1"/>
    <n v="1982"/>
    <n v="7"/>
    <n v="44"/>
    <x v="0"/>
    <x v="0"/>
  </r>
  <r>
    <x v="1"/>
    <n v="64677"/>
    <s v="Marketing - Executive"/>
    <x v="0"/>
    <s v="Executive"/>
    <n v="703"/>
    <n v="2"/>
    <x v="7"/>
    <d v="1994-09-22T00:00:00"/>
    <n v="913943"/>
    <x v="2"/>
    <n v="1994"/>
    <n v="4"/>
    <n v="32"/>
    <x v="0"/>
    <x v="1"/>
  </r>
  <r>
    <x v="70"/>
    <n v="53751"/>
    <s v="Marketing - Manager"/>
    <x v="0"/>
    <s v="Manager"/>
    <n v="704"/>
    <n v="3"/>
    <x v="5"/>
    <d v="1982-05-29T00:00:00"/>
    <n v="992032"/>
    <x v="2"/>
    <n v="1982"/>
    <n v="9"/>
    <n v="44"/>
    <x v="0"/>
    <x v="0"/>
  </r>
  <r>
    <x v="312"/>
    <n v="27788"/>
    <s v="Operation - Executive"/>
    <x v="1"/>
    <s v="Executive"/>
    <n v="758"/>
    <n v="2"/>
    <x v="8"/>
    <d v="1986-01-13T00:00:00"/>
    <n v="780827"/>
    <x v="2"/>
    <n v="1986"/>
    <n v="1"/>
    <n v="40"/>
    <x v="1"/>
    <x v="1"/>
  </r>
  <r>
    <x v="286"/>
    <n v="70713"/>
    <s v="Strategy - Executive"/>
    <x v="3"/>
    <s v="Executive"/>
    <n v="729"/>
    <n v="5"/>
    <x v="8"/>
    <d v="1992-03-17T00:00:00"/>
    <n v="763949"/>
    <x v="0"/>
    <n v="1992"/>
    <n v="1"/>
    <n v="34"/>
    <x v="0"/>
    <x v="1"/>
  </r>
  <r>
    <x v="277"/>
    <n v="33264"/>
    <s v="Marketing - Director"/>
    <x v="0"/>
    <s v="Director"/>
    <n v="761"/>
    <n v="1"/>
    <x v="9"/>
    <d v="1985-05-08T00:00:00"/>
    <n v="874282"/>
    <x v="1"/>
    <n v="1985"/>
    <n v="5"/>
    <n v="41"/>
    <x v="1"/>
    <x v="1"/>
  </r>
  <r>
    <x v="224"/>
    <n v="88783"/>
    <s v="Sales - Director"/>
    <x v="4"/>
    <s v="Director"/>
    <n v="708"/>
    <n v="2"/>
    <x v="9"/>
    <d v="1983-02-04T00:00:00"/>
    <n v="829846"/>
    <x v="1"/>
    <n v="1983"/>
    <n v="4"/>
    <n v="43"/>
    <x v="0"/>
    <x v="1"/>
  </r>
  <r>
    <x v="295"/>
    <n v="10804"/>
    <s v="Sales - Director"/>
    <x v="4"/>
    <s v="Director"/>
    <n v="771"/>
    <n v="2"/>
    <x v="6"/>
    <d v="1991-08-11T00:00:00"/>
    <n v="721772"/>
    <x v="0"/>
    <n v="1991"/>
    <n v="10"/>
    <n v="35"/>
    <x v="1"/>
    <x v="0"/>
  </r>
  <r>
    <x v="138"/>
    <n v="40150"/>
    <s v="Strategy - Director"/>
    <x v="3"/>
    <s v="Director"/>
    <n v="799"/>
    <n v="5"/>
    <x v="6"/>
    <d v="1989-02-14T00:00:00"/>
    <n v="867129"/>
    <x v="2"/>
    <n v="1989"/>
    <n v="7"/>
    <n v="37"/>
    <x v="1"/>
    <x v="0"/>
  </r>
  <r>
    <x v="218"/>
    <n v="11377"/>
    <s v="Finance - Manager"/>
    <x v="5"/>
    <s v="Manager"/>
    <n v="729"/>
    <n v="1"/>
    <x v="1"/>
    <d v="1980-07-19T00:00:00"/>
    <n v="761341"/>
    <x v="1"/>
    <n v="1980"/>
    <n v="3"/>
    <n v="46"/>
    <x v="0"/>
    <x v="1"/>
  </r>
  <r>
    <x v="249"/>
    <n v="37782"/>
    <s v="Operation - Manager"/>
    <x v="1"/>
    <s v="Manager"/>
    <n v="732"/>
    <n v="3"/>
    <x v="5"/>
    <d v="1980-06-11T00:00:00"/>
    <n v="769686"/>
    <x v="1"/>
    <n v="1980"/>
    <n v="7"/>
    <n v="46"/>
    <x v="0"/>
    <x v="0"/>
  </r>
  <r>
    <x v="149"/>
    <n v="66876"/>
    <s v="Sales - Intern"/>
    <x v="4"/>
    <s v="Intern"/>
    <n v="708"/>
    <n v="2"/>
    <x v="9"/>
    <d v="1982-09-07T00:00:00"/>
    <n v="947120"/>
    <x v="1"/>
    <n v="1982"/>
    <n v="7"/>
    <n v="44"/>
    <x v="0"/>
    <x v="1"/>
  </r>
  <r>
    <x v="42"/>
    <n v="35347"/>
    <s v="Growth - Director"/>
    <x v="2"/>
    <s v="Director"/>
    <n v="707"/>
    <n v="1"/>
    <x v="7"/>
    <d v="1980-02-25T00:00:00"/>
    <n v="748484"/>
    <x v="2"/>
    <n v="1980"/>
    <n v="9"/>
    <n v="46"/>
    <x v="0"/>
    <x v="1"/>
  </r>
  <r>
    <x v="183"/>
    <n v="71659"/>
    <s v="Sales - Manager"/>
    <x v="4"/>
    <s v="Manager"/>
    <n v="770"/>
    <n v="1"/>
    <x v="8"/>
    <d v="1981-08-23T00:00:00"/>
    <n v="550140"/>
    <x v="2"/>
    <n v="1981"/>
    <n v="11"/>
    <n v="45"/>
    <x v="1"/>
    <x v="1"/>
  </r>
  <r>
    <x v="91"/>
    <n v="77381"/>
    <s v="Operation - Director"/>
    <x v="1"/>
    <s v="Director"/>
    <n v="704"/>
    <n v="1"/>
    <x v="6"/>
    <d v="1989-04-28T00:00:00"/>
    <n v="541629"/>
    <x v="2"/>
    <n v="1989"/>
    <n v="7"/>
    <n v="37"/>
    <x v="0"/>
    <x v="0"/>
  </r>
  <r>
    <x v="284"/>
    <n v="22762"/>
    <s v="Growth - Manager"/>
    <x v="2"/>
    <s v="Manager"/>
    <n v="748"/>
    <n v="4"/>
    <x v="1"/>
    <d v="1994-10-01T00:00:00"/>
    <n v="918180"/>
    <x v="1"/>
    <n v="1994"/>
    <n v="5"/>
    <n v="32"/>
    <x v="0"/>
    <x v="1"/>
  </r>
  <r>
    <x v="326"/>
    <n v="91326"/>
    <s v="Finance - Intern"/>
    <x v="5"/>
    <s v="Intern"/>
    <n v="726"/>
    <n v="3"/>
    <x v="9"/>
    <d v="1986-11-15T00:00:00"/>
    <n v="573154"/>
    <x v="0"/>
    <n v="1986"/>
    <n v="5"/>
    <n v="40"/>
    <x v="0"/>
    <x v="1"/>
  </r>
  <r>
    <x v="14"/>
    <n v="21644"/>
    <s v="Growth - Director"/>
    <x v="2"/>
    <s v="Director"/>
    <n v="791"/>
    <n v="3"/>
    <x v="6"/>
    <d v="1988-06-02T00:00:00"/>
    <n v="677195"/>
    <x v="1"/>
    <n v="1988"/>
    <n v="3"/>
    <n v="38"/>
    <x v="1"/>
    <x v="0"/>
  </r>
  <r>
    <x v="245"/>
    <n v="58510"/>
    <s v="Marketing - Intern"/>
    <x v="0"/>
    <s v="Intern"/>
    <n v="764"/>
    <n v="5"/>
    <x v="3"/>
    <d v="1988-10-19T00:00:00"/>
    <n v="526636"/>
    <x v="0"/>
    <n v="1988"/>
    <n v="11"/>
    <n v="38"/>
    <x v="1"/>
    <x v="0"/>
  </r>
  <r>
    <x v="48"/>
    <n v="15330"/>
    <s v="Operation - Manager"/>
    <x v="1"/>
    <s v="Manager"/>
    <n v="715"/>
    <n v="1"/>
    <x v="1"/>
    <d v="1985-01-09T00:00:00"/>
    <n v="685537"/>
    <x v="1"/>
    <n v="1985"/>
    <n v="7"/>
    <n v="41"/>
    <x v="0"/>
    <x v="1"/>
  </r>
  <r>
    <x v="55"/>
    <n v="96815"/>
    <s v="Strategy - Manager"/>
    <x v="3"/>
    <s v="Manager"/>
    <n v="722"/>
    <n v="5"/>
    <x v="5"/>
    <d v="1988-03-17T00:00:00"/>
    <n v="909554"/>
    <x v="2"/>
    <n v="1988"/>
    <n v="2"/>
    <n v="38"/>
    <x v="0"/>
    <x v="0"/>
  </r>
  <r>
    <x v="25"/>
    <n v="54329"/>
    <s v="Sales - Manager"/>
    <x v="4"/>
    <s v="Manager"/>
    <n v="728"/>
    <n v="4"/>
    <x v="8"/>
    <d v="1993-05-11T00:00:00"/>
    <n v="949802"/>
    <x v="0"/>
    <n v="1993"/>
    <n v="10"/>
    <n v="33"/>
    <x v="0"/>
    <x v="1"/>
  </r>
  <r>
    <x v="164"/>
    <n v="89827"/>
    <s v="Marketing - Intern"/>
    <x v="0"/>
    <s v="Intern"/>
    <n v="743"/>
    <n v="4"/>
    <x v="4"/>
    <d v="1980-07-16T00:00:00"/>
    <n v="729346"/>
    <x v="1"/>
    <n v="1980"/>
    <n v="11"/>
    <n v="46"/>
    <x v="0"/>
    <x v="0"/>
  </r>
  <r>
    <x v="73"/>
    <n v="81215"/>
    <s v="Growth - Executive"/>
    <x v="2"/>
    <s v="Executive"/>
    <n v="700"/>
    <n v="2"/>
    <x v="0"/>
    <d v="1993-07-22T00:00:00"/>
    <n v="665224"/>
    <x v="2"/>
    <n v="1993"/>
    <n v="2"/>
    <n v="33"/>
    <x v="0"/>
    <x v="0"/>
  </r>
  <r>
    <x v="263"/>
    <n v="63995"/>
    <s v="Growth - Director"/>
    <x v="2"/>
    <s v="Director"/>
    <n v="728"/>
    <n v="1"/>
    <x v="4"/>
    <d v="1990-10-07T00:00:00"/>
    <n v="816454"/>
    <x v="1"/>
    <n v="1990"/>
    <n v="1"/>
    <n v="36"/>
    <x v="0"/>
    <x v="0"/>
  </r>
  <r>
    <x v="22"/>
    <n v="80718"/>
    <s v="Strategy - Director"/>
    <x v="3"/>
    <s v="Director"/>
    <n v="792"/>
    <n v="1"/>
    <x v="9"/>
    <d v="1990-06-09T00:00:00"/>
    <n v="902138"/>
    <x v="1"/>
    <n v="1990"/>
    <n v="7"/>
    <n v="36"/>
    <x v="1"/>
    <x v="1"/>
  </r>
  <r>
    <x v="327"/>
    <n v="61503"/>
    <s v="Operation - Executive"/>
    <x v="1"/>
    <s v="Executive"/>
    <n v="780"/>
    <n v="5"/>
    <x v="5"/>
    <d v="1986-04-23T00:00:00"/>
    <n v="573943"/>
    <x v="1"/>
    <n v="1986"/>
    <n v="8"/>
    <n v="40"/>
    <x v="1"/>
    <x v="2"/>
  </r>
  <r>
    <x v="95"/>
    <n v="42387"/>
    <s v="Strategy - Director"/>
    <x v="3"/>
    <s v="Director"/>
    <n v="765"/>
    <n v="5"/>
    <x v="1"/>
    <d v="1986-12-26T00:00:00"/>
    <n v="701014"/>
    <x v="0"/>
    <n v="1986"/>
    <n v="2"/>
    <n v="40"/>
    <x v="1"/>
    <x v="1"/>
  </r>
  <r>
    <x v="263"/>
    <n v="79422"/>
    <s v="Marketing - Manager"/>
    <x v="0"/>
    <s v="Manager"/>
    <n v="791"/>
    <n v="5"/>
    <x v="4"/>
    <d v="1988-10-23T00:00:00"/>
    <n v="612963"/>
    <x v="1"/>
    <n v="1988"/>
    <n v="1"/>
    <n v="38"/>
    <x v="1"/>
    <x v="2"/>
  </r>
  <r>
    <x v="214"/>
    <n v="91123"/>
    <s v="Finance - Director"/>
    <x v="5"/>
    <s v="Director"/>
    <n v="782"/>
    <n v="4"/>
    <x v="3"/>
    <d v="1982-01-10T00:00:00"/>
    <n v="613798"/>
    <x v="1"/>
    <n v="1982"/>
    <n v="5"/>
    <n v="44"/>
    <x v="1"/>
    <x v="0"/>
  </r>
  <r>
    <x v="250"/>
    <n v="87501"/>
    <s v="Strategy - Director"/>
    <x v="3"/>
    <s v="Director"/>
    <n v="713"/>
    <n v="1"/>
    <x v="3"/>
    <d v="1990-02-22T00:00:00"/>
    <n v="534795"/>
    <x v="0"/>
    <n v="1990"/>
    <n v="5"/>
    <n v="36"/>
    <x v="0"/>
    <x v="0"/>
  </r>
  <r>
    <x v="219"/>
    <n v="36206"/>
    <s v="Strategy - Executive"/>
    <x v="3"/>
    <s v="Executive"/>
    <n v="759"/>
    <n v="4"/>
    <x v="3"/>
    <d v="1989-05-17T00:00:00"/>
    <n v="843646"/>
    <x v="0"/>
    <n v="1989"/>
    <n v="8"/>
    <n v="37"/>
    <x v="1"/>
    <x v="0"/>
  </r>
  <r>
    <x v="75"/>
    <n v="64255"/>
    <s v="Sales - Intern"/>
    <x v="4"/>
    <s v="Intern"/>
    <n v="775"/>
    <n v="1"/>
    <x v="0"/>
    <d v="1990-05-04T00:00:00"/>
    <n v="987219"/>
    <x v="0"/>
    <n v="1990"/>
    <n v="5"/>
    <n v="36"/>
    <x v="1"/>
    <x v="0"/>
  </r>
  <r>
    <x v="223"/>
    <n v="63913"/>
    <s v="Finance - Intern"/>
    <x v="5"/>
    <s v="Intern"/>
    <n v="711"/>
    <n v="3"/>
    <x v="3"/>
    <d v="1982-12-29T00:00:00"/>
    <n v="909770"/>
    <x v="1"/>
    <n v="1982"/>
    <n v="8"/>
    <n v="44"/>
    <x v="0"/>
    <x v="0"/>
  </r>
  <r>
    <x v="309"/>
    <n v="42291"/>
    <s v="Finance - Manager"/>
    <x v="5"/>
    <s v="Manager"/>
    <n v="714"/>
    <n v="3"/>
    <x v="1"/>
    <d v="1980-03-17T00:00:00"/>
    <n v="876707"/>
    <x v="0"/>
    <n v="1980"/>
    <n v="8"/>
    <n v="46"/>
    <x v="0"/>
    <x v="1"/>
  </r>
  <r>
    <x v="48"/>
    <n v="94337"/>
    <s v="Sales - Executive"/>
    <x v="4"/>
    <s v="Executive"/>
    <n v="760"/>
    <n v="5"/>
    <x v="5"/>
    <d v="1988-05-30T00:00:00"/>
    <n v="697741"/>
    <x v="1"/>
    <n v="1988"/>
    <n v="7"/>
    <n v="38"/>
    <x v="1"/>
    <x v="2"/>
  </r>
  <r>
    <x v="315"/>
    <n v="58536"/>
    <s v="Strategy - Director"/>
    <x v="3"/>
    <s v="Director"/>
    <n v="778"/>
    <n v="5"/>
    <x v="6"/>
    <d v="1994-05-25T00:00:00"/>
    <n v="718981"/>
    <x v="0"/>
    <n v="1994"/>
    <n v="8"/>
    <n v="32"/>
    <x v="1"/>
    <x v="0"/>
  </r>
  <r>
    <x v="271"/>
    <n v="80060"/>
    <s v="Sales - Intern"/>
    <x v="4"/>
    <s v="Intern"/>
    <n v="714"/>
    <n v="4"/>
    <x v="1"/>
    <d v="1980-04-24T00:00:00"/>
    <n v="624104"/>
    <x v="1"/>
    <n v="1980"/>
    <n v="7"/>
    <n v="46"/>
    <x v="0"/>
    <x v="1"/>
  </r>
  <r>
    <x v="140"/>
    <n v="49766"/>
    <s v="Operation - Executive"/>
    <x v="1"/>
    <s v="Executive"/>
    <n v="797"/>
    <n v="3"/>
    <x v="2"/>
    <d v="1988-09-08T00:00:00"/>
    <n v="875743"/>
    <x v="2"/>
    <n v="1988"/>
    <n v="8"/>
    <n v="38"/>
    <x v="1"/>
    <x v="1"/>
  </r>
  <r>
    <x v="86"/>
    <n v="10463"/>
    <s v="Growth - Director"/>
    <x v="2"/>
    <s v="Director"/>
    <n v="754"/>
    <n v="5"/>
    <x v="1"/>
    <d v="1980-07-30T00:00:00"/>
    <n v="681450"/>
    <x v="0"/>
    <n v="1980"/>
    <n v="9"/>
    <n v="46"/>
    <x v="1"/>
    <x v="1"/>
  </r>
  <r>
    <x v="275"/>
    <n v="32408"/>
    <s v="Sales - Executive"/>
    <x v="4"/>
    <s v="Executive"/>
    <n v="723"/>
    <n v="2"/>
    <x v="6"/>
    <d v="1992-02-22T00:00:00"/>
    <n v="708158"/>
    <x v="2"/>
    <n v="1992"/>
    <n v="3"/>
    <n v="34"/>
    <x v="0"/>
    <x v="0"/>
  </r>
  <r>
    <x v="235"/>
    <n v="60891"/>
    <s v="Operation - Manager"/>
    <x v="1"/>
    <s v="Manager"/>
    <n v="720"/>
    <n v="3"/>
    <x v="8"/>
    <d v="1981-02-10T00:00:00"/>
    <n v="661419"/>
    <x v="2"/>
    <n v="1981"/>
    <n v="3"/>
    <n v="45"/>
    <x v="0"/>
    <x v="1"/>
  </r>
  <r>
    <x v="69"/>
    <n v="84687"/>
    <s v="Marketing - Intern"/>
    <x v="0"/>
    <s v="Intern"/>
    <n v="764"/>
    <n v="3"/>
    <x v="7"/>
    <d v="1984-04-07T00:00:00"/>
    <n v="828750"/>
    <x v="1"/>
    <n v="1984"/>
    <n v="9"/>
    <n v="42"/>
    <x v="1"/>
    <x v="1"/>
  </r>
  <r>
    <x v="239"/>
    <n v="80726"/>
    <s v="Operation - Executive"/>
    <x v="1"/>
    <s v="Executive"/>
    <n v="704"/>
    <n v="5"/>
    <x v="4"/>
    <d v="1986-03-22T00:00:00"/>
    <n v="756646"/>
    <x v="1"/>
    <n v="1986"/>
    <n v="5"/>
    <n v="40"/>
    <x v="0"/>
    <x v="0"/>
  </r>
  <r>
    <x v="29"/>
    <n v="32817"/>
    <s v="Growth - Executive"/>
    <x v="2"/>
    <s v="Executive"/>
    <n v="794"/>
    <n v="1"/>
    <x v="9"/>
    <d v="1990-03-01T00:00:00"/>
    <n v="852706"/>
    <x v="1"/>
    <n v="1990"/>
    <n v="5"/>
    <n v="36"/>
    <x v="1"/>
    <x v="1"/>
  </r>
  <r>
    <x v="35"/>
    <n v="12243"/>
    <s v="Sales - Executive"/>
    <x v="4"/>
    <s v="Executive"/>
    <n v="774"/>
    <n v="3"/>
    <x v="8"/>
    <d v="1993-07-03T00:00:00"/>
    <n v="624082"/>
    <x v="0"/>
    <n v="1993"/>
    <n v="10"/>
    <n v="33"/>
    <x v="1"/>
    <x v="1"/>
  </r>
  <r>
    <x v="169"/>
    <n v="25020"/>
    <s v="Operation - Executive"/>
    <x v="1"/>
    <s v="Executive"/>
    <n v="705"/>
    <n v="1"/>
    <x v="9"/>
    <d v="1984-12-05T00:00:00"/>
    <n v="612503"/>
    <x v="0"/>
    <n v="1984"/>
    <n v="11"/>
    <n v="42"/>
    <x v="0"/>
    <x v="1"/>
  </r>
  <r>
    <x v="150"/>
    <n v="96631"/>
    <s v="Marketing - Director"/>
    <x v="0"/>
    <s v="Director"/>
    <n v="716"/>
    <n v="3"/>
    <x v="6"/>
    <d v="1981-12-12T00:00:00"/>
    <n v="951262"/>
    <x v="1"/>
    <n v="1981"/>
    <n v="2"/>
    <n v="45"/>
    <x v="0"/>
    <x v="0"/>
  </r>
  <r>
    <x v="25"/>
    <n v="90785"/>
    <s v="Strategy - Director"/>
    <x v="3"/>
    <s v="Director"/>
    <n v="765"/>
    <n v="4"/>
    <x v="7"/>
    <d v="1988-02-01T00:00:00"/>
    <n v="807954"/>
    <x v="0"/>
    <n v="1988"/>
    <n v="10"/>
    <n v="38"/>
    <x v="1"/>
    <x v="1"/>
  </r>
  <r>
    <x v="26"/>
    <n v="50257"/>
    <s v="Strategy - Director"/>
    <x v="3"/>
    <s v="Director"/>
    <n v="741"/>
    <n v="3"/>
    <x v="3"/>
    <d v="1994-01-28T00:00:00"/>
    <n v="892679"/>
    <x v="0"/>
    <n v="1994"/>
    <n v="11"/>
    <n v="32"/>
    <x v="0"/>
    <x v="0"/>
  </r>
  <r>
    <x v="105"/>
    <n v="79559"/>
    <s v="Strategy - Manager"/>
    <x v="3"/>
    <s v="Manager"/>
    <n v="780"/>
    <n v="4"/>
    <x v="1"/>
    <d v="1980-02-27T00:00:00"/>
    <n v="717221"/>
    <x v="2"/>
    <n v="1980"/>
    <n v="10"/>
    <n v="46"/>
    <x v="1"/>
    <x v="1"/>
  </r>
  <r>
    <x v="242"/>
    <n v="19368"/>
    <s v="Finance - Director"/>
    <x v="5"/>
    <s v="Director"/>
    <n v="700"/>
    <n v="5"/>
    <x v="1"/>
    <d v="1987-06-21T00:00:00"/>
    <n v="789854"/>
    <x v="0"/>
    <n v="1987"/>
    <n v="11"/>
    <n v="39"/>
    <x v="0"/>
    <x v="1"/>
  </r>
  <r>
    <x v="95"/>
    <n v="61780"/>
    <s v="Marketing - Director"/>
    <x v="0"/>
    <s v="Director"/>
    <n v="702"/>
    <n v="2"/>
    <x v="7"/>
    <d v="1987-10-25T00:00:00"/>
    <n v="696125"/>
    <x v="1"/>
    <n v="1987"/>
    <n v="2"/>
    <n v="39"/>
    <x v="0"/>
    <x v="1"/>
  </r>
  <r>
    <x v="172"/>
    <n v="13669"/>
    <s v="Operation - Director"/>
    <x v="1"/>
    <s v="Director"/>
    <n v="757"/>
    <n v="2"/>
    <x v="8"/>
    <d v="1983-07-30T00:00:00"/>
    <n v="541389"/>
    <x v="1"/>
    <n v="1983"/>
    <n v="8"/>
    <n v="43"/>
    <x v="1"/>
    <x v="1"/>
  </r>
  <r>
    <x v="233"/>
    <n v="76498"/>
    <s v="Marketing - Manager"/>
    <x v="0"/>
    <s v="Manager"/>
    <n v="713"/>
    <n v="2"/>
    <x v="9"/>
    <d v="1984-04-07T00:00:00"/>
    <n v="617205"/>
    <x v="1"/>
    <n v="1984"/>
    <n v="6"/>
    <n v="42"/>
    <x v="0"/>
    <x v="1"/>
  </r>
  <r>
    <x v="135"/>
    <n v="17859"/>
    <s v="Strategy - Director"/>
    <x v="3"/>
    <s v="Director"/>
    <n v="770"/>
    <n v="2"/>
    <x v="6"/>
    <d v="1992-03-01T00:00:00"/>
    <n v="530186"/>
    <x v="1"/>
    <n v="1992"/>
    <n v="2"/>
    <n v="34"/>
    <x v="1"/>
    <x v="0"/>
  </r>
  <r>
    <x v="249"/>
    <n v="17004"/>
    <s v="Growth - Intern"/>
    <x v="2"/>
    <s v="Intern"/>
    <n v="792"/>
    <n v="1"/>
    <x v="0"/>
    <d v="1991-02-25T00:00:00"/>
    <n v="673875"/>
    <x v="1"/>
    <n v="1991"/>
    <n v="7"/>
    <n v="35"/>
    <x v="1"/>
    <x v="0"/>
  </r>
  <r>
    <x v="108"/>
    <n v="61867"/>
    <s v="Growth - Manager"/>
    <x v="2"/>
    <s v="Manager"/>
    <n v="705"/>
    <n v="2"/>
    <x v="1"/>
    <d v="1989-10-28T00:00:00"/>
    <n v="915797"/>
    <x v="1"/>
    <n v="1989"/>
    <n v="1"/>
    <n v="37"/>
    <x v="0"/>
    <x v="1"/>
  </r>
  <r>
    <x v="275"/>
    <n v="38163"/>
    <s v="Sales - Director"/>
    <x v="4"/>
    <s v="Director"/>
    <n v="789"/>
    <n v="4"/>
    <x v="4"/>
    <d v="1980-05-10T00:00:00"/>
    <n v="620332"/>
    <x v="2"/>
    <n v="1980"/>
    <n v="3"/>
    <n v="46"/>
    <x v="1"/>
    <x v="2"/>
  </r>
  <r>
    <x v="328"/>
    <n v="79897"/>
    <s v="Marketing - Intern"/>
    <x v="0"/>
    <s v="Intern"/>
    <n v="780"/>
    <n v="4"/>
    <x v="6"/>
    <d v="1987-07-20T00:00:00"/>
    <n v="838547"/>
    <x v="0"/>
    <n v="1987"/>
    <n v="3"/>
    <n v="39"/>
    <x v="1"/>
    <x v="0"/>
  </r>
  <r>
    <x v="161"/>
    <n v="16104"/>
    <s v="Operation - Director"/>
    <x v="1"/>
    <s v="Director"/>
    <n v="771"/>
    <n v="2"/>
    <x v="9"/>
    <d v="1993-06-06T00:00:00"/>
    <n v="733075"/>
    <x v="0"/>
    <n v="1993"/>
    <n v="3"/>
    <n v="33"/>
    <x v="1"/>
    <x v="1"/>
  </r>
  <r>
    <x v="251"/>
    <n v="53546"/>
    <s v="Operation - Executive"/>
    <x v="1"/>
    <s v="Executive"/>
    <n v="766"/>
    <n v="1"/>
    <x v="4"/>
    <d v="1991-12-03T00:00:00"/>
    <n v="535279"/>
    <x v="0"/>
    <n v="1991"/>
    <n v="1"/>
    <n v="35"/>
    <x v="1"/>
    <x v="2"/>
  </r>
  <r>
    <x v="173"/>
    <n v="85809"/>
    <s v="Strategy - Executive"/>
    <x v="3"/>
    <s v="Executive"/>
    <n v="787"/>
    <n v="5"/>
    <x v="7"/>
    <d v="1986-08-10T00:00:00"/>
    <n v="762307"/>
    <x v="1"/>
    <n v="1986"/>
    <n v="1"/>
    <n v="40"/>
    <x v="1"/>
    <x v="1"/>
  </r>
  <r>
    <x v="51"/>
    <n v="46575"/>
    <s v="Sales - Manager"/>
    <x v="4"/>
    <s v="Manager"/>
    <n v="727"/>
    <n v="2"/>
    <x v="2"/>
    <d v="1981-05-04T00:00:00"/>
    <n v="962245"/>
    <x v="2"/>
    <n v="1981"/>
    <n v="2"/>
    <n v="45"/>
    <x v="0"/>
    <x v="1"/>
  </r>
  <r>
    <x v="119"/>
    <n v="33717"/>
    <s v="Marketing - Intern"/>
    <x v="0"/>
    <s v="Intern"/>
    <n v="745"/>
    <n v="2"/>
    <x v="5"/>
    <d v="1988-11-23T00:00:00"/>
    <n v="646858"/>
    <x v="2"/>
    <n v="1988"/>
    <n v="4"/>
    <n v="38"/>
    <x v="0"/>
    <x v="0"/>
  </r>
  <r>
    <x v="244"/>
    <n v="57492"/>
    <s v="Strategy - Intern"/>
    <x v="3"/>
    <s v="Intern"/>
    <n v="778"/>
    <n v="5"/>
    <x v="8"/>
    <d v="1992-05-30T00:00:00"/>
    <n v="732657"/>
    <x v="0"/>
    <n v="1992"/>
    <n v="3"/>
    <n v="34"/>
    <x v="1"/>
    <x v="1"/>
  </r>
  <r>
    <x v="194"/>
    <n v="36629"/>
    <s v="Finance - Intern"/>
    <x v="5"/>
    <s v="Intern"/>
    <n v="754"/>
    <n v="3"/>
    <x v="5"/>
    <d v="1987-10-18T00:00:00"/>
    <n v="768223"/>
    <x v="0"/>
    <n v="1987"/>
    <n v="11"/>
    <n v="39"/>
    <x v="1"/>
    <x v="2"/>
  </r>
  <r>
    <x v="3"/>
    <n v="73789"/>
    <s v="Strategy - Executive"/>
    <x v="3"/>
    <s v="Executive"/>
    <n v="799"/>
    <n v="2"/>
    <x v="4"/>
    <d v="1984-01-11T00:00:00"/>
    <n v="918795"/>
    <x v="2"/>
    <n v="1984"/>
    <n v="7"/>
    <n v="42"/>
    <x v="1"/>
    <x v="2"/>
  </r>
  <r>
    <x v="294"/>
    <n v="19295"/>
    <s v="Finance - Intern"/>
    <x v="5"/>
    <s v="Intern"/>
    <n v="740"/>
    <n v="5"/>
    <x v="0"/>
    <d v="1988-02-13T00:00:00"/>
    <n v="985779"/>
    <x v="1"/>
    <n v="1988"/>
    <n v="10"/>
    <n v="38"/>
    <x v="0"/>
    <x v="0"/>
  </r>
  <r>
    <x v="81"/>
    <n v="49386"/>
    <s v="Sales - Executive"/>
    <x v="4"/>
    <s v="Executive"/>
    <n v="757"/>
    <n v="1"/>
    <x v="5"/>
    <d v="1980-08-24T00:00:00"/>
    <n v="776038"/>
    <x v="2"/>
    <n v="1980"/>
    <n v="1"/>
    <n v="46"/>
    <x v="1"/>
    <x v="2"/>
  </r>
  <r>
    <x v="102"/>
    <n v="61144"/>
    <s v="Marketing - Intern"/>
    <x v="0"/>
    <s v="Intern"/>
    <n v="752"/>
    <n v="5"/>
    <x v="3"/>
    <d v="1984-03-15T00:00:00"/>
    <n v="940912"/>
    <x v="1"/>
    <n v="1984"/>
    <n v="1"/>
    <n v="42"/>
    <x v="1"/>
    <x v="0"/>
  </r>
  <r>
    <x v="40"/>
    <n v="19566"/>
    <s v="Strategy - Manager"/>
    <x v="3"/>
    <s v="Manager"/>
    <n v="766"/>
    <n v="3"/>
    <x v="2"/>
    <d v="1992-08-14T00:00:00"/>
    <n v="618476"/>
    <x v="0"/>
    <n v="1992"/>
    <n v="8"/>
    <n v="34"/>
    <x v="1"/>
    <x v="1"/>
  </r>
  <r>
    <x v="274"/>
    <n v="11445"/>
    <s v="Growth - Executive"/>
    <x v="2"/>
    <s v="Executive"/>
    <n v="712"/>
    <n v="2"/>
    <x v="5"/>
    <d v="1980-03-08T00:00:00"/>
    <n v="687683"/>
    <x v="2"/>
    <n v="1980"/>
    <n v="6"/>
    <n v="46"/>
    <x v="0"/>
    <x v="0"/>
  </r>
  <r>
    <x v="283"/>
    <n v="20026"/>
    <s v="Sales - Intern"/>
    <x v="4"/>
    <s v="Intern"/>
    <n v="755"/>
    <n v="2"/>
    <x v="5"/>
    <d v="1986-06-20T00:00:00"/>
    <n v="609843"/>
    <x v="2"/>
    <n v="1986"/>
    <n v="2"/>
    <n v="40"/>
    <x v="1"/>
    <x v="2"/>
  </r>
  <r>
    <x v="15"/>
    <n v="35201"/>
    <s v="Growth - Executive"/>
    <x v="2"/>
    <s v="Executive"/>
    <n v="799"/>
    <n v="5"/>
    <x v="6"/>
    <d v="1990-08-24T00:00:00"/>
    <n v="837532"/>
    <x v="0"/>
    <n v="1990"/>
    <n v="1"/>
    <n v="36"/>
    <x v="1"/>
    <x v="0"/>
  </r>
  <r>
    <x v="79"/>
    <n v="43002"/>
    <s v="Finance - Director"/>
    <x v="5"/>
    <s v="Director"/>
    <n v="733"/>
    <n v="2"/>
    <x v="9"/>
    <d v="1980-08-07T00:00:00"/>
    <n v="546755"/>
    <x v="2"/>
    <n v="1980"/>
    <n v="4"/>
    <n v="46"/>
    <x v="0"/>
    <x v="1"/>
  </r>
  <r>
    <x v="110"/>
    <n v="49971"/>
    <s v="Strategy - Manager"/>
    <x v="3"/>
    <s v="Manager"/>
    <n v="760"/>
    <n v="5"/>
    <x v="4"/>
    <d v="1983-07-23T00:00:00"/>
    <n v="899368"/>
    <x v="2"/>
    <n v="1983"/>
    <n v="6"/>
    <n v="43"/>
    <x v="1"/>
    <x v="2"/>
  </r>
  <r>
    <x v="166"/>
    <n v="36343"/>
    <s v="Strategy - Intern"/>
    <x v="3"/>
    <s v="Intern"/>
    <n v="730"/>
    <n v="3"/>
    <x v="1"/>
    <d v="1986-01-29T00:00:00"/>
    <n v="824547"/>
    <x v="0"/>
    <n v="1986"/>
    <n v="7"/>
    <n v="40"/>
    <x v="0"/>
    <x v="1"/>
  </r>
  <r>
    <x v="198"/>
    <n v="95876"/>
    <s v="Sales - Director"/>
    <x v="4"/>
    <s v="Director"/>
    <n v="731"/>
    <n v="4"/>
    <x v="1"/>
    <d v="1983-12-12T00:00:00"/>
    <n v="850116"/>
    <x v="2"/>
    <n v="1983"/>
    <n v="5"/>
    <n v="43"/>
    <x v="0"/>
    <x v="1"/>
  </r>
  <r>
    <x v="105"/>
    <n v="73856"/>
    <s v="Growth - Director"/>
    <x v="2"/>
    <s v="Director"/>
    <n v="745"/>
    <n v="3"/>
    <x v="5"/>
    <d v="1982-08-15T00:00:00"/>
    <n v="582643"/>
    <x v="1"/>
    <n v="1982"/>
    <n v="10"/>
    <n v="44"/>
    <x v="0"/>
    <x v="0"/>
  </r>
  <r>
    <x v="81"/>
    <n v="71244"/>
    <s v="Operation - Manager"/>
    <x v="1"/>
    <s v="Manager"/>
    <n v="700"/>
    <n v="3"/>
    <x v="4"/>
    <d v="1986-09-30T00:00:00"/>
    <n v="516827"/>
    <x v="1"/>
    <n v="1986"/>
    <n v="1"/>
    <n v="40"/>
    <x v="0"/>
    <x v="0"/>
  </r>
  <r>
    <x v="198"/>
    <n v="52836"/>
    <s v="Marketing - Manager"/>
    <x v="0"/>
    <s v="Manager"/>
    <n v="738"/>
    <n v="1"/>
    <x v="1"/>
    <d v="1986-08-24T00:00:00"/>
    <n v="957585"/>
    <x v="0"/>
    <n v="1986"/>
    <n v="5"/>
    <n v="40"/>
    <x v="0"/>
    <x v="1"/>
  </r>
  <r>
    <x v="319"/>
    <n v="59488"/>
    <s v="Growth - Director"/>
    <x v="2"/>
    <s v="Director"/>
    <n v="748"/>
    <n v="5"/>
    <x v="7"/>
    <d v="1982-03-25T00:00:00"/>
    <n v="611961"/>
    <x v="2"/>
    <n v="1982"/>
    <n v="4"/>
    <n v="44"/>
    <x v="0"/>
    <x v="1"/>
  </r>
  <r>
    <x v="100"/>
    <n v="45960"/>
    <s v="Growth - Manager"/>
    <x v="2"/>
    <s v="Manager"/>
    <n v="725"/>
    <n v="2"/>
    <x v="6"/>
    <d v="1983-02-01T00:00:00"/>
    <n v="793273"/>
    <x v="0"/>
    <n v="1983"/>
    <n v="10"/>
    <n v="43"/>
    <x v="0"/>
    <x v="0"/>
  </r>
  <r>
    <x v="30"/>
    <n v="33980"/>
    <s v="Finance - Executive"/>
    <x v="5"/>
    <s v="Executive"/>
    <n v="743"/>
    <n v="1"/>
    <x v="6"/>
    <d v="1988-10-10T00:00:00"/>
    <n v="631678"/>
    <x v="2"/>
    <n v="1988"/>
    <n v="3"/>
    <n v="38"/>
    <x v="0"/>
    <x v="0"/>
  </r>
  <r>
    <x v="107"/>
    <n v="75088"/>
    <s v="Marketing - Manager"/>
    <x v="0"/>
    <s v="Manager"/>
    <n v="730"/>
    <n v="3"/>
    <x v="6"/>
    <d v="1992-12-06T00:00:00"/>
    <n v="537568"/>
    <x v="1"/>
    <n v="1992"/>
    <n v="10"/>
    <n v="34"/>
    <x v="0"/>
    <x v="0"/>
  </r>
  <r>
    <x v="278"/>
    <n v="39103"/>
    <s v="Finance - Executive"/>
    <x v="5"/>
    <s v="Executive"/>
    <n v="711"/>
    <n v="5"/>
    <x v="3"/>
    <d v="1984-08-31T00:00:00"/>
    <n v="777747"/>
    <x v="2"/>
    <n v="1984"/>
    <n v="10"/>
    <n v="42"/>
    <x v="0"/>
    <x v="0"/>
  </r>
  <r>
    <x v="135"/>
    <n v="87455"/>
    <s v="Sales - Manager"/>
    <x v="4"/>
    <s v="Manager"/>
    <n v="703"/>
    <n v="2"/>
    <x v="1"/>
    <d v="1994-11-11T00:00:00"/>
    <n v="906813"/>
    <x v="0"/>
    <n v="1994"/>
    <n v="2"/>
    <n v="32"/>
    <x v="0"/>
    <x v="1"/>
  </r>
  <r>
    <x v="83"/>
    <n v="96599"/>
    <s v="Sales - Intern"/>
    <x v="4"/>
    <s v="Intern"/>
    <n v="702"/>
    <n v="5"/>
    <x v="0"/>
    <d v="1990-09-03T00:00:00"/>
    <n v="983428"/>
    <x v="2"/>
    <n v="1990"/>
    <n v="1"/>
    <n v="36"/>
    <x v="0"/>
    <x v="0"/>
  </r>
  <r>
    <x v="328"/>
    <n v="44345"/>
    <s v="Operation - Manager"/>
    <x v="1"/>
    <s v="Manager"/>
    <n v="797"/>
    <n v="3"/>
    <x v="4"/>
    <d v="1982-04-09T00:00:00"/>
    <n v="575822"/>
    <x v="2"/>
    <n v="1982"/>
    <n v="3"/>
    <n v="44"/>
    <x v="1"/>
    <x v="2"/>
  </r>
  <r>
    <x v="164"/>
    <n v="78197"/>
    <s v="Sales - Executive"/>
    <x v="4"/>
    <s v="Executive"/>
    <n v="713"/>
    <n v="2"/>
    <x v="4"/>
    <d v="1988-12-27T00:00:00"/>
    <n v="662184"/>
    <x v="2"/>
    <n v="1988"/>
    <n v="11"/>
    <n v="38"/>
    <x v="0"/>
    <x v="0"/>
  </r>
  <r>
    <x v="202"/>
    <n v="29117"/>
    <s v="Operation - Executive"/>
    <x v="1"/>
    <s v="Executive"/>
    <n v="727"/>
    <n v="5"/>
    <x v="3"/>
    <d v="1992-05-16T00:00:00"/>
    <n v="540688"/>
    <x v="1"/>
    <n v="1992"/>
    <n v="3"/>
    <n v="34"/>
    <x v="0"/>
    <x v="0"/>
  </r>
  <r>
    <x v="54"/>
    <n v="91489"/>
    <s v="Finance - Executive"/>
    <x v="5"/>
    <s v="Executive"/>
    <n v="790"/>
    <n v="3"/>
    <x v="3"/>
    <d v="1989-04-06T00:00:00"/>
    <n v="676377"/>
    <x v="0"/>
    <n v="1989"/>
    <n v="3"/>
    <n v="37"/>
    <x v="1"/>
    <x v="0"/>
  </r>
  <r>
    <x v="25"/>
    <n v="25479"/>
    <s v="Finance - Manager"/>
    <x v="5"/>
    <s v="Manager"/>
    <n v="750"/>
    <n v="5"/>
    <x v="4"/>
    <d v="1994-09-01T00:00:00"/>
    <n v="682869"/>
    <x v="0"/>
    <n v="1994"/>
    <n v="10"/>
    <n v="32"/>
    <x v="1"/>
    <x v="2"/>
  </r>
  <r>
    <x v="288"/>
    <n v="98022"/>
    <s v="Strategy - Intern"/>
    <x v="3"/>
    <s v="Intern"/>
    <n v="794"/>
    <n v="3"/>
    <x v="3"/>
    <d v="1991-04-27T00:00:00"/>
    <n v="989564"/>
    <x v="1"/>
    <n v="1991"/>
    <n v="5"/>
    <n v="35"/>
    <x v="1"/>
    <x v="0"/>
  </r>
  <r>
    <x v="109"/>
    <n v="43666"/>
    <s v="Marketing - Executive"/>
    <x v="0"/>
    <s v="Executive"/>
    <n v="798"/>
    <n v="5"/>
    <x v="3"/>
    <d v="1981-02-07T00:00:00"/>
    <n v="539585"/>
    <x v="1"/>
    <n v="1981"/>
    <n v="11"/>
    <n v="45"/>
    <x v="1"/>
    <x v="0"/>
  </r>
  <r>
    <x v="124"/>
    <n v="89531"/>
    <s v="Sales - Director"/>
    <x v="4"/>
    <s v="Director"/>
    <n v="736"/>
    <n v="3"/>
    <x v="2"/>
    <d v="1992-08-16T00:00:00"/>
    <n v="745259"/>
    <x v="0"/>
    <n v="1992"/>
    <n v="10"/>
    <n v="34"/>
    <x v="0"/>
    <x v="1"/>
  </r>
  <r>
    <x v="4"/>
    <n v="73361"/>
    <s v="Marketing - Executive"/>
    <x v="0"/>
    <s v="Executive"/>
    <n v="750"/>
    <n v="1"/>
    <x v="4"/>
    <d v="1994-08-13T00:00:00"/>
    <n v="546600"/>
    <x v="2"/>
    <n v="1994"/>
    <n v="1"/>
    <n v="32"/>
    <x v="1"/>
    <x v="2"/>
  </r>
  <r>
    <x v="63"/>
    <n v="83936"/>
    <s v="Growth - Manager"/>
    <x v="2"/>
    <s v="Manager"/>
    <n v="789"/>
    <n v="4"/>
    <x v="8"/>
    <d v="1983-02-26T00:00:00"/>
    <n v="877440"/>
    <x v="1"/>
    <n v="1983"/>
    <n v="11"/>
    <n v="43"/>
    <x v="1"/>
    <x v="1"/>
  </r>
  <r>
    <x v="280"/>
    <n v="87663"/>
    <s v="Sales - Executive"/>
    <x v="4"/>
    <s v="Executive"/>
    <n v="784"/>
    <n v="4"/>
    <x v="9"/>
    <d v="1988-04-13T00:00:00"/>
    <n v="784708"/>
    <x v="1"/>
    <n v="1988"/>
    <n v="2"/>
    <n v="38"/>
    <x v="1"/>
    <x v="1"/>
  </r>
  <r>
    <x v="189"/>
    <n v="21478"/>
    <s v="Finance - Intern"/>
    <x v="5"/>
    <s v="Intern"/>
    <n v="744"/>
    <n v="2"/>
    <x v="7"/>
    <d v="1980-01-25T00:00:00"/>
    <n v="668408"/>
    <x v="0"/>
    <n v="1980"/>
    <n v="12"/>
    <n v="46"/>
    <x v="0"/>
    <x v="1"/>
  </r>
  <r>
    <x v="110"/>
    <n v="32550"/>
    <s v="Operation - Intern"/>
    <x v="1"/>
    <s v="Intern"/>
    <n v="789"/>
    <n v="3"/>
    <x v="3"/>
    <d v="1989-07-19T00:00:00"/>
    <n v="532370"/>
    <x v="1"/>
    <n v="1989"/>
    <n v="6"/>
    <n v="37"/>
    <x v="1"/>
    <x v="0"/>
  </r>
  <r>
    <x v="105"/>
    <n v="62304"/>
    <s v="Strategy - Director"/>
    <x v="3"/>
    <s v="Director"/>
    <n v="709"/>
    <n v="4"/>
    <x v="2"/>
    <d v="1994-08-21T00:00:00"/>
    <n v="982857"/>
    <x v="2"/>
    <n v="1994"/>
    <n v="10"/>
    <n v="32"/>
    <x v="0"/>
    <x v="1"/>
  </r>
  <r>
    <x v="229"/>
    <n v="51482"/>
    <s v="Finance - Manager"/>
    <x v="5"/>
    <s v="Manager"/>
    <n v="737"/>
    <n v="2"/>
    <x v="0"/>
    <d v="1987-08-12T00:00:00"/>
    <n v="850423"/>
    <x v="1"/>
    <n v="1987"/>
    <n v="9"/>
    <n v="39"/>
    <x v="0"/>
    <x v="0"/>
  </r>
  <r>
    <x v="151"/>
    <n v="10264"/>
    <s v="Operation - Manager"/>
    <x v="1"/>
    <s v="Manager"/>
    <n v="739"/>
    <n v="5"/>
    <x v="1"/>
    <d v="1992-09-19T00:00:00"/>
    <n v="993245"/>
    <x v="1"/>
    <n v="1992"/>
    <n v="11"/>
    <n v="34"/>
    <x v="0"/>
    <x v="1"/>
  </r>
  <r>
    <x v="6"/>
    <n v="89174"/>
    <s v="Strategy - Director"/>
    <x v="3"/>
    <s v="Director"/>
    <n v="730"/>
    <n v="5"/>
    <x v="5"/>
    <d v="1980-11-11T00:00:00"/>
    <n v="502469"/>
    <x v="1"/>
    <n v="1980"/>
    <n v="3"/>
    <n v="46"/>
    <x v="0"/>
    <x v="0"/>
  </r>
  <r>
    <x v="276"/>
    <n v="43193"/>
    <s v="Marketing - Intern"/>
    <x v="0"/>
    <s v="Intern"/>
    <n v="748"/>
    <n v="3"/>
    <x v="7"/>
    <d v="1984-01-10T00:00:00"/>
    <n v="953477"/>
    <x v="2"/>
    <n v="1984"/>
    <n v="2"/>
    <n v="42"/>
    <x v="0"/>
    <x v="1"/>
  </r>
  <r>
    <x v="240"/>
    <n v="89946"/>
    <s v="Sales - Director"/>
    <x v="4"/>
    <s v="Director"/>
    <n v="799"/>
    <n v="5"/>
    <x v="7"/>
    <d v="1994-03-13T00:00:00"/>
    <n v="957311"/>
    <x v="2"/>
    <n v="1994"/>
    <n v="5"/>
    <n v="32"/>
    <x v="1"/>
    <x v="1"/>
  </r>
  <r>
    <x v="308"/>
    <n v="74711"/>
    <s v="Finance - Director"/>
    <x v="5"/>
    <s v="Director"/>
    <n v="707"/>
    <n v="5"/>
    <x v="7"/>
    <d v="1985-12-06T00:00:00"/>
    <n v="896044"/>
    <x v="0"/>
    <n v="1985"/>
    <n v="1"/>
    <n v="41"/>
    <x v="0"/>
    <x v="1"/>
  </r>
  <r>
    <x v="191"/>
    <n v="77498"/>
    <s v="Marketing - Manager"/>
    <x v="0"/>
    <s v="Manager"/>
    <n v="767"/>
    <n v="1"/>
    <x v="6"/>
    <d v="1983-02-24T00:00:00"/>
    <n v="551373"/>
    <x v="2"/>
    <n v="1983"/>
    <n v="5"/>
    <n v="43"/>
    <x v="1"/>
    <x v="0"/>
  </r>
  <r>
    <x v="14"/>
    <n v="50068"/>
    <s v="Finance - Director"/>
    <x v="5"/>
    <s v="Director"/>
    <n v="710"/>
    <n v="1"/>
    <x v="4"/>
    <d v="1984-09-22T00:00:00"/>
    <n v="678013"/>
    <x v="0"/>
    <n v="1984"/>
    <n v="3"/>
    <n v="42"/>
    <x v="0"/>
    <x v="0"/>
  </r>
  <r>
    <x v="54"/>
    <n v="25864"/>
    <s v="Finance - Director"/>
    <x v="5"/>
    <s v="Director"/>
    <n v="748"/>
    <n v="1"/>
    <x v="2"/>
    <d v="1984-08-19T00:00:00"/>
    <n v="576506"/>
    <x v="2"/>
    <n v="1984"/>
    <n v="3"/>
    <n v="42"/>
    <x v="0"/>
    <x v="1"/>
  </r>
  <r>
    <x v="74"/>
    <n v="15523"/>
    <s v="Strategy - Director"/>
    <x v="3"/>
    <s v="Director"/>
    <n v="703"/>
    <n v="5"/>
    <x v="0"/>
    <d v="1989-05-21T00:00:00"/>
    <n v="578683"/>
    <x v="2"/>
    <n v="1989"/>
    <n v="8"/>
    <n v="37"/>
    <x v="0"/>
    <x v="0"/>
  </r>
  <r>
    <x v="22"/>
    <n v="12810"/>
    <s v="Marketing - Executive"/>
    <x v="0"/>
    <s v="Executive"/>
    <n v="783"/>
    <n v="2"/>
    <x v="9"/>
    <d v="1991-03-25T00:00:00"/>
    <n v="773923"/>
    <x v="1"/>
    <n v="1991"/>
    <n v="7"/>
    <n v="35"/>
    <x v="1"/>
    <x v="1"/>
  </r>
  <r>
    <x v="47"/>
    <n v="28938"/>
    <s v="Finance - Executive"/>
    <x v="5"/>
    <s v="Executive"/>
    <n v="714"/>
    <n v="3"/>
    <x v="7"/>
    <d v="1992-06-11T00:00:00"/>
    <n v="567036"/>
    <x v="2"/>
    <n v="1992"/>
    <n v="2"/>
    <n v="34"/>
    <x v="0"/>
    <x v="1"/>
  </r>
  <r>
    <x v="323"/>
    <n v="38868"/>
    <s v="Finance - Manager"/>
    <x v="5"/>
    <s v="Manager"/>
    <n v="786"/>
    <n v="5"/>
    <x v="2"/>
    <d v="1991-10-21T00:00:00"/>
    <n v="774453"/>
    <x v="0"/>
    <n v="1991"/>
    <n v="3"/>
    <n v="35"/>
    <x v="1"/>
    <x v="1"/>
  </r>
  <r>
    <x v="284"/>
    <n v="98711"/>
    <s v="Finance - Director"/>
    <x v="5"/>
    <s v="Director"/>
    <n v="744"/>
    <n v="2"/>
    <x v="2"/>
    <d v="1992-09-19T00:00:00"/>
    <n v="622283"/>
    <x v="0"/>
    <n v="1992"/>
    <n v="5"/>
    <n v="34"/>
    <x v="0"/>
    <x v="1"/>
  </r>
  <r>
    <x v="226"/>
    <n v="79287"/>
    <s v="Marketing - Executive"/>
    <x v="0"/>
    <s v="Executive"/>
    <n v="760"/>
    <n v="1"/>
    <x v="3"/>
    <d v="1981-03-14T00:00:00"/>
    <n v="611744"/>
    <x v="0"/>
    <n v="1981"/>
    <n v="6"/>
    <n v="45"/>
    <x v="1"/>
    <x v="0"/>
  </r>
  <r>
    <x v="125"/>
    <n v="19045"/>
    <s v="Operation - Executive"/>
    <x v="1"/>
    <s v="Executive"/>
    <n v="796"/>
    <n v="2"/>
    <x v="1"/>
    <d v="1984-04-11T00:00:00"/>
    <n v="628943"/>
    <x v="1"/>
    <n v="1984"/>
    <n v="7"/>
    <n v="42"/>
    <x v="1"/>
    <x v="1"/>
  </r>
  <r>
    <x v="92"/>
    <n v="85012"/>
    <s v="Sales - Director"/>
    <x v="4"/>
    <s v="Director"/>
    <n v="732"/>
    <n v="4"/>
    <x v="7"/>
    <d v="1990-03-05T00:00:00"/>
    <n v="708934"/>
    <x v="2"/>
    <n v="1990"/>
    <n v="5"/>
    <n v="36"/>
    <x v="0"/>
    <x v="1"/>
  </r>
  <r>
    <x v="329"/>
    <n v="26130"/>
    <s v="Marketing - Executive"/>
    <x v="0"/>
    <s v="Executive"/>
    <n v="750"/>
    <n v="3"/>
    <x v="3"/>
    <d v="1986-07-31T00:00:00"/>
    <n v="702540"/>
    <x v="2"/>
    <n v="1986"/>
    <n v="5"/>
    <n v="40"/>
    <x v="1"/>
    <x v="0"/>
  </r>
  <r>
    <x v="136"/>
    <n v="75676"/>
    <s v="Finance - Director"/>
    <x v="5"/>
    <s v="Director"/>
    <n v="782"/>
    <n v="5"/>
    <x v="2"/>
    <d v="1992-07-12T00:00:00"/>
    <n v="972215"/>
    <x v="1"/>
    <n v="1992"/>
    <n v="2"/>
    <n v="34"/>
    <x v="1"/>
    <x v="1"/>
  </r>
  <r>
    <x v="80"/>
    <n v="33039"/>
    <s v="Growth - Manager"/>
    <x v="2"/>
    <s v="Manager"/>
    <n v="727"/>
    <n v="3"/>
    <x v="5"/>
    <d v="1991-11-18T00:00:00"/>
    <n v="768217"/>
    <x v="2"/>
    <n v="1991"/>
    <n v="4"/>
    <n v="35"/>
    <x v="0"/>
    <x v="0"/>
  </r>
  <r>
    <x v="226"/>
    <n v="25933"/>
    <s v="Marketing - Intern"/>
    <x v="0"/>
    <s v="Intern"/>
    <n v="795"/>
    <n v="1"/>
    <x v="8"/>
    <d v="1989-03-25T00:00:00"/>
    <n v="551272"/>
    <x v="2"/>
    <n v="1989"/>
    <n v="6"/>
    <n v="37"/>
    <x v="1"/>
    <x v="1"/>
  </r>
  <r>
    <x v="277"/>
    <n v="87206"/>
    <s v="Marketing - Executive"/>
    <x v="0"/>
    <s v="Executive"/>
    <n v="797"/>
    <n v="2"/>
    <x v="6"/>
    <d v="1989-07-10T00:00:00"/>
    <n v="778299"/>
    <x v="1"/>
    <n v="1989"/>
    <n v="5"/>
    <n v="37"/>
    <x v="1"/>
    <x v="0"/>
  </r>
  <r>
    <x v="252"/>
    <n v="90629"/>
    <s v="Operation - Executive"/>
    <x v="1"/>
    <s v="Executive"/>
    <n v="762"/>
    <n v="4"/>
    <x v="9"/>
    <d v="1993-04-18T00:00:00"/>
    <n v="885277"/>
    <x v="0"/>
    <n v="1993"/>
    <n v="6"/>
    <n v="33"/>
    <x v="1"/>
    <x v="1"/>
  </r>
  <r>
    <x v="47"/>
    <n v="21163"/>
    <s v="Operation - Director"/>
    <x v="1"/>
    <s v="Director"/>
    <n v="731"/>
    <n v="5"/>
    <x v="1"/>
    <d v="1984-04-24T00:00:00"/>
    <n v="678764"/>
    <x v="2"/>
    <n v="1984"/>
    <n v="2"/>
    <n v="42"/>
    <x v="0"/>
    <x v="1"/>
  </r>
  <r>
    <x v="95"/>
    <n v="66933"/>
    <s v="Finance - Manager"/>
    <x v="5"/>
    <s v="Manager"/>
    <n v="721"/>
    <n v="4"/>
    <x v="5"/>
    <d v="1987-07-17T00:00:00"/>
    <n v="554995"/>
    <x v="1"/>
    <n v="1987"/>
    <n v="2"/>
    <n v="39"/>
    <x v="0"/>
    <x v="0"/>
  </r>
  <r>
    <x v="154"/>
    <n v="52669"/>
    <s v="Growth - Director"/>
    <x v="2"/>
    <s v="Director"/>
    <n v="777"/>
    <n v="3"/>
    <x v="5"/>
    <d v="1989-04-14T00:00:00"/>
    <n v="878597"/>
    <x v="1"/>
    <n v="1989"/>
    <n v="9"/>
    <n v="37"/>
    <x v="1"/>
    <x v="2"/>
  </r>
  <r>
    <x v="256"/>
    <n v="34096"/>
    <s v="Sales - Director"/>
    <x v="4"/>
    <s v="Director"/>
    <n v="762"/>
    <n v="1"/>
    <x v="7"/>
    <d v="1985-10-10T00:00:00"/>
    <n v="787237"/>
    <x v="0"/>
    <n v="1985"/>
    <n v="6"/>
    <n v="41"/>
    <x v="1"/>
    <x v="1"/>
  </r>
  <r>
    <x v="29"/>
    <n v="52047"/>
    <s v="Operation - Director"/>
    <x v="1"/>
    <s v="Director"/>
    <n v="717"/>
    <n v="2"/>
    <x v="0"/>
    <d v="1990-07-03T00:00:00"/>
    <n v="731639"/>
    <x v="2"/>
    <n v="1990"/>
    <n v="5"/>
    <n v="36"/>
    <x v="0"/>
    <x v="0"/>
  </r>
  <r>
    <x v="330"/>
    <n v="84754"/>
    <s v="Finance - Intern"/>
    <x v="5"/>
    <s v="Intern"/>
    <n v="737"/>
    <n v="1"/>
    <x v="3"/>
    <d v="1993-01-17T00:00:00"/>
    <n v="915415"/>
    <x v="1"/>
    <n v="1993"/>
    <n v="9"/>
    <n v="33"/>
    <x v="0"/>
    <x v="0"/>
  </r>
  <r>
    <x v="23"/>
    <n v="18361"/>
    <s v="Operation - Intern"/>
    <x v="1"/>
    <s v="Intern"/>
    <n v="769"/>
    <n v="2"/>
    <x v="0"/>
    <d v="1983-09-29T00:00:00"/>
    <n v="786099"/>
    <x v="2"/>
    <n v="1983"/>
    <n v="4"/>
    <n v="43"/>
    <x v="1"/>
    <x v="0"/>
  </r>
  <r>
    <x v="122"/>
    <n v="30488"/>
    <s v="Operation - Manager"/>
    <x v="1"/>
    <s v="Manager"/>
    <n v="752"/>
    <n v="2"/>
    <x v="6"/>
    <d v="1993-07-28T00:00:00"/>
    <n v="839620"/>
    <x v="0"/>
    <n v="1993"/>
    <n v="5"/>
    <n v="33"/>
    <x v="1"/>
    <x v="0"/>
  </r>
  <r>
    <x v="254"/>
    <n v="77076"/>
    <s v="Growth - Executive"/>
    <x v="2"/>
    <s v="Executive"/>
    <n v="727"/>
    <n v="4"/>
    <x v="4"/>
    <d v="1982-03-15T00:00:00"/>
    <n v="842570"/>
    <x v="0"/>
    <n v="1982"/>
    <n v="2"/>
    <n v="44"/>
    <x v="0"/>
    <x v="0"/>
  </r>
  <r>
    <x v="196"/>
    <n v="51851"/>
    <s v="Strategy - Manager"/>
    <x v="3"/>
    <s v="Manager"/>
    <n v="765"/>
    <n v="4"/>
    <x v="5"/>
    <d v="1987-04-01T00:00:00"/>
    <n v="528387"/>
    <x v="0"/>
    <n v="1987"/>
    <n v="7"/>
    <n v="39"/>
    <x v="1"/>
    <x v="2"/>
  </r>
  <r>
    <x v="233"/>
    <n v="78225"/>
    <s v="Marketing - Director"/>
    <x v="0"/>
    <s v="Director"/>
    <n v="701"/>
    <n v="2"/>
    <x v="3"/>
    <d v="1991-08-12T00:00:00"/>
    <n v="932665"/>
    <x v="2"/>
    <n v="1991"/>
    <n v="6"/>
    <n v="35"/>
    <x v="0"/>
    <x v="0"/>
  </r>
  <r>
    <x v="28"/>
    <n v="19307"/>
    <s v="Marketing - Manager"/>
    <x v="0"/>
    <s v="Manager"/>
    <n v="765"/>
    <n v="5"/>
    <x v="7"/>
    <d v="1983-05-03T00:00:00"/>
    <n v="791645"/>
    <x v="0"/>
    <n v="1983"/>
    <n v="10"/>
    <n v="43"/>
    <x v="1"/>
    <x v="1"/>
  </r>
  <r>
    <x v="212"/>
    <n v="42060"/>
    <s v="Strategy - Manager"/>
    <x v="3"/>
    <s v="Manager"/>
    <n v="731"/>
    <n v="4"/>
    <x v="6"/>
    <d v="1990-12-31T00:00:00"/>
    <n v="973062"/>
    <x v="2"/>
    <n v="1990"/>
    <n v="2"/>
    <n v="36"/>
    <x v="0"/>
    <x v="0"/>
  </r>
  <r>
    <x v="237"/>
    <n v="85001"/>
    <s v="Marketing - Manager"/>
    <x v="0"/>
    <s v="Manager"/>
    <n v="787"/>
    <n v="3"/>
    <x v="4"/>
    <d v="1982-12-01T00:00:00"/>
    <n v="931330"/>
    <x v="0"/>
    <n v="1982"/>
    <n v="9"/>
    <n v="44"/>
    <x v="1"/>
    <x v="2"/>
  </r>
  <r>
    <x v="102"/>
    <n v="13133"/>
    <s v="Growth - Intern"/>
    <x v="2"/>
    <s v="Intern"/>
    <n v="795"/>
    <n v="5"/>
    <x v="8"/>
    <d v="1986-08-09T00:00:00"/>
    <n v="873159"/>
    <x v="0"/>
    <n v="1986"/>
    <n v="1"/>
    <n v="40"/>
    <x v="1"/>
    <x v="1"/>
  </r>
  <r>
    <x v="187"/>
    <n v="47674"/>
    <s v="Operation - Manager"/>
    <x v="1"/>
    <s v="Manager"/>
    <n v="789"/>
    <n v="3"/>
    <x v="3"/>
    <d v="1986-10-12T00:00:00"/>
    <n v="541750"/>
    <x v="1"/>
    <n v="1986"/>
    <n v="12"/>
    <n v="40"/>
    <x v="1"/>
    <x v="0"/>
  </r>
  <r>
    <x v="16"/>
    <n v="90047"/>
    <s v="Growth - Director"/>
    <x v="2"/>
    <s v="Director"/>
    <n v="723"/>
    <n v="1"/>
    <x v="8"/>
    <d v="1987-11-05T00:00:00"/>
    <n v="720035"/>
    <x v="0"/>
    <n v="1987"/>
    <n v="6"/>
    <n v="39"/>
    <x v="0"/>
    <x v="1"/>
  </r>
  <r>
    <x v="21"/>
    <n v="78042"/>
    <s v="Growth - Intern"/>
    <x v="2"/>
    <s v="Intern"/>
    <n v="766"/>
    <n v="5"/>
    <x v="2"/>
    <d v="1981-12-08T00:00:00"/>
    <n v="816203"/>
    <x v="1"/>
    <n v="1981"/>
    <n v="3"/>
    <n v="45"/>
    <x v="1"/>
    <x v="1"/>
  </r>
  <r>
    <x v="213"/>
    <n v="61426"/>
    <s v="Marketing - Manager"/>
    <x v="0"/>
    <s v="Manager"/>
    <n v="718"/>
    <n v="2"/>
    <x v="6"/>
    <d v="1984-10-02T00:00:00"/>
    <n v="863899"/>
    <x v="1"/>
    <n v="1984"/>
    <n v="12"/>
    <n v="42"/>
    <x v="0"/>
    <x v="0"/>
  </r>
  <r>
    <x v="330"/>
    <n v="12276"/>
    <s v="Finance - Manager"/>
    <x v="5"/>
    <s v="Manager"/>
    <n v="745"/>
    <n v="3"/>
    <x v="3"/>
    <d v="1980-10-11T00:00:00"/>
    <n v="952092"/>
    <x v="0"/>
    <n v="1980"/>
    <n v="9"/>
    <n v="46"/>
    <x v="0"/>
    <x v="0"/>
  </r>
  <r>
    <x v="331"/>
    <n v="57318"/>
    <s v="Strategy - Executive"/>
    <x v="3"/>
    <s v="Executive"/>
    <n v="739"/>
    <n v="4"/>
    <x v="6"/>
    <d v="1986-09-07T00:00:00"/>
    <n v="844742"/>
    <x v="0"/>
    <n v="1986"/>
    <n v="8"/>
    <n v="40"/>
    <x v="0"/>
    <x v="0"/>
  </r>
  <r>
    <x v="15"/>
    <n v="50692"/>
    <s v="Operation - Manager"/>
    <x v="1"/>
    <s v="Manager"/>
    <n v="766"/>
    <n v="3"/>
    <x v="7"/>
    <d v="1990-09-03T00:00:00"/>
    <n v="673770"/>
    <x v="1"/>
    <n v="1990"/>
    <n v="1"/>
    <n v="36"/>
    <x v="1"/>
    <x v="1"/>
  </r>
  <r>
    <x v="61"/>
    <n v="87524"/>
    <s v="Finance - Intern"/>
    <x v="5"/>
    <s v="Intern"/>
    <n v="729"/>
    <n v="1"/>
    <x v="9"/>
    <d v="1981-06-02T00:00:00"/>
    <n v="956323"/>
    <x v="1"/>
    <n v="1981"/>
    <n v="4"/>
    <n v="45"/>
    <x v="0"/>
    <x v="1"/>
  </r>
  <r>
    <x v="216"/>
    <n v="54876"/>
    <s v="Finance - Manager"/>
    <x v="5"/>
    <s v="Manager"/>
    <n v="798"/>
    <n v="1"/>
    <x v="4"/>
    <d v="1980-03-13T00:00:00"/>
    <n v="912727"/>
    <x v="2"/>
    <n v="1980"/>
    <n v="3"/>
    <n v="46"/>
    <x v="1"/>
    <x v="2"/>
  </r>
  <r>
    <x v="97"/>
    <n v="95528"/>
    <s v="Marketing - Executive"/>
    <x v="0"/>
    <s v="Executive"/>
    <n v="767"/>
    <n v="2"/>
    <x v="1"/>
    <d v="1994-06-01T00:00:00"/>
    <n v="915427"/>
    <x v="1"/>
    <n v="1994"/>
    <n v="4"/>
    <n v="32"/>
    <x v="1"/>
    <x v="1"/>
  </r>
  <r>
    <x v="22"/>
    <n v="81067"/>
    <s v="Operation - Director"/>
    <x v="1"/>
    <s v="Director"/>
    <n v="731"/>
    <n v="5"/>
    <x v="9"/>
    <d v="1985-10-23T00:00:00"/>
    <n v="806031"/>
    <x v="2"/>
    <n v="1985"/>
    <n v="7"/>
    <n v="41"/>
    <x v="0"/>
    <x v="1"/>
  </r>
  <r>
    <x v="139"/>
    <n v="51072"/>
    <s v="Strategy - Intern"/>
    <x v="3"/>
    <s v="Intern"/>
    <n v="703"/>
    <n v="4"/>
    <x v="8"/>
    <d v="1993-05-12T00:00:00"/>
    <n v="792854"/>
    <x v="0"/>
    <n v="1993"/>
    <n v="7"/>
    <n v="33"/>
    <x v="0"/>
    <x v="1"/>
  </r>
  <r>
    <x v="50"/>
    <n v="95387"/>
    <s v="Sales - Executive"/>
    <x v="4"/>
    <s v="Executive"/>
    <n v="767"/>
    <n v="5"/>
    <x v="1"/>
    <d v="1991-09-04T00:00:00"/>
    <n v="556417"/>
    <x v="0"/>
    <n v="1991"/>
    <n v="10"/>
    <n v="35"/>
    <x v="1"/>
    <x v="1"/>
  </r>
  <r>
    <x v="90"/>
    <n v="94660"/>
    <s v="Sales - Director"/>
    <x v="4"/>
    <s v="Director"/>
    <n v="788"/>
    <n v="1"/>
    <x v="4"/>
    <d v="1990-01-23T00:00:00"/>
    <n v="722600"/>
    <x v="2"/>
    <n v="1990"/>
    <n v="7"/>
    <n v="36"/>
    <x v="1"/>
    <x v="2"/>
  </r>
  <r>
    <x v="48"/>
    <n v="48357"/>
    <s v="Growth - Executive"/>
    <x v="2"/>
    <s v="Executive"/>
    <n v="710"/>
    <n v="3"/>
    <x v="4"/>
    <d v="1990-11-28T00:00:00"/>
    <n v="536867"/>
    <x v="0"/>
    <n v="1990"/>
    <n v="7"/>
    <n v="36"/>
    <x v="0"/>
    <x v="0"/>
  </r>
  <r>
    <x v="291"/>
    <n v="82429"/>
    <s v="Growth - Director"/>
    <x v="2"/>
    <s v="Director"/>
    <n v="751"/>
    <n v="2"/>
    <x v="4"/>
    <d v="1994-10-13T00:00:00"/>
    <n v="797411"/>
    <x v="0"/>
    <n v="1994"/>
    <n v="11"/>
    <n v="32"/>
    <x v="1"/>
    <x v="2"/>
  </r>
  <r>
    <x v="167"/>
    <n v="42072"/>
    <s v="Marketing - Executive"/>
    <x v="0"/>
    <s v="Executive"/>
    <n v="769"/>
    <n v="2"/>
    <x v="2"/>
    <d v="1994-09-24T00:00:00"/>
    <n v="776408"/>
    <x v="0"/>
    <n v="1994"/>
    <n v="1"/>
    <n v="32"/>
    <x v="1"/>
    <x v="1"/>
  </r>
  <r>
    <x v="38"/>
    <n v="96186"/>
    <s v="Strategy - Executive"/>
    <x v="3"/>
    <s v="Executive"/>
    <n v="798"/>
    <n v="3"/>
    <x v="2"/>
    <d v="1993-12-07T00:00:00"/>
    <n v="949902"/>
    <x v="1"/>
    <n v="1993"/>
    <n v="1"/>
    <n v="3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0513C0-E57A-48C1-BCCF-620F62101AAD}" name="PivotChartTable6" cacheId="3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B12"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New Loan Application 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524255034">
        <x15:pivotRow count="1">
          <x15:c>
            <x15:v>92223497</x15:v>
          </x15:c>
        </x15:pivotRow>
        <x15:pivotRow count="1">
          <x15:c>
            <x15:v>85150270</x15:v>
          </x15:c>
        </x15:pivotRow>
        <x15:pivotRow count="1">
          <x15:c>
            <x15:v>98804121</x15:v>
          </x15:c>
        </x15:pivotRow>
        <x15:pivotRow count="1">
          <x15:c>
            <x15:v>81847024</x15:v>
          </x15:c>
        </x15:pivotRow>
        <x15:pivotRow count="1">
          <x15:c>
            <x15:v>77135995</x15:v>
          </x15:c>
        </x15:pivotRow>
        <x15:pivotRow count="1">
          <x15:c>
            <x15:v>77508135</x15:v>
          </x15:c>
        </x15:pivotRow>
        <x15:pivotRow count="1">
          <x15:c>
            <x15:v>72765634</x15:v>
          </x15:c>
        </x15:pivotRow>
        <x15:pivotRow count="1">
          <x15:c>
            <x15:v>79760921</x15:v>
          </x15:c>
        </x15:pivotRow>
        <x15:pivotRow count="1">
          <x15:c>
            <x15:v>78052951</x15:v>
          </x15:c>
        </x15:pivotRow>
        <x15:pivotRow count="1">
          <x15:c>
            <x15:v>79258997</x15:v>
          </x15:c>
        </x15:pivotRow>
        <x15:pivotRow count="1">
          <x15:c>
            <x15:v>822507545</x15:v>
          </x15:c>
        </x15:pivotRow>
      </x15:pivotTableData>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5395B0-DB16-460A-BF60-9D923CA27454}" name="PivotChartTable5" cacheId="3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E6"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Fields count="1">
    <field x="1"/>
  </colFields>
  <colItems count="4">
    <i>
      <x/>
    </i>
    <i>
      <x v="1"/>
    </i>
    <i>
      <x v="2"/>
    </i>
    <i t="grand">
      <x/>
    </i>
  </colItems>
  <dataFields count="1">
    <dataField name="Sum of New Loan Application amount" fld="2" baseField="0" baseItem="0"/>
  </dataFields>
  <chartFormats count="14">
    <chartFormat chart="0" format="0" series="1">
      <pivotArea type="data" outline="0" fieldPosition="0">
        <references count="1">
          <reference field="0" count="1" selected="0">
            <x v="3"/>
          </reference>
        </references>
      </pivotArea>
    </chartFormat>
    <chartFormat chart="0" format="1" series="1">
      <pivotArea type="data" outline="0" fieldPosition="0">
        <references count="1">
          <reference field="0" count="1" selected="0">
            <x v="0"/>
          </reference>
        </references>
      </pivotArea>
    </chartFormat>
    <chartFormat chart="0" format="2" series="1">
      <pivotArea type="data" outline="0" fieldPosition="0">
        <references count="1">
          <reference field="0" count="1" selected="0">
            <x v="1"/>
          </reference>
        </references>
      </pivotArea>
    </chartFormat>
    <chartFormat chart="0" format="3" series="1">
      <pivotArea type="data" outline="0" fieldPosition="0">
        <references count="1">
          <reference field="0" count="1" selected="0">
            <x v="2"/>
          </reference>
        </references>
      </pivotArea>
    </chartFormat>
    <chartFormat chart="0" format="4" series="1">
      <pivotArea type="data" outline="0" fieldPosition="0">
        <references count="2">
          <reference field="4294967294" count="1" selected="0">
            <x v="0"/>
          </reference>
          <reference field="0" count="1" selected="0">
            <x v="2"/>
          </reference>
        </references>
      </pivotArea>
    </chartFormat>
    <chartFormat chart="0" format="5" series="1">
      <pivotArea type="data" outline="0" fieldPosition="0">
        <references count="3">
          <reference field="4294967294" count="1" selected="0">
            <x v="0"/>
          </reference>
          <reference field="0" count="1" selected="0">
            <x v="1"/>
          </reference>
          <reference field="1" count="1" selected="0">
            <x v="0"/>
          </reference>
        </references>
      </pivotArea>
    </chartFormat>
    <chartFormat chart="0" format="6" series="1">
      <pivotArea type="data" outline="0" fieldPosition="0">
        <references count="3">
          <reference field="4294967294" count="1" selected="0">
            <x v="0"/>
          </reference>
          <reference field="0" count="1" selected="0">
            <x v="1"/>
          </reference>
          <reference field="1" count="1" selected="0">
            <x v="1"/>
          </reference>
        </references>
      </pivotArea>
    </chartFormat>
    <chartFormat chart="0" format="7" series="1">
      <pivotArea type="data" outline="0" fieldPosition="0">
        <references count="3">
          <reference field="4294967294" count="1" selected="0">
            <x v="0"/>
          </reference>
          <reference field="0" count="1" selected="0">
            <x v="1"/>
          </reference>
          <reference field="1" count="1" selected="0">
            <x v="2"/>
          </reference>
        </references>
      </pivotArea>
    </chartFormat>
    <chartFormat chart="0" format="8" series="1">
      <pivotArea type="data" outline="0" fieldPosition="0">
        <references count="3">
          <reference field="4294967294" count="1" selected="0">
            <x v="0"/>
          </reference>
          <reference field="0" count="1" selected="0">
            <x v="2"/>
          </reference>
          <reference field="1" count="1" selected="0">
            <x v="0"/>
          </reference>
        </references>
      </pivotArea>
    </chartFormat>
    <chartFormat chart="0" format="9" series="1">
      <pivotArea type="data" outline="0" fieldPosition="0">
        <references count="3">
          <reference field="4294967294" count="1" selected="0">
            <x v="0"/>
          </reference>
          <reference field="0" count="1" selected="0">
            <x v="2"/>
          </reference>
          <reference field="1" count="1" selected="0">
            <x v="1"/>
          </reference>
        </references>
      </pivotArea>
    </chartFormat>
    <chartFormat chart="0" format="10" series="1">
      <pivotArea type="data" outline="0" fieldPosition="0">
        <references count="3">
          <reference field="4294967294" count="1" selected="0">
            <x v="0"/>
          </reference>
          <reference field="0" count="1" selected="0">
            <x v="2"/>
          </reference>
          <reference field="1" count="1" selected="0">
            <x v="2"/>
          </reference>
        </references>
      </pivotArea>
    </chartFormat>
    <chartFormat chart="0" format="11" series="1">
      <pivotArea type="data" outline="0" fieldPosition="0">
        <references count="2">
          <reference field="4294967294" count="1" selected="0">
            <x v="0"/>
          </reference>
          <reference field="1" count="1" selected="0">
            <x v="0"/>
          </reference>
        </references>
      </pivotArea>
    </chartFormat>
    <chartFormat chart="0" format="12" series="1">
      <pivotArea type="data" outline="0" fieldPosition="0">
        <references count="2">
          <reference field="4294967294" count="1" selected="0">
            <x v="0"/>
          </reference>
          <reference field="1" count="1" selected="0">
            <x v="1"/>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31"/>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4" cacheId="225265395">
        <x15:pivotRow count="4">
          <x15:c>
            <x15:v>122776216</x15:v>
          </x15:c>
          <x15:c>
            <x15:v>124765081</x15:v>
          </x15:c>
          <x15:c>
            <x15:v>139805341</x15:v>
          </x15:c>
          <x15:c>
            <x15:v>387346638</x15:v>
          </x15:c>
        </x15:pivotRow>
        <x15:pivotRow count="4">
          <x15:c>
            <x15:v>26161839</x15:v>
          </x15:c>
          <x15:c>
            <x15:v>28837452</x15:v>
          </x15:c>
          <x15:c>
            <x15:v>29369332</x15:v>
          </x15:c>
          <x15:c>
            <x15:v>84368623</x15:v>
          </x15:c>
        </x15:pivotRow>
        <x15:pivotRow count="4">
          <x15:c>
            <x15:v>122424061</x15:v>
          </x15:c>
          <x15:c>
            <x15:v>117645625</x15:v>
          </x15:c>
          <x15:c>
            <x15:v>110722598</x15:v>
          </x15:c>
          <x15:c>
            <x15:v>350792284</x15:v>
          </x15:c>
        </x15:pivotRow>
        <x15:pivotRow count="4">
          <x15:c>
            <x15:v>271362116</x15:v>
          </x15:c>
          <x15:c>
            <x15:v>271248158</x15:v>
          </x15:c>
          <x15:c>
            <x15:v>279897271</x15:v>
          </x15:c>
          <x15:c>
            <x15:v>822507545</x15:v>
          </x15:c>
        </x15:pivotRow>
      </x15:pivotTableData>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2E6163-9D86-4F78-A9E4-3BE6229118EC}" name="PivotChartTable4" cacheId="4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redit Score Rang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54648069">
        <x15:pivotRow count="1">
          <x15:c>
            <x15:v>532</x15:v>
          </x15:c>
        </x15:pivotRow>
        <x15:pivotRow count="1">
          <x15:c>
            <x15:v>563</x15:v>
          </x15:c>
        </x15:pivotRow>
        <x15:pivotRow count="1">
          <x15:c>
            <x15:v>1095</x15:v>
          </x15:c>
        </x15:pivotRow>
      </x15:pivotTableData>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4EF1B7-47FF-4EBA-B7E6-16CC62B8ABBE}" name="PivotChartTable3" cacheId="4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New Loan Application 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861533211">
        <x15:pivotRow count="1">
          <x15:c>
            <x15:v>141581866</x15:v>
          </x15:c>
        </x15:pivotRow>
        <x15:pivotRow count="1">
          <x15:c>
            <x15:v>144819038</x15:v>
          </x15:c>
        </x15:pivotRow>
        <x15:pivotRow count="1">
          <x15:c>
            <x15:v>147524030</x15:v>
          </x15:c>
        </x15:pivotRow>
        <x15:pivotRow count="1">
          <x15:c>
            <x15:v>132281589</x15:v>
          </x15:c>
        </x15:pivotRow>
        <x15:pivotRow count="1">
          <x15:c>
            <x15:v>131375403</x15:v>
          </x15:c>
        </x15:pivotRow>
        <x15:pivotRow count="1">
          <x15:c>
            <x15:v>124925619</x15:v>
          </x15:c>
        </x15:pivotRow>
        <x15:pivotRow count="1">
          <x15:c>
            <x15:v>822507545</x15:v>
          </x15:c>
        </x15:pivotRow>
      </x15:pivotTableData>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276FA8-3E55-4B09-AC03-F8283BDE3297}" name="PivotChartTable2" cacheId="4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14" firstHeaderRow="1" firstDataRow="1" firstDataCol="1"/>
  <pivotFields count="2">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New Loan Application amount" fld="1" baseField="0" baseItem="0"/>
  </dataFields>
  <chartFormats count="1">
    <chartFormat chart="0" format="1"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1" cacheId="1489656069">
        <x15:pivotRow count="1">
          <x15:c>
            <x15:v>77337543</x15:v>
          </x15:c>
        </x15:pivotRow>
        <x15:pivotRow count="1">
          <x15:c>
            <x15:v>75393920</x15:v>
          </x15:c>
        </x15:pivotRow>
        <x15:pivotRow count="1">
          <x15:c>
            <x15:v>81949442</x15:v>
          </x15:c>
        </x15:pivotRow>
        <x15:pivotRow count="1">
          <x15:c>
            <x15:v>71475896</x15:v>
          </x15:c>
        </x15:pivotRow>
        <x15:pivotRow count="1">
          <x15:c>
            <x15:v>84087828</x15:v>
          </x15:c>
        </x15:pivotRow>
        <x15:pivotRow count="1">
          <x15:c>
            <x15:v>74287048</x15:v>
          </x15:c>
        </x15:pivotRow>
        <x15:pivotRow count="1">
          <x15:c>
            <x15:v>69827375</x15:v>
          </x15:c>
        </x15:pivotRow>
        <x15:pivotRow count="1">
          <x15:c>
            <x15:v>62308924</x15:v>
          </x15:c>
        </x15:pivotRow>
        <x15:pivotRow count="1">
          <x15:c>
            <x15:v>76800146</x15:v>
          </x15:c>
        </x15:pivotRow>
        <x15:pivotRow count="1">
          <x15:c>
            <x15:v>65564078</x15:v>
          </x15:c>
        </x15:pivotRow>
        <x15:pivotRow count="1">
          <x15:c>
            <x15:v>65337978</x15:v>
          </x15:c>
        </x15:pivotRow>
        <x15:pivotRow count="1">
          <x15:c>
            <x15:v>18137367</x15:v>
          </x15:c>
        </x15:pivotRow>
        <x15:pivotRow count="1">
          <x15:c>
            <x15:v>822507545</x15:v>
          </x15:c>
        </x15:pivotRow>
      </x15:pivotTableData>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8D71D8-AEB2-4C12-AD3D-9E96E292DA24}" name="PivotTable9" cacheId="3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
  <location ref="B32:C45" firstHeaderRow="1" firstDataRow="1" firstDataCol="1"/>
  <pivotFields count="18">
    <pivotField numFmtId="14" showAll="0">
      <items count="333">
        <item x="179"/>
        <item x="308"/>
        <item x="27"/>
        <item x="99"/>
        <item x="89"/>
        <item x="38"/>
        <item x="15"/>
        <item x="83"/>
        <item x="111"/>
        <item x="108"/>
        <item x="153"/>
        <item x="286"/>
        <item x="102"/>
        <item x="215"/>
        <item x="312"/>
        <item x="4"/>
        <item x="197"/>
        <item x="41"/>
        <item x="60"/>
        <item x="263"/>
        <item x="173"/>
        <item x="314"/>
        <item x="185"/>
        <item x="259"/>
        <item x="306"/>
        <item x="33"/>
        <item x="167"/>
        <item x="307"/>
        <item x="81"/>
        <item x="251"/>
        <item x="280"/>
        <item x="136"/>
        <item x="150"/>
        <item x="12"/>
        <item x="234"/>
        <item x="146"/>
        <item x="20"/>
        <item x="217"/>
        <item x="55"/>
        <item x="316"/>
        <item x="72"/>
        <item x="178"/>
        <item x="112"/>
        <item x="101"/>
        <item x="248"/>
        <item x="47"/>
        <item x="135"/>
        <item x="68"/>
        <item x="73"/>
        <item x="276"/>
        <item x="51"/>
        <item x="46"/>
        <item x="283"/>
        <item x="170"/>
        <item x="290"/>
        <item x="212"/>
        <item x="254"/>
        <item x="95"/>
        <item x="43"/>
        <item x="235"/>
        <item x="21"/>
        <item x="244"/>
        <item x="30"/>
        <item x="320"/>
        <item x="216"/>
        <item x="123"/>
        <item x="323"/>
        <item x="98"/>
        <item x="269"/>
        <item x="14"/>
        <item x="255"/>
        <item x="59"/>
        <item x="39"/>
        <item x="159"/>
        <item x="131"/>
        <item x="247"/>
        <item x="127"/>
        <item x="317"/>
        <item x="202"/>
        <item x="300"/>
        <item x="218"/>
        <item x="275"/>
        <item x="128"/>
        <item x="161"/>
        <item x="54"/>
        <item x="160"/>
        <item x="260"/>
        <item x="6"/>
        <item x="188"/>
        <item x="328"/>
        <item x="79"/>
        <item x="267"/>
        <item x="80"/>
        <item x="65"/>
        <item x="8"/>
        <item x="97"/>
        <item x="225"/>
        <item x="31"/>
        <item x="137"/>
        <item x="319"/>
        <item x="253"/>
        <item x="52"/>
        <item x="17"/>
        <item x="45"/>
        <item x="322"/>
        <item x="61"/>
        <item x="119"/>
        <item x="205"/>
        <item x="192"/>
        <item x="310"/>
        <item x="220"/>
        <item x="228"/>
        <item x="1"/>
        <item x="145"/>
        <item x="23"/>
        <item x="103"/>
        <item x="224"/>
        <item x="303"/>
        <item x="222"/>
        <item x="9"/>
        <item x="142"/>
        <item x="326"/>
        <item x="264"/>
        <item x="250"/>
        <item x="227"/>
        <item x="92"/>
        <item x="29"/>
        <item x="288"/>
        <item x="19"/>
        <item x="75"/>
        <item x="184"/>
        <item x="62"/>
        <item x="325"/>
        <item x="284"/>
        <item x="94"/>
        <item x="329"/>
        <item x="122"/>
        <item x="214"/>
        <item x="130"/>
        <item x="198"/>
        <item x="279"/>
        <item x="240"/>
        <item x="126"/>
        <item x="11"/>
        <item x="292"/>
        <item x="277"/>
        <item x="239"/>
        <item x="257"/>
        <item x="191"/>
        <item x="64"/>
        <item x="163"/>
        <item x="16"/>
        <item x="274"/>
        <item x="147"/>
        <item x="298"/>
        <item x="121"/>
        <item x="66"/>
        <item x="226"/>
        <item x="129"/>
        <item x="256"/>
        <item x="207"/>
        <item x="110"/>
        <item x="231"/>
        <item x="5"/>
        <item x="76"/>
        <item x="117"/>
        <item x="58"/>
        <item x="201"/>
        <item x="134"/>
        <item x="115"/>
        <item x="233"/>
        <item x="165"/>
        <item x="221"/>
        <item x="318"/>
        <item x="120"/>
        <item x="174"/>
        <item x="252"/>
        <item x="93"/>
        <item x="125"/>
        <item x="210"/>
        <item x="91"/>
        <item x="311"/>
        <item x="271"/>
        <item x="196"/>
        <item x="36"/>
        <item x="282"/>
        <item x="56"/>
        <item x="182"/>
        <item x="149"/>
        <item x="195"/>
        <item x="166"/>
        <item x="78"/>
        <item x="90"/>
        <item x="48"/>
        <item x="3"/>
        <item x="249"/>
        <item x="203"/>
        <item x="138"/>
        <item x="85"/>
        <item x="132"/>
        <item x="82"/>
        <item x="304"/>
        <item x="114"/>
        <item x="199"/>
        <item x="22"/>
        <item x="139"/>
        <item x="172"/>
        <item x="219"/>
        <item x="71"/>
        <item x="208"/>
        <item x="190"/>
        <item x="272"/>
        <item x="140"/>
        <item x="40"/>
        <item x="186"/>
        <item x="223"/>
        <item x="309"/>
        <item x="193"/>
        <item x="162"/>
        <item x="18"/>
        <item x="297"/>
        <item x="158"/>
        <item x="331"/>
        <item x="246"/>
        <item x="7"/>
        <item x="176"/>
        <item x="273"/>
        <item x="74"/>
        <item x="327"/>
        <item x="0"/>
        <item x="175"/>
        <item x="13"/>
        <item x="262"/>
        <item x="315"/>
        <item x="44"/>
        <item x="200"/>
        <item x="87"/>
        <item x="229"/>
        <item x="42"/>
        <item x="204"/>
        <item x="24"/>
        <item x="168"/>
        <item x="113"/>
        <item x="88"/>
        <item x="302"/>
        <item x="53"/>
        <item x="289"/>
        <item x="70"/>
        <item x="305"/>
        <item x="57"/>
        <item x="148"/>
        <item x="287"/>
        <item x="154"/>
        <item x="301"/>
        <item x="171"/>
        <item x="180"/>
        <item x="118"/>
        <item x="238"/>
        <item x="2"/>
        <item x="69"/>
        <item x="86"/>
        <item x="77"/>
        <item x="330"/>
        <item x="237"/>
        <item x="209"/>
        <item x="268"/>
        <item x="285"/>
        <item x="177"/>
        <item x="116"/>
        <item x="296"/>
        <item x="50"/>
        <item x="107"/>
        <item x="281"/>
        <item x="294"/>
        <item x="211"/>
        <item x="181"/>
        <item x="34"/>
        <item x="152"/>
        <item x="295"/>
        <item x="236"/>
        <item x="35"/>
        <item x="105"/>
        <item x="157"/>
        <item x="100"/>
        <item x="156"/>
        <item x="133"/>
        <item x="84"/>
        <item x="206"/>
        <item x="124"/>
        <item x="25"/>
        <item x="143"/>
        <item x="278"/>
        <item x="28"/>
        <item x="141"/>
        <item x="270"/>
        <item x="313"/>
        <item x="265"/>
        <item x="266"/>
        <item x="49"/>
        <item x="144"/>
        <item x="63"/>
        <item x="26"/>
        <item x="109"/>
        <item x="104"/>
        <item x="169"/>
        <item x="194"/>
        <item x="299"/>
        <item x="232"/>
        <item x="67"/>
        <item x="291"/>
        <item x="164"/>
        <item x="242"/>
        <item x="37"/>
        <item x="258"/>
        <item x="10"/>
        <item x="241"/>
        <item x="245"/>
        <item x="183"/>
        <item x="261"/>
        <item x="243"/>
        <item x="106"/>
        <item x="151"/>
        <item x="155"/>
        <item x="324"/>
        <item x="96"/>
        <item x="321"/>
        <item x="213"/>
        <item x="293"/>
        <item x="189"/>
        <item x="187"/>
        <item x="230"/>
        <item x="32"/>
        <item t="default"/>
      </items>
    </pivotField>
    <pivotField showAll="0"/>
    <pivotField showAll="0"/>
    <pivotField showAll="0"/>
    <pivotField showAll="0"/>
    <pivotField numFmtId="1" showAll="0"/>
    <pivotField numFmtId="1" showAll="0"/>
    <pivotField numFmtId="1" showAll="0"/>
    <pivotField numFmtId="14" showAll="0"/>
    <pivotField dataField="1" numFmtId="164"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New Loan Application amount"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12D4B6-5E04-47EC-9180-105C1E64859C}" name="PivotTable8" cacheId="3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6:K11" firstHeaderRow="1" firstDataRow="2" firstDataCol="1"/>
  <pivotFields count="18">
    <pivotField numFmtId="14" showAll="0">
      <items count="333">
        <item x="179"/>
        <item x="308"/>
        <item x="27"/>
        <item x="99"/>
        <item x="89"/>
        <item x="38"/>
        <item x="15"/>
        <item x="83"/>
        <item x="111"/>
        <item x="108"/>
        <item x="153"/>
        <item x="286"/>
        <item x="102"/>
        <item x="215"/>
        <item x="312"/>
        <item x="4"/>
        <item x="197"/>
        <item x="41"/>
        <item x="60"/>
        <item x="263"/>
        <item x="173"/>
        <item x="314"/>
        <item x="185"/>
        <item x="259"/>
        <item x="306"/>
        <item x="33"/>
        <item x="167"/>
        <item x="307"/>
        <item x="81"/>
        <item x="251"/>
        <item x="280"/>
        <item x="136"/>
        <item x="150"/>
        <item x="12"/>
        <item x="234"/>
        <item x="146"/>
        <item x="20"/>
        <item x="217"/>
        <item x="55"/>
        <item x="316"/>
        <item x="72"/>
        <item x="178"/>
        <item x="112"/>
        <item x="101"/>
        <item x="248"/>
        <item x="47"/>
        <item x="135"/>
        <item x="68"/>
        <item x="73"/>
        <item x="276"/>
        <item x="51"/>
        <item x="46"/>
        <item x="283"/>
        <item x="170"/>
        <item x="290"/>
        <item x="212"/>
        <item x="254"/>
        <item x="95"/>
        <item x="43"/>
        <item x="235"/>
        <item x="21"/>
        <item x="244"/>
        <item x="30"/>
        <item x="320"/>
        <item x="216"/>
        <item x="123"/>
        <item x="323"/>
        <item x="98"/>
        <item x="269"/>
        <item x="14"/>
        <item x="255"/>
        <item x="59"/>
        <item x="39"/>
        <item x="159"/>
        <item x="131"/>
        <item x="247"/>
        <item x="127"/>
        <item x="317"/>
        <item x="202"/>
        <item x="300"/>
        <item x="218"/>
        <item x="275"/>
        <item x="128"/>
        <item x="161"/>
        <item x="54"/>
        <item x="160"/>
        <item x="260"/>
        <item x="6"/>
        <item x="188"/>
        <item x="328"/>
        <item x="79"/>
        <item x="267"/>
        <item x="80"/>
        <item x="65"/>
        <item x="8"/>
        <item x="97"/>
        <item x="225"/>
        <item x="31"/>
        <item x="137"/>
        <item x="319"/>
        <item x="253"/>
        <item x="52"/>
        <item x="17"/>
        <item x="45"/>
        <item x="322"/>
        <item x="61"/>
        <item x="119"/>
        <item x="205"/>
        <item x="192"/>
        <item x="310"/>
        <item x="220"/>
        <item x="228"/>
        <item x="1"/>
        <item x="145"/>
        <item x="23"/>
        <item x="103"/>
        <item x="224"/>
        <item x="303"/>
        <item x="222"/>
        <item x="9"/>
        <item x="142"/>
        <item x="326"/>
        <item x="264"/>
        <item x="250"/>
        <item x="227"/>
        <item x="92"/>
        <item x="29"/>
        <item x="288"/>
        <item x="19"/>
        <item x="75"/>
        <item x="184"/>
        <item x="62"/>
        <item x="325"/>
        <item x="284"/>
        <item x="94"/>
        <item x="329"/>
        <item x="122"/>
        <item x="214"/>
        <item x="130"/>
        <item x="198"/>
        <item x="279"/>
        <item x="240"/>
        <item x="126"/>
        <item x="11"/>
        <item x="292"/>
        <item x="277"/>
        <item x="239"/>
        <item x="257"/>
        <item x="191"/>
        <item x="64"/>
        <item x="163"/>
        <item x="16"/>
        <item x="274"/>
        <item x="147"/>
        <item x="298"/>
        <item x="121"/>
        <item x="66"/>
        <item x="226"/>
        <item x="129"/>
        <item x="256"/>
        <item x="207"/>
        <item x="110"/>
        <item x="231"/>
        <item x="5"/>
        <item x="76"/>
        <item x="117"/>
        <item x="58"/>
        <item x="201"/>
        <item x="134"/>
        <item x="115"/>
        <item x="233"/>
        <item x="165"/>
        <item x="221"/>
        <item x="318"/>
        <item x="120"/>
        <item x="174"/>
        <item x="252"/>
        <item x="93"/>
        <item x="125"/>
        <item x="210"/>
        <item x="91"/>
        <item x="311"/>
        <item x="271"/>
        <item x="196"/>
        <item x="36"/>
        <item x="282"/>
        <item x="56"/>
        <item x="182"/>
        <item x="149"/>
        <item x="195"/>
        <item x="166"/>
        <item x="78"/>
        <item x="90"/>
        <item x="48"/>
        <item x="3"/>
        <item x="249"/>
        <item x="203"/>
        <item x="138"/>
        <item x="85"/>
        <item x="132"/>
        <item x="82"/>
        <item x="304"/>
        <item x="114"/>
        <item x="199"/>
        <item x="22"/>
        <item x="139"/>
        <item x="172"/>
        <item x="219"/>
        <item x="71"/>
        <item x="208"/>
        <item x="190"/>
        <item x="272"/>
        <item x="140"/>
        <item x="40"/>
        <item x="186"/>
        <item x="223"/>
        <item x="309"/>
        <item x="193"/>
        <item x="162"/>
        <item x="18"/>
        <item x="297"/>
        <item x="158"/>
        <item x="331"/>
        <item x="246"/>
        <item x="7"/>
        <item x="176"/>
        <item x="273"/>
        <item x="74"/>
        <item x="327"/>
        <item x="0"/>
        <item x="175"/>
        <item x="13"/>
        <item x="262"/>
        <item x="315"/>
        <item x="44"/>
        <item x="200"/>
        <item x="87"/>
        <item x="229"/>
        <item x="42"/>
        <item x="204"/>
        <item x="24"/>
        <item x="168"/>
        <item x="113"/>
        <item x="88"/>
        <item x="302"/>
        <item x="53"/>
        <item x="289"/>
        <item x="70"/>
        <item x="305"/>
        <item x="57"/>
        <item x="148"/>
        <item x="287"/>
        <item x="154"/>
        <item x="301"/>
        <item x="171"/>
        <item x="180"/>
        <item x="118"/>
        <item x="238"/>
        <item x="2"/>
        <item x="69"/>
        <item x="86"/>
        <item x="77"/>
        <item x="330"/>
        <item x="237"/>
        <item x="209"/>
        <item x="268"/>
        <item x="285"/>
        <item x="177"/>
        <item x="116"/>
        <item x="296"/>
        <item x="50"/>
        <item x="107"/>
        <item x="281"/>
        <item x="294"/>
        <item x="211"/>
        <item x="181"/>
        <item x="34"/>
        <item x="152"/>
        <item x="295"/>
        <item x="236"/>
        <item x="35"/>
        <item x="105"/>
        <item x="157"/>
        <item x="100"/>
        <item x="156"/>
        <item x="133"/>
        <item x="84"/>
        <item x="206"/>
        <item x="124"/>
        <item x="25"/>
        <item x="143"/>
        <item x="278"/>
        <item x="28"/>
        <item x="141"/>
        <item x="270"/>
        <item x="313"/>
        <item x="265"/>
        <item x="266"/>
        <item x="49"/>
        <item x="144"/>
        <item x="63"/>
        <item x="26"/>
        <item x="109"/>
        <item x="104"/>
        <item x="169"/>
        <item x="194"/>
        <item x="299"/>
        <item x="232"/>
        <item x="67"/>
        <item x="291"/>
        <item x="164"/>
        <item x="242"/>
        <item x="37"/>
        <item x="258"/>
        <item x="10"/>
        <item x="241"/>
        <item x="245"/>
        <item x="183"/>
        <item x="261"/>
        <item x="243"/>
        <item x="106"/>
        <item x="151"/>
        <item x="155"/>
        <item x="324"/>
        <item x="96"/>
        <item x="321"/>
        <item x="213"/>
        <item x="293"/>
        <item x="189"/>
        <item x="187"/>
        <item x="230"/>
        <item x="32"/>
        <item t="default"/>
      </items>
    </pivotField>
    <pivotField showAll="0"/>
    <pivotField showAll="0"/>
    <pivotField showAll="0"/>
    <pivotField showAll="0"/>
    <pivotField numFmtId="1" showAll="0"/>
    <pivotField numFmtId="1" showAll="0"/>
    <pivotField numFmtId="1" showAll="0"/>
    <pivotField numFmtId="14" showAll="0"/>
    <pivotField dataField="1" numFmtId="164" showAll="0"/>
    <pivotField axis="axisRow" showAll="0">
      <items count="4">
        <item x="2"/>
        <item x="0"/>
        <item x="1"/>
        <item t="default"/>
      </items>
    </pivotField>
    <pivotField showAll="0"/>
    <pivotField showAll="0"/>
    <pivotField showAll="0"/>
    <pivotField showAll="0"/>
    <pivotField axis="axisCol" showAll="0">
      <items count="4">
        <item x="1"/>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4">
    <i>
      <x/>
    </i>
    <i>
      <x v="1"/>
    </i>
    <i>
      <x v="2"/>
    </i>
    <i t="grand">
      <x/>
    </i>
  </rowItems>
  <colFields count="1">
    <field x="15"/>
  </colFields>
  <colItems count="4">
    <i>
      <x/>
    </i>
    <i>
      <x v="1"/>
    </i>
    <i>
      <x v="2"/>
    </i>
    <i t="grand">
      <x/>
    </i>
  </colItems>
  <dataFields count="1">
    <dataField name="Sum of New Loan Application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F1EC03-E1E0-4D14-BFD1-075424F5D522}" name="PivotTable4" cacheId="3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Loan Type">
  <location ref="B6:C10" firstHeaderRow="1" firstDataRow="1" firstDataCol="1"/>
  <pivotFields count="16">
    <pivotField numFmtId="14" showAll="0"/>
    <pivotField showAll="0"/>
    <pivotField showAll="0"/>
    <pivotField showAll="0"/>
    <pivotField showAll="0"/>
    <pivotField numFmtId="1" showAll="0"/>
    <pivotField numFmtId="1" showAll="0"/>
    <pivotField numFmtId="1" showAll="0"/>
    <pivotField numFmtId="14" showAll="0"/>
    <pivotField dataField="1" numFmtId="164" showAll="0"/>
    <pivotField axis="axisRow" showAll="0">
      <items count="4">
        <item x="2"/>
        <item x="0"/>
        <item x="1"/>
        <item t="default"/>
      </items>
    </pivotField>
    <pivotField showAll="0"/>
    <pivotField showAll="0"/>
    <pivotField showAll="0"/>
    <pivotField showAll="0"/>
    <pivotField showAll="0"/>
  </pivotFields>
  <rowFields count="1">
    <field x="10"/>
  </rowFields>
  <rowItems count="4">
    <i>
      <x/>
    </i>
    <i>
      <x v="1"/>
    </i>
    <i>
      <x v="2"/>
    </i>
    <i t="grand">
      <x/>
    </i>
  </rowItems>
  <colItems count="1">
    <i/>
  </colItems>
  <dataFields count="1">
    <dataField name="Sum of New Loan Application amount"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4F42D1-1AEE-4565-994A-F61E97B248E3}" name="PivotTable6" cacheId="3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5:C28" firstHeaderRow="1" firstDataRow="1" firstDataCol="1"/>
  <pivotFields count="18">
    <pivotField numFmtId="14" showAll="0">
      <items count="333">
        <item x="179"/>
        <item x="308"/>
        <item x="27"/>
        <item x="99"/>
        <item x="89"/>
        <item x="38"/>
        <item x="15"/>
        <item x="83"/>
        <item x="111"/>
        <item x="108"/>
        <item x="153"/>
        <item x="286"/>
        <item x="102"/>
        <item x="215"/>
        <item x="312"/>
        <item x="4"/>
        <item x="197"/>
        <item x="41"/>
        <item x="60"/>
        <item x="263"/>
        <item x="173"/>
        <item x="314"/>
        <item x="185"/>
        <item x="259"/>
        <item x="306"/>
        <item x="33"/>
        <item x="167"/>
        <item x="307"/>
        <item x="81"/>
        <item x="251"/>
        <item x="280"/>
        <item x="136"/>
        <item x="150"/>
        <item x="12"/>
        <item x="234"/>
        <item x="146"/>
        <item x="20"/>
        <item x="217"/>
        <item x="55"/>
        <item x="316"/>
        <item x="72"/>
        <item x="178"/>
        <item x="112"/>
        <item x="101"/>
        <item x="248"/>
        <item x="47"/>
        <item x="135"/>
        <item x="68"/>
        <item x="73"/>
        <item x="276"/>
        <item x="51"/>
        <item x="46"/>
        <item x="283"/>
        <item x="170"/>
        <item x="290"/>
        <item x="212"/>
        <item x="254"/>
        <item x="95"/>
        <item x="43"/>
        <item x="235"/>
        <item x="21"/>
        <item x="244"/>
        <item x="30"/>
        <item x="320"/>
        <item x="216"/>
        <item x="123"/>
        <item x="323"/>
        <item x="98"/>
        <item x="269"/>
        <item x="14"/>
        <item x="255"/>
        <item x="59"/>
        <item x="39"/>
        <item x="159"/>
        <item x="131"/>
        <item x="247"/>
        <item x="127"/>
        <item x="317"/>
        <item x="202"/>
        <item x="300"/>
        <item x="218"/>
        <item x="275"/>
        <item x="128"/>
        <item x="161"/>
        <item x="54"/>
        <item x="160"/>
        <item x="260"/>
        <item x="6"/>
        <item x="188"/>
        <item x="328"/>
        <item x="79"/>
        <item x="267"/>
        <item x="80"/>
        <item x="65"/>
        <item x="8"/>
        <item x="97"/>
        <item x="225"/>
        <item x="31"/>
        <item x="137"/>
        <item x="319"/>
        <item x="253"/>
        <item x="52"/>
        <item x="17"/>
        <item x="45"/>
        <item x="322"/>
        <item x="61"/>
        <item x="119"/>
        <item x="205"/>
        <item x="192"/>
        <item x="310"/>
        <item x="220"/>
        <item x="228"/>
        <item x="1"/>
        <item x="145"/>
        <item x="23"/>
        <item x="103"/>
        <item x="224"/>
        <item x="303"/>
        <item x="222"/>
        <item x="9"/>
        <item x="142"/>
        <item x="326"/>
        <item x="264"/>
        <item x="250"/>
        <item x="227"/>
        <item x="92"/>
        <item x="29"/>
        <item x="288"/>
        <item x="19"/>
        <item x="75"/>
        <item x="184"/>
        <item x="62"/>
        <item x="325"/>
        <item x="284"/>
        <item x="94"/>
        <item x="329"/>
        <item x="122"/>
        <item x="214"/>
        <item x="130"/>
        <item x="198"/>
        <item x="279"/>
        <item x="240"/>
        <item x="126"/>
        <item x="11"/>
        <item x="292"/>
        <item x="277"/>
        <item x="239"/>
        <item x="257"/>
        <item x="191"/>
        <item x="64"/>
        <item x="163"/>
        <item x="16"/>
        <item x="274"/>
        <item x="147"/>
        <item x="298"/>
        <item x="121"/>
        <item x="66"/>
        <item x="226"/>
        <item x="129"/>
        <item x="256"/>
        <item x="207"/>
        <item x="110"/>
        <item x="231"/>
        <item x="5"/>
        <item x="76"/>
        <item x="117"/>
        <item x="58"/>
        <item x="201"/>
        <item x="134"/>
        <item x="115"/>
        <item x="233"/>
        <item x="165"/>
        <item x="221"/>
        <item x="318"/>
        <item x="120"/>
        <item x="174"/>
        <item x="252"/>
        <item x="93"/>
        <item x="125"/>
        <item x="210"/>
        <item x="91"/>
        <item x="311"/>
        <item x="271"/>
        <item x="196"/>
        <item x="36"/>
        <item x="282"/>
        <item x="56"/>
        <item x="182"/>
        <item x="149"/>
        <item x="195"/>
        <item x="166"/>
        <item x="78"/>
        <item x="90"/>
        <item x="48"/>
        <item x="3"/>
        <item x="249"/>
        <item x="203"/>
        <item x="138"/>
        <item x="85"/>
        <item x="132"/>
        <item x="82"/>
        <item x="304"/>
        <item x="114"/>
        <item x="199"/>
        <item x="22"/>
        <item x="139"/>
        <item x="172"/>
        <item x="219"/>
        <item x="71"/>
        <item x="208"/>
        <item x="190"/>
        <item x="272"/>
        <item x="140"/>
        <item x="40"/>
        <item x="186"/>
        <item x="223"/>
        <item x="309"/>
        <item x="193"/>
        <item x="162"/>
        <item x="18"/>
        <item x="297"/>
        <item x="158"/>
        <item x="331"/>
        <item x="246"/>
        <item x="7"/>
        <item x="176"/>
        <item x="273"/>
        <item x="74"/>
        <item x="327"/>
        <item x="0"/>
        <item x="175"/>
        <item x="13"/>
        <item x="262"/>
        <item x="315"/>
        <item x="44"/>
        <item x="200"/>
        <item x="87"/>
        <item x="229"/>
        <item x="42"/>
        <item x="204"/>
        <item x="24"/>
        <item x="168"/>
        <item x="113"/>
        <item x="88"/>
        <item x="302"/>
        <item x="53"/>
        <item x="289"/>
        <item x="70"/>
        <item x="305"/>
        <item x="57"/>
        <item x="148"/>
        <item x="287"/>
        <item x="154"/>
        <item x="301"/>
        <item x="171"/>
        <item x="180"/>
        <item x="118"/>
        <item x="238"/>
        <item x="2"/>
        <item x="69"/>
        <item x="86"/>
        <item x="77"/>
        <item x="330"/>
        <item x="237"/>
        <item x="209"/>
        <item x="268"/>
        <item x="285"/>
        <item x="177"/>
        <item x="116"/>
        <item x="296"/>
        <item x="50"/>
        <item x="107"/>
        <item x="281"/>
        <item x="294"/>
        <item x="211"/>
        <item x="181"/>
        <item x="34"/>
        <item x="152"/>
        <item x="295"/>
        <item x="236"/>
        <item x="35"/>
        <item x="105"/>
        <item x="157"/>
        <item x="100"/>
        <item x="156"/>
        <item x="133"/>
        <item x="84"/>
        <item x="206"/>
        <item x="124"/>
        <item x="25"/>
        <item x="143"/>
        <item x="278"/>
        <item x="28"/>
        <item x="141"/>
        <item x="270"/>
        <item x="313"/>
        <item x="265"/>
        <item x="266"/>
        <item x="49"/>
        <item x="144"/>
        <item x="63"/>
        <item x="26"/>
        <item x="109"/>
        <item x="104"/>
        <item x="169"/>
        <item x="194"/>
        <item x="299"/>
        <item x="232"/>
        <item x="67"/>
        <item x="291"/>
        <item x="164"/>
        <item x="242"/>
        <item x="37"/>
        <item x="258"/>
        <item x="10"/>
        <item x="241"/>
        <item x="245"/>
        <item x="183"/>
        <item x="261"/>
        <item x="243"/>
        <item x="106"/>
        <item x="151"/>
        <item x="155"/>
        <item x="324"/>
        <item x="96"/>
        <item x="321"/>
        <item x="213"/>
        <item x="293"/>
        <item x="189"/>
        <item x="187"/>
        <item x="230"/>
        <item x="32"/>
        <item t="default"/>
      </items>
    </pivotField>
    <pivotField showAll="0"/>
    <pivotField showAll="0"/>
    <pivotField showAll="0"/>
    <pivotField showAll="0"/>
    <pivotField numFmtId="1" showAll="0"/>
    <pivotField numFmtId="1" showAll="0"/>
    <pivotField numFmtId="1" showAll="0"/>
    <pivotField numFmtId="14" showAll="0"/>
    <pivotField numFmtId="164" showAll="0"/>
    <pivotField showAll="0"/>
    <pivotField showAll="0"/>
    <pivotField showAll="0"/>
    <pivotField showAll="0"/>
    <pivotField axis="axisRow" dataField="1" showAll="0">
      <items count="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3">
    <i>
      <x/>
    </i>
    <i>
      <x v="1"/>
    </i>
    <i t="grand">
      <x/>
    </i>
  </rowItems>
  <colItems count="1">
    <i/>
  </colItems>
  <dataFields count="1">
    <dataField name="Count of Credit Score Rang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C36582-B39B-4502-A91D-07453AFEE8C5}" name="PivotTable5" cacheId="3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epartment">
  <location ref="B14:C21" firstHeaderRow="1" firstDataRow="1" firstDataCol="1"/>
  <pivotFields count="18">
    <pivotField numFmtId="14" showAll="0">
      <items count="333">
        <item x="179"/>
        <item x="308"/>
        <item x="27"/>
        <item x="99"/>
        <item x="89"/>
        <item x="38"/>
        <item x="15"/>
        <item x="83"/>
        <item x="111"/>
        <item x="108"/>
        <item x="153"/>
        <item x="286"/>
        <item x="102"/>
        <item x="215"/>
        <item x="312"/>
        <item x="4"/>
        <item x="197"/>
        <item x="41"/>
        <item x="60"/>
        <item x="263"/>
        <item x="173"/>
        <item x="314"/>
        <item x="185"/>
        <item x="259"/>
        <item x="306"/>
        <item x="33"/>
        <item x="167"/>
        <item x="307"/>
        <item x="81"/>
        <item x="251"/>
        <item x="280"/>
        <item x="136"/>
        <item x="150"/>
        <item x="12"/>
        <item x="234"/>
        <item x="146"/>
        <item x="20"/>
        <item x="217"/>
        <item x="55"/>
        <item x="316"/>
        <item x="72"/>
        <item x="178"/>
        <item x="112"/>
        <item x="101"/>
        <item x="248"/>
        <item x="47"/>
        <item x="135"/>
        <item x="68"/>
        <item x="73"/>
        <item x="276"/>
        <item x="51"/>
        <item x="46"/>
        <item x="283"/>
        <item x="170"/>
        <item x="290"/>
        <item x="212"/>
        <item x="254"/>
        <item x="95"/>
        <item x="43"/>
        <item x="235"/>
        <item x="21"/>
        <item x="244"/>
        <item x="30"/>
        <item x="320"/>
        <item x="216"/>
        <item x="123"/>
        <item x="323"/>
        <item x="98"/>
        <item x="269"/>
        <item x="14"/>
        <item x="255"/>
        <item x="59"/>
        <item x="39"/>
        <item x="159"/>
        <item x="131"/>
        <item x="247"/>
        <item x="127"/>
        <item x="317"/>
        <item x="202"/>
        <item x="300"/>
        <item x="218"/>
        <item x="275"/>
        <item x="128"/>
        <item x="161"/>
        <item x="54"/>
        <item x="160"/>
        <item x="260"/>
        <item x="6"/>
        <item x="188"/>
        <item x="328"/>
        <item x="79"/>
        <item x="267"/>
        <item x="80"/>
        <item x="65"/>
        <item x="8"/>
        <item x="97"/>
        <item x="225"/>
        <item x="31"/>
        <item x="137"/>
        <item x="319"/>
        <item x="253"/>
        <item x="52"/>
        <item x="17"/>
        <item x="45"/>
        <item x="322"/>
        <item x="61"/>
        <item x="119"/>
        <item x="205"/>
        <item x="192"/>
        <item x="310"/>
        <item x="220"/>
        <item x="228"/>
        <item x="1"/>
        <item x="145"/>
        <item x="23"/>
        <item x="103"/>
        <item x="224"/>
        <item x="303"/>
        <item x="222"/>
        <item x="9"/>
        <item x="142"/>
        <item x="326"/>
        <item x="264"/>
        <item x="250"/>
        <item x="227"/>
        <item x="92"/>
        <item x="29"/>
        <item x="288"/>
        <item x="19"/>
        <item x="75"/>
        <item x="184"/>
        <item x="62"/>
        <item x="325"/>
        <item x="284"/>
        <item x="94"/>
        <item x="329"/>
        <item x="122"/>
        <item x="214"/>
        <item x="130"/>
        <item x="198"/>
        <item x="279"/>
        <item x="240"/>
        <item x="126"/>
        <item x="11"/>
        <item x="292"/>
        <item x="277"/>
        <item x="239"/>
        <item x="257"/>
        <item x="191"/>
        <item x="64"/>
        <item x="163"/>
        <item x="16"/>
        <item x="274"/>
        <item x="147"/>
        <item x="298"/>
        <item x="121"/>
        <item x="66"/>
        <item x="226"/>
        <item x="129"/>
        <item x="256"/>
        <item x="207"/>
        <item x="110"/>
        <item x="231"/>
        <item x="5"/>
        <item x="76"/>
        <item x="117"/>
        <item x="58"/>
        <item x="201"/>
        <item x="134"/>
        <item x="115"/>
        <item x="233"/>
        <item x="165"/>
        <item x="221"/>
        <item x="318"/>
        <item x="120"/>
        <item x="174"/>
        <item x="252"/>
        <item x="93"/>
        <item x="125"/>
        <item x="210"/>
        <item x="91"/>
        <item x="311"/>
        <item x="271"/>
        <item x="196"/>
        <item x="36"/>
        <item x="282"/>
        <item x="56"/>
        <item x="182"/>
        <item x="149"/>
        <item x="195"/>
        <item x="166"/>
        <item x="78"/>
        <item x="90"/>
        <item x="48"/>
        <item x="3"/>
        <item x="249"/>
        <item x="203"/>
        <item x="138"/>
        <item x="85"/>
        <item x="132"/>
        <item x="82"/>
        <item x="304"/>
        <item x="114"/>
        <item x="199"/>
        <item x="22"/>
        <item x="139"/>
        <item x="172"/>
        <item x="219"/>
        <item x="71"/>
        <item x="208"/>
        <item x="190"/>
        <item x="272"/>
        <item x="140"/>
        <item x="40"/>
        <item x="186"/>
        <item x="223"/>
        <item x="309"/>
        <item x="193"/>
        <item x="162"/>
        <item x="18"/>
        <item x="297"/>
        <item x="158"/>
        <item x="331"/>
        <item x="246"/>
        <item x="7"/>
        <item x="176"/>
        <item x="273"/>
        <item x="74"/>
        <item x="327"/>
        <item x="0"/>
        <item x="175"/>
        <item x="13"/>
        <item x="262"/>
        <item x="315"/>
        <item x="44"/>
        <item x="200"/>
        <item x="87"/>
        <item x="229"/>
        <item x="42"/>
        <item x="204"/>
        <item x="24"/>
        <item x="168"/>
        <item x="113"/>
        <item x="88"/>
        <item x="302"/>
        <item x="53"/>
        <item x="289"/>
        <item x="70"/>
        <item x="305"/>
        <item x="57"/>
        <item x="148"/>
        <item x="287"/>
        <item x="154"/>
        <item x="301"/>
        <item x="171"/>
        <item x="180"/>
        <item x="118"/>
        <item x="238"/>
        <item x="2"/>
        <item x="69"/>
        <item x="86"/>
        <item x="77"/>
        <item x="330"/>
        <item x="237"/>
        <item x="209"/>
        <item x="268"/>
        <item x="285"/>
        <item x="177"/>
        <item x="116"/>
        <item x="296"/>
        <item x="50"/>
        <item x="107"/>
        <item x="281"/>
        <item x="294"/>
        <item x="211"/>
        <item x="181"/>
        <item x="34"/>
        <item x="152"/>
        <item x="295"/>
        <item x="236"/>
        <item x="35"/>
        <item x="105"/>
        <item x="157"/>
        <item x="100"/>
        <item x="156"/>
        <item x="133"/>
        <item x="84"/>
        <item x="206"/>
        <item x="124"/>
        <item x="25"/>
        <item x="143"/>
        <item x="278"/>
        <item x="28"/>
        <item x="141"/>
        <item x="270"/>
        <item x="313"/>
        <item x="265"/>
        <item x="266"/>
        <item x="49"/>
        <item x="144"/>
        <item x="63"/>
        <item x="26"/>
        <item x="109"/>
        <item x="104"/>
        <item x="169"/>
        <item x="194"/>
        <item x="299"/>
        <item x="232"/>
        <item x="67"/>
        <item x="291"/>
        <item x="164"/>
        <item x="242"/>
        <item x="37"/>
        <item x="258"/>
        <item x="10"/>
        <item x="241"/>
        <item x="245"/>
        <item x="183"/>
        <item x="261"/>
        <item x="243"/>
        <item x="106"/>
        <item x="151"/>
        <item x="155"/>
        <item x="324"/>
        <item x="96"/>
        <item x="321"/>
        <item x="213"/>
        <item x="293"/>
        <item x="189"/>
        <item x="187"/>
        <item x="230"/>
        <item x="32"/>
        <item t="default"/>
      </items>
    </pivotField>
    <pivotField showAll="0"/>
    <pivotField showAll="0"/>
    <pivotField axis="axisRow" showAll="0">
      <items count="7">
        <item x="5"/>
        <item x="2"/>
        <item x="0"/>
        <item x="1"/>
        <item x="4"/>
        <item x="3"/>
        <item t="default"/>
      </items>
    </pivotField>
    <pivotField showAll="0"/>
    <pivotField numFmtId="1" showAll="0"/>
    <pivotField numFmtId="1" showAll="0"/>
    <pivotField numFmtId="1" showAll="0"/>
    <pivotField numFmtId="14" showAll="0"/>
    <pivotField dataField="1" numFmtId="164"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New Loan Application amount"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CC6C38-A82D-4AF5-AD4C-78DCB25B84F4}" name="PivotTable10" cacheId="3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5:H26" firstHeaderRow="1" firstDataRow="1" firstDataCol="1"/>
  <pivotFields count="18">
    <pivotField numFmtId="14" showAll="0">
      <items count="333">
        <item x="179"/>
        <item x="308"/>
        <item x="27"/>
        <item x="99"/>
        <item x="89"/>
        <item x="38"/>
        <item x="15"/>
        <item x="83"/>
        <item x="111"/>
        <item x="108"/>
        <item x="153"/>
        <item x="286"/>
        <item x="102"/>
        <item x="215"/>
        <item x="312"/>
        <item x="4"/>
        <item x="197"/>
        <item x="41"/>
        <item x="60"/>
        <item x="263"/>
        <item x="173"/>
        <item x="314"/>
        <item x="185"/>
        <item x="259"/>
        <item x="306"/>
        <item x="33"/>
        <item x="167"/>
        <item x="307"/>
        <item x="81"/>
        <item x="251"/>
        <item x="280"/>
        <item x="136"/>
        <item x="150"/>
        <item x="12"/>
        <item x="234"/>
        <item x="146"/>
        <item x="20"/>
        <item x="217"/>
        <item x="55"/>
        <item x="316"/>
        <item x="72"/>
        <item x="178"/>
        <item x="112"/>
        <item x="101"/>
        <item x="248"/>
        <item x="47"/>
        <item x="135"/>
        <item x="68"/>
        <item x="73"/>
        <item x="276"/>
        <item x="51"/>
        <item x="46"/>
        <item x="283"/>
        <item x="170"/>
        <item x="290"/>
        <item x="212"/>
        <item x="254"/>
        <item x="95"/>
        <item x="43"/>
        <item x="235"/>
        <item x="21"/>
        <item x="244"/>
        <item x="30"/>
        <item x="320"/>
        <item x="216"/>
        <item x="123"/>
        <item x="323"/>
        <item x="98"/>
        <item x="269"/>
        <item x="14"/>
        <item x="255"/>
        <item x="59"/>
        <item x="39"/>
        <item x="159"/>
        <item x="131"/>
        <item x="247"/>
        <item x="127"/>
        <item x="317"/>
        <item x="202"/>
        <item x="300"/>
        <item x="218"/>
        <item x="275"/>
        <item x="128"/>
        <item x="161"/>
        <item x="54"/>
        <item x="160"/>
        <item x="260"/>
        <item x="6"/>
        <item x="188"/>
        <item x="328"/>
        <item x="79"/>
        <item x="267"/>
        <item x="80"/>
        <item x="65"/>
        <item x="8"/>
        <item x="97"/>
        <item x="225"/>
        <item x="31"/>
        <item x="137"/>
        <item x="319"/>
        <item x="253"/>
        <item x="52"/>
        <item x="17"/>
        <item x="45"/>
        <item x="322"/>
        <item x="61"/>
        <item x="119"/>
        <item x="205"/>
        <item x="192"/>
        <item x="310"/>
        <item x="220"/>
        <item x="228"/>
        <item x="1"/>
        <item x="145"/>
        <item x="23"/>
        <item x="103"/>
        <item x="224"/>
        <item x="303"/>
        <item x="222"/>
        <item x="9"/>
        <item x="142"/>
        <item x="326"/>
        <item x="264"/>
        <item x="250"/>
        <item x="227"/>
        <item x="92"/>
        <item x="29"/>
        <item x="288"/>
        <item x="19"/>
        <item x="75"/>
        <item x="184"/>
        <item x="62"/>
        <item x="325"/>
        <item x="284"/>
        <item x="94"/>
        <item x="329"/>
        <item x="122"/>
        <item x="214"/>
        <item x="130"/>
        <item x="198"/>
        <item x="279"/>
        <item x="240"/>
        <item x="126"/>
        <item x="11"/>
        <item x="292"/>
        <item x="277"/>
        <item x="239"/>
        <item x="257"/>
        <item x="191"/>
        <item x="64"/>
        <item x="163"/>
        <item x="16"/>
        <item x="274"/>
        <item x="147"/>
        <item x="298"/>
        <item x="121"/>
        <item x="66"/>
        <item x="226"/>
        <item x="129"/>
        <item x="256"/>
        <item x="207"/>
        <item x="110"/>
        <item x="231"/>
        <item x="5"/>
        <item x="76"/>
        <item x="117"/>
        <item x="58"/>
        <item x="201"/>
        <item x="134"/>
        <item x="115"/>
        <item x="233"/>
        <item x="165"/>
        <item x="221"/>
        <item x="318"/>
        <item x="120"/>
        <item x="174"/>
        <item x="252"/>
        <item x="93"/>
        <item x="125"/>
        <item x="210"/>
        <item x="91"/>
        <item x="311"/>
        <item x="271"/>
        <item x="196"/>
        <item x="36"/>
        <item x="282"/>
        <item x="56"/>
        <item x="182"/>
        <item x="149"/>
        <item x="195"/>
        <item x="166"/>
        <item x="78"/>
        <item x="90"/>
        <item x="48"/>
        <item x="3"/>
        <item x="249"/>
        <item x="203"/>
        <item x="138"/>
        <item x="85"/>
        <item x="132"/>
        <item x="82"/>
        <item x="304"/>
        <item x="114"/>
        <item x="199"/>
        <item x="22"/>
        <item x="139"/>
        <item x="172"/>
        <item x="219"/>
        <item x="71"/>
        <item x="208"/>
        <item x="190"/>
        <item x="272"/>
        <item x="140"/>
        <item x="40"/>
        <item x="186"/>
        <item x="223"/>
        <item x="309"/>
        <item x="193"/>
        <item x="162"/>
        <item x="18"/>
        <item x="297"/>
        <item x="158"/>
        <item x="331"/>
        <item x="246"/>
        <item x="7"/>
        <item x="176"/>
        <item x="273"/>
        <item x="74"/>
        <item x="327"/>
        <item x="0"/>
        <item x="175"/>
        <item x="13"/>
        <item x="262"/>
        <item x="315"/>
        <item x="44"/>
        <item x="200"/>
        <item x="87"/>
        <item x="229"/>
        <item x="42"/>
        <item x="204"/>
        <item x="24"/>
        <item x="168"/>
        <item x="113"/>
        <item x="88"/>
        <item x="302"/>
        <item x="53"/>
        <item x="289"/>
        <item x="70"/>
        <item x="305"/>
        <item x="57"/>
        <item x="148"/>
        <item x="287"/>
        <item x="154"/>
        <item x="301"/>
        <item x="171"/>
        <item x="180"/>
        <item x="118"/>
        <item x="238"/>
        <item x="2"/>
        <item x="69"/>
        <item x="86"/>
        <item x="77"/>
        <item x="330"/>
        <item x="237"/>
        <item x="209"/>
        <item x="268"/>
        <item x="285"/>
        <item x="177"/>
        <item x="116"/>
        <item x="296"/>
        <item x="50"/>
        <item x="107"/>
        <item x="281"/>
        <item x="294"/>
        <item x="211"/>
        <item x="181"/>
        <item x="34"/>
        <item x="152"/>
        <item x="295"/>
        <item x="236"/>
        <item x="35"/>
        <item x="105"/>
        <item x="157"/>
        <item x="100"/>
        <item x="156"/>
        <item x="133"/>
        <item x="84"/>
        <item x="206"/>
        <item x="124"/>
        <item x="25"/>
        <item x="143"/>
        <item x="278"/>
        <item x="28"/>
        <item x="141"/>
        <item x="270"/>
        <item x="313"/>
        <item x="265"/>
        <item x="266"/>
        <item x="49"/>
        <item x="144"/>
        <item x="63"/>
        <item x="26"/>
        <item x="109"/>
        <item x="104"/>
        <item x="169"/>
        <item x="194"/>
        <item x="299"/>
        <item x="232"/>
        <item x="67"/>
        <item x="291"/>
        <item x="164"/>
        <item x="242"/>
        <item x="37"/>
        <item x="258"/>
        <item x="10"/>
        <item x="241"/>
        <item x="245"/>
        <item x="183"/>
        <item x="261"/>
        <item x="243"/>
        <item x="106"/>
        <item x="151"/>
        <item x="155"/>
        <item x="324"/>
        <item x="96"/>
        <item x="321"/>
        <item x="213"/>
        <item x="293"/>
        <item x="189"/>
        <item x="187"/>
        <item x="230"/>
        <item x="32"/>
        <item t="default"/>
      </items>
    </pivotField>
    <pivotField showAll="0"/>
    <pivotField showAll="0"/>
    <pivotField showAll="0"/>
    <pivotField showAll="0"/>
    <pivotField numFmtId="1" showAll="0"/>
    <pivotField numFmtId="1" showAll="0"/>
    <pivotField axis="axisRow" numFmtId="1" showAll="0">
      <items count="11">
        <item x="5"/>
        <item x="4"/>
        <item x="3"/>
        <item x="6"/>
        <item x="0"/>
        <item x="8"/>
        <item x="7"/>
        <item x="9"/>
        <item x="2"/>
        <item x="1"/>
        <item t="default"/>
      </items>
    </pivotField>
    <pivotField numFmtId="14" showAll="0"/>
    <pivotField dataField="1" numFmtId="164"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New Loan Application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6971AC19-7EFE-4165-8818-084C22639CD6}" sourceName="[Table2].[Department]">
  <data>
    <olap pivotCacheId="446886278">
      <levels count="2">
        <level uniqueName="[Table2].[Department].[(All)]" sourceCaption="(All)" count="0"/>
        <level uniqueName="[Table2].[Department].[Department]" sourceCaption="Department" count="7">
          <ranges>
            <range startItem="0">
              <i n="[Table2].[Department].&amp;" c="(blank)"/>
              <i n="[Table2].[Department].&amp;[Finance]" c="Finance"/>
              <i n="[Table2].[Department].&amp;[Growth]" c="Growth"/>
              <i n="[Table2].[Department].&amp;[Marketing]" c="Marketing"/>
              <i n="[Table2].[Department].&amp;[Operation]" c="Operation"/>
              <i n="[Table2].[Department].&amp;[Sales]" c="Sales"/>
              <i n="[Table2].[Department].&amp;[Strategy]" c="Strategy"/>
            </range>
          </ranges>
        </level>
      </levels>
      <selections count="1">
        <selection n="[Table2].[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1" xr10:uid="{DECEDF69-3CB7-4FCF-B8F8-88873DC28ED1}" sourceName="[Table2].[Designation]">
  <data>
    <olap pivotCacheId="446886278">
      <levels count="2">
        <level uniqueName="[Table2].[Designation].[(All)]" sourceCaption="(All)" count="0"/>
        <level uniqueName="[Table2].[Designation].[Designation]" sourceCaption="Designation" count="5">
          <ranges>
            <range startItem="0">
              <i n="[Table2].[Designation].&amp;" c="(blank)"/>
              <i n="[Table2].[Designation].&amp;[Director]" c="Director"/>
              <i n="[Table2].[Designation].&amp;[Executive]" c="Executive"/>
              <i n="[Table2].[Designation].&amp;[Intern]" c="Intern"/>
              <i n="[Table2].[Designation].&amp;[Manager]" c="Manager"/>
            </range>
          </ranges>
        </level>
      </levels>
      <selections count="1">
        <selection n="[Table2].[Design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7644326B-E522-4D86-88C1-9821225566FC}" sourceName="[Table2].[Loan Type]">
  <data>
    <olap pivotCacheId="446886278">
      <levels count="2">
        <level uniqueName="[Table2].[Loan Type].[(All)]" sourceCaption="(All)" count="0"/>
        <level uniqueName="[Table2].[Loan Type].[Loan Type]" sourceCaption="Loan Type" count="4">
          <ranges>
            <range startItem="0">
              <i n="[Table2].[Loan Type].&amp;" c="(blank)"/>
              <i n="[Table2].[Loan Type].&amp;[Car]" c="Car"/>
              <i n="[Table2].[Loan Type].&amp;[Education]" c="Education"/>
              <i n="[Table2].[Loan Type].&amp;[Personal]" c="Personal"/>
            </range>
          </ranges>
        </level>
      </levels>
      <selections count="1">
        <selection n="[Table2].[Loan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6FBF2CA6-4DAD-4D30-90F6-3A9AB837A35D}" cache="Slicer_Department1" caption="Department" startItem="2" level="1" style="SlicerStyleDark1" rowHeight="273050"/>
  <slicer name="Designation 2" xr10:uid="{D5684154-793D-4D63-AE1B-903393ABB45E}" cache="Slicer_Designation1" caption="Designation" level="1" style="SlicerStyleDark1" rowHeight="273050"/>
  <slicer name="Loan Type" xr10:uid="{7FE18DEF-BDF9-4A08-9C33-7FAA9B7A0740}" cache="Slicer_Loan_Type" caption="Loan Type" level="1" style="SlicerStyleDark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BBAE06-55EA-4620-A90E-D6CECE76D795}" name="Table2" displayName="Table2" ref="A1:P1096" totalsRowShown="0" headerRowDxfId="13" dataDxfId="12">
  <autoFilter ref="A1:P1096" xr:uid="{4DBBAE06-55EA-4620-A90E-D6CECE76D795}"/>
  <tableColumns count="16">
    <tableColumn id="1" xr3:uid="{C502BBB5-95B9-41AB-BE5C-98E0896D8035}" name="Loan Application Date" dataDxfId="11"/>
    <tableColumn id="2" xr3:uid="{E44FD9B0-B1AB-4602-84F0-25D5A55BA689}" name="CustomerID"/>
    <tableColumn id="3" xr3:uid="{FA8D27C8-D4AA-41E1-BD43-6730F9843764}" name="Department - Designation"/>
    <tableColumn id="4" xr3:uid="{83AE6C34-1B83-4863-9547-C7E26FC15154}" name="Department"/>
    <tableColumn id="5" xr3:uid="{6DE0E6DA-53F0-44C8-8619-19D5099DC0AF}" name="Designation"/>
    <tableColumn id="6" xr3:uid="{EAC6F0CE-2420-4B76-B020-E9D992BCA240}" name="Credit Score" dataDxfId="10"/>
    <tableColumn id="7" xr3:uid="{E115129C-CB4A-4293-8A7A-02BE573473E7}" name="Past Loans" dataDxfId="9"/>
    <tableColumn id="8" xr3:uid="{DDDC67A6-CB46-413C-818E-FEEAC8293130}" name="Emi Defaults" dataDxfId="8"/>
    <tableColumn id="9" xr3:uid="{A60C9A12-E815-43BA-A8E1-3BE1D029BBD0}" name="Date of Birth" dataDxfId="7"/>
    <tableColumn id="10" xr3:uid="{D0E8F7C9-8CC5-42B7-87F9-0A16DADF571F}" name="New Loan Application amount" dataDxfId="6"/>
    <tableColumn id="11" xr3:uid="{8C064A06-9A6F-46E2-A8DE-D8C07DBBF561}" name="Loan Type"/>
    <tableColumn id="12" xr3:uid="{E878F1AA-D7FE-412A-80AD-54F935B2A412}" name="Year of Birth" dataDxfId="5"/>
    <tableColumn id="13" xr3:uid="{662A7249-2B3E-49CD-8978-BFE00A2BE656}" name="Month of Loan Application" dataDxfId="4"/>
    <tableColumn id="14" xr3:uid="{47B6EFC4-3B94-4262-964E-4056B2934F8D}" name="Age of customer" dataDxfId="3"/>
    <tableColumn id="15" xr3:uid="{8D35187E-8CEF-4AC5-AF38-CBCBEAFBCCFB}" name="Credit Score Range" dataDxfId="2"/>
    <tableColumn id="16" xr3:uid="{CD72BC3F-C87E-4AE7-AB90-6D5EB6BA2FD5}" name="Risk Category"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Loan_Application_Date" xr10:uid="{8295B286-0582-47DD-8308-4AC4201407C1}" sourceName="[Table2].[Loan Application Date]">
  <state minimalRefreshVersion="6" lastRefreshVersion="6" pivotCacheId="2060687036"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oan Application Date" xr10:uid="{F5465177-698E-46E3-BDE5-9A66DF7D8BF2}" cache="Timeline_Loan_Application_Date" caption="Loan Application Date" level="2" selectionLevel="2" scrollPosition="2020-08-17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50804-F92C-4FE3-A86F-82A07A16D1BC}">
  <dimension ref="A1:K45"/>
  <sheetViews>
    <sheetView workbookViewId="0">
      <selection activeCell="C26" sqref="C26"/>
    </sheetView>
  </sheetViews>
  <sheetFormatPr defaultRowHeight="15.75" x14ac:dyDescent="0.25"/>
  <cols>
    <col min="1" max="2" width="12" bestFit="1" customWidth="1"/>
    <col min="3" max="3" width="24" bestFit="1" customWidth="1"/>
    <col min="4" max="4" width="9.875" bestFit="1" customWidth="1"/>
    <col min="5" max="5" width="6.625" bestFit="1" customWidth="1"/>
    <col min="6" max="6" width="10.125" bestFit="1" customWidth="1"/>
    <col min="7" max="7" width="12" bestFit="1" customWidth="1"/>
    <col min="8" max="8" width="31.75" bestFit="1" customWidth="1"/>
    <col min="9" max="9" width="13.5" bestFit="1" customWidth="1"/>
    <col min="10" max="12" width="14.5" bestFit="1" customWidth="1"/>
    <col min="13" max="13" width="13.5" bestFit="1" customWidth="1"/>
    <col min="14" max="16" width="14.5" bestFit="1" customWidth="1"/>
    <col min="17" max="17" width="13.5" bestFit="1" customWidth="1"/>
    <col min="18" max="20" width="14.5" bestFit="1" customWidth="1"/>
  </cols>
  <sheetData>
    <row r="1" spans="1:11" x14ac:dyDescent="0.25">
      <c r="A1" s="31" t="s">
        <v>45</v>
      </c>
      <c r="B1" s="31"/>
      <c r="C1" s="31"/>
      <c r="D1" s="31"/>
      <c r="E1" s="31"/>
      <c r="F1" s="31"/>
    </row>
    <row r="2" spans="1:11" x14ac:dyDescent="0.25">
      <c r="A2" s="31"/>
      <c r="B2" s="31"/>
      <c r="C2" s="31"/>
      <c r="D2" s="31"/>
      <c r="E2" s="31"/>
      <c r="F2" s="31"/>
    </row>
    <row r="4" spans="1:11" x14ac:dyDescent="0.25">
      <c r="B4" s="24" t="s">
        <v>46</v>
      </c>
      <c r="G4" s="23" t="s">
        <v>72</v>
      </c>
    </row>
    <row r="6" spans="1:11" x14ac:dyDescent="0.25">
      <c r="B6" s="22" t="s">
        <v>10</v>
      </c>
      <c r="C6" t="s">
        <v>43</v>
      </c>
      <c r="G6" s="22" t="s">
        <v>43</v>
      </c>
      <c r="H6" s="22" t="s">
        <v>83</v>
      </c>
    </row>
    <row r="7" spans="1:11" x14ac:dyDescent="0.25">
      <c r="B7" s="23" t="s">
        <v>21</v>
      </c>
      <c r="C7" s="16">
        <v>271362116</v>
      </c>
      <c r="G7" s="22" t="s">
        <v>44</v>
      </c>
      <c r="H7" t="s">
        <v>74</v>
      </c>
      <c r="I7" t="s">
        <v>76</v>
      </c>
      <c r="J7" t="s">
        <v>75</v>
      </c>
      <c r="K7" t="s">
        <v>42</v>
      </c>
    </row>
    <row r="8" spans="1:11" x14ac:dyDescent="0.25">
      <c r="B8" s="23" t="s">
        <v>14</v>
      </c>
      <c r="C8" s="16">
        <v>271248158</v>
      </c>
      <c r="G8" s="23" t="s">
        <v>21</v>
      </c>
      <c r="H8" s="16">
        <v>122776216</v>
      </c>
      <c r="I8" s="16">
        <v>26161839</v>
      </c>
      <c r="J8" s="16">
        <v>122424061</v>
      </c>
      <c r="K8" s="16">
        <v>271362116</v>
      </c>
    </row>
    <row r="9" spans="1:11" x14ac:dyDescent="0.25">
      <c r="B9" s="23" t="s">
        <v>18</v>
      </c>
      <c r="C9" s="16">
        <v>279897271</v>
      </c>
      <c r="G9" s="23" t="s">
        <v>14</v>
      </c>
      <c r="H9" s="16">
        <v>124765081</v>
      </c>
      <c r="I9" s="16">
        <v>28837452</v>
      </c>
      <c r="J9" s="16">
        <v>117645625</v>
      </c>
      <c r="K9" s="16">
        <v>271248158</v>
      </c>
    </row>
    <row r="10" spans="1:11" x14ac:dyDescent="0.25">
      <c r="B10" s="23" t="s">
        <v>42</v>
      </c>
      <c r="C10" s="16">
        <v>822507545</v>
      </c>
      <c r="G10" s="23" t="s">
        <v>18</v>
      </c>
      <c r="H10" s="16">
        <v>139805341</v>
      </c>
      <c r="I10" s="16">
        <v>29369332</v>
      </c>
      <c r="J10" s="16">
        <v>110722598</v>
      </c>
      <c r="K10" s="16">
        <v>279897271</v>
      </c>
    </row>
    <row r="11" spans="1:11" x14ac:dyDescent="0.25">
      <c r="G11" s="23" t="s">
        <v>42</v>
      </c>
      <c r="H11" s="16">
        <v>387346638</v>
      </c>
      <c r="I11" s="16">
        <v>84368623</v>
      </c>
      <c r="J11" s="16">
        <v>350792284</v>
      </c>
      <c r="K11" s="16">
        <v>822507545</v>
      </c>
    </row>
    <row r="12" spans="1:11" x14ac:dyDescent="0.25">
      <c r="B12" s="23" t="s">
        <v>53</v>
      </c>
    </row>
    <row r="13" spans="1:11" x14ac:dyDescent="0.25">
      <c r="G13" s="29" t="s">
        <v>77</v>
      </c>
    </row>
    <row r="14" spans="1:11" x14ac:dyDescent="0.25">
      <c r="B14" s="22" t="s">
        <v>3</v>
      </c>
      <c r="C14" t="s">
        <v>43</v>
      </c>
    </row>
    <row r="15" spans="1:11" x14ac:dyDescent="0.25">
      <c r="B15" s="23" t="s">
        <v>47</v>
      </c>
      <c r="C15" s="16">
        <v>141581866</v>
      </c>
      <c r="G15" s="22" t="s">
        <v>44</v>
      </c>
      <c r="H15" t="s">
        <v>43</v>
      </c>
    </row>
    <row r="16" spans="1:11" x14ac:dyDescent="0.25">
      <c r="B16" s="23" t="s">
        <v>48</v>
      </c>
      <c r="C16" s="16">
        <v>144819038</v>
      </c>
      <c r="G16" s="30">
        <v>1</v>
      </c>
      <c r="H16" s="16">
        <v>92223497</v>
      </c>
    </row>
    <row r="17" spans="2:8" x14ac:dyDescent="0.25">
      <c r="B17" s="23" t="s">
        <v>49</v>
      </c>
      <c r="C17" s="16">
        <v>147524030</v>
      </c>
      <c r="G17" s="30">
        <v>2</v>
      </c>
      <c r="H17" s="16">
        <v>85150270</v>
      </c>
    </row>
    <row r="18" spans="2:8" x14ac:dyDescent="0.25">
      <c r="B18" s="23" t="s">
        <v>50</v>
      </c>
      <c r="C18" s="16">
        <v>132281589</v>
      </c>
      <c r="G18" s="30">
        <v>3</v>
      </c>
      <c r="H18" s="16">
        <v>98804121</v>
      </c>
    </row>
    <row r="19" spans="2:8" x14ac:dyDescent="0.25">
      <c r="B19" s="23" t="s">
        <v>51</v>
      </c>
      <c r="C19" s="16">
        <v>131375403</v>
      </c>
      <c r="G19" s="30">
        <v>4</v>
      </c>
      <c r="H19" s="16">
        <v>81847024</v>
      </c>
    </row>
    <row r="20" spans="2:8" x14ac:dyDescent="0.25">
      <c r="B20" s="23" t="s">
        <v>52</v>
      </c>
      <c r="C20" s="16">
        <v>124925619</v>
      </c>
      <c r="G20" s="30">
        <v>5</v>
      </c>
      <c r="H20" s="16">
        <v>77135995</v>
      </c>
    </row>
    <row r="21" spans="2:8" x14ac:dyDescent="0.25">
      <c r="B21" s="23" t="s">
        <v>42</v>
      </c>
      <c r="C21" s="16">
        <v>822507545</v>
      </c>
      <c r="G21" s="30">
        <v>6</v>
      </c>
      <c r="H21" s="16">
        <v>77508135</v>
      </c>
    </row>
    <row r="22" spans="2:8" x14ac:dyDescent="0.25">
      <c r="G22" s="30">
        <v>7</v>
      </c>
      <c r="H22" s="16">
        <v>72765634</v>
      </c>
    </row>
    <row r="23" spans="2:8" x14ac:dyDescent="0.25">
      <c r="B23" s="23" t="s">
        <v>58</v>
      </c>
      <c r="G23" s="30">
        <v>8</v>
      </c>
      <c r="H23" s="16">
        <v>79760921</v>
      </c>
    </row>
    <row r="24" spans="2:8" x14ac:dyDescent="0.25">
      <c r="G24" s="30">
        <v>9</v>
      </c>
      <c r="H24" s="16">
        <v>78052951</v>
      </c>
    </row>
    <row r="25" spans="2:8" x14ac:dyDescent="0.25">
      <c r="B25" s="22" t="s">
        <v>44</v>
      </c>
      <c r="C25" t="s">
        <v>56</v>
      </c>
      <c r="G25" s="30">
        <v>10</v>
      </c>
      <c r="H25" s="16">
        <v>79258997</v>
      </c>
    </row>
    <row r="26" spans="2:8" x14ac:dyDescent="0.25">
      <c r="B26" s="23" t="s">
        <v>55</v>
      </c>
      <c r="C26" s="38">
        <v>563</v>
      </c>
      <c r="G26" s="30" t="s">
        <v>42</v>
      </c>
      <c r="H26" s="16">
        <v>822507545</v>
      </c>
    </row>
    <row r="27" spans="2:8" x14ac:dyDescent="0.25">
      <c r="B27" s="23" t="s">
        <v>57</v>
      </c>
      <c r="C27" s="38">
        <v>532</v>
      </c>
    </row>
    <row r="28" spans="2:8" x14ac:dyDescent="0.25">
      <c r="B28" s="23" t="s">
        <v>42</v>
      </c>
      <c r="C28" s="38">
        <v>1095</v>
      </c>
    </row>
    <row r="30" spans="2:8" x14ac:dyDescent="0.25">
      <c r="B30" s="24" t="s">
        <v>59</v>
      </c>
    </row>
    <row r="32" spans="2:8" x14ac:dyDescent="0.25">
      <c r="B32" s="22" t="s">
        <v>82</v>
      </c>
      <c r="C32" t="s">
        <v>43</v>
      </c>
    </row>
    <row r="33" spans="2:3" x14ac:dyDescent="0.25">
      <c r="B33" s="23" t="s">
        <v>60</v>
      </c>
      <c r="C33" s="16">
        <v>77337543</v>
      </c>
    </row>
    <row r="34" spans="2:3" x14ac:dyDescent="0.25">
      <c r="B34" s="23" t="s">
        <v>61</v>
      </c>
      <c r="C34" s="16">
        <v>75393920</v>
      </c>
    </row>
    <row r="35" spans="2:3" x14ac:dyDescent="0.25">
      <c r="B35" s="23" t="s">
        <v>62</v>
      </c>
      <c r="C35" s="16">
        <v>81949442</v>
      </c>
    </row>
    <row r="36" spans="2:3" x14ac:dyDescent="0.25">
      <c r="B36" s="23" t="s">
        <v>63</v>
      </c>
      <c r="C36" s="16">
        <v>71475896</v>
      </c>
    </row>
    <row r="37" spans="2:3" x14ac:dyDescent="0.25">
      <c r="B37" s="23" t="s">
        <v>64</v>
      </c>
      <c r="C37" s="16">
        <v>84087828</v>
      </c>
    </row>
    <row r="38" spans="2:3" x14ac:dyDescent="0.25">
      <c r="B38" s="23" t="s">
        <v>65</v>
      </c>
      <c r="C38" s="16">
        <v>74287048</v>
      </c>
    </row>
    <row r="39" spans="2:3" x14ac:dyDescent="0.25">
      <c r="B39" s="23" t="s">
        <v>66</v>
      </c>
      <c r="C39" s="16">
        <v>69827375</v>
      </c>
    </row>
    <row r="40" spans="2:3" x14ac:dyDescent="0.25">
      <c r="B40" s="23" t="s">
        <v>67</v>
      </c>
      <c r="C40" s="16">
        <v>62308924</v>
      </c>
    </row>
    <row r="41" spans="2:3" x14ac:dyDescent="0.25">
      <c r="B41" s="23" t="s">
        <v>68</v>
      </c>
      <c r="C41" s="16">
        <v>76800146</v>
      </c>
    </row>
    <row r="42" spans="2:3" x14ac:dyDescent="0.25">
      <c r="B42" s="23" t="s">
        <v>69</v>
      </c>
      <c r="C42" s="16">
        <v>65564078</v>
      </c>
    </row>
    <row r="43" spans="2:3" x14ac:dyDescent="0.25">
      <c r="B43" s="23" t="s">
        <v>70</v>
      </c>
      <c r="C43" s="16">
        <v>65337978</v>
      </c>
    </row>
    <row r="44" spans="2:3" x14ac:dyDescent="0.25">
      <c r="B44" s="23" t="s">
        <v>71</v>
      </c>
      <c r="C44" s="16">
        <v>18137367</v>
      </c>
    </row>
    <row r="45" spans="2:3" x14ac:dyDescent="0.25">
      <c r="B45" s="23" t="s">
        <v>42</v>
      </c>
      <c r="C45" s="16">
        <v>822507545</v>
      </c>
    </row>
  </sheetData>
  <mergeCells count="1">
    <mergeCell ref="A1: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96"/>
  <sheetViews>
    <sheetView zoomScale="89" zoomScaleNormal="89" workbookViewId="0">
      <pane ySplit="1" topLeftCell="A1059" activePane="bottomLeft" state="frozen"/>
      <selection pane="bottomLeft" activeCell="C1" sqref="C1"/>
    </sheetView>
  </sheetViews>
  <sheetFormatPr defaultColWidth="11.25" defaultRowHeight="15" customHeight="1" x14ac:dyDescent="0.25"/>
  <cols>
    <col min="1" max="1" width="18" style="12" customWidth="1"/>
    <col min="2" max="2" width="11.375" customWidth="1"/>
    <col min="3" max="3" width="18.875" hidden="1" customWidth="1"/>
    <col min="4" max="5" width="11.25" customWidth="1"/>
    <col min="6" max="6" width="11.375" style="14" customWidth="1"/>
    <col min="7" max="7" width="10.5" style="14" customWidth="1"/>
    <col min="8" max="8" width="11.75" style="14" customWidth="1"/>
    <col min="9" max="9" width="11.5" style="12" customWidth="1"/>
    <col min="10" max="10" width="23.375" style="16" customWidth="1"/>
    <col min="11" max="11" width="9.5" customWidth="1"/>
    <col min="12" max="12" width="11.25" style="28" customWidth="1"/>
    <col min="13" max="13" width="22.125" style="28" customWidth="1"/>
    <col min="14" max="14" width="15.75" style="28" customWidth="1"/>
    <col min="15" max="15" width="18.375" style="28" customWidth="1"/>
    <col min="16" max="16" width="13.875" style="28" customWidth="1"/>
    <col min="17" max="25" width="11.5" customWidth="1"/>
  </cols>
  <sheetData>
    <row r="1" spans="1:25" ht="15.75" x14ac:dyDescent="0.25">
      <c r="A1" s="17" t="s">
        <v>0</v>
      </c>
      <c r="B1" s="18" t="s">
        <v>1</v>
      </c>
      <c r="C1" s="19" t="s">
        <v>2</v>
      </c>
      <c r="D1" s="19" t="s">
        <v>3</v>
      </c>
      <c r="E1" s="19" t="s">
        <v>4</v>
      </c>
      <c r="F1" s="20" t="s">
        <v>5</v>
      </c>
      <c r="G1" s="20" t="s">
        <v>6</v>
      </c>
      <c r="H1" s="20" t="s">
        <v>7</v>
      </c>
      <c r="I1" s="17" t="s">
        <v>8</v>
      </c>
      <c r="J1" s="21" t="s">
        <v>9</v>
      </c>
      <c r="K1" s="19" t="s">
        <v>10</v>
      </c>
      <c r="L1" s="25" t="s">
        <v>11</v>
      </c>
      <c r="M1" s="25" t="s">
        <v>12</v>
      </c>
      <c r="N1" s="26" t="s">
        <v>40</v>
      </c>
      <c r="O1" s="26" t="s">
        <v>54</v>
      </c>
      <c r="P1" s="26" t="s">
        <v>73</v>
      </c>
      <c r="Q1" s="1"/>
      <c r="R1" s="1"/>
      <c r="S1" s="1"/>
      <c r="T1" s="1"/>
      <c r="U1" s="1"/>
      <c r="V1" s="1"/>
      <c r="W1" s="1"/>
      <c r="X1" s="1"/>
      <c r="Y1" s="1"/>
    </row>
    <row r="2" spans="1:25" ht="15.75" x14ac:dyDescent="0.25">
      <c r="A2" s="2">
        <v>44069</v>
      </c>
      <c r="B2" s="3">
        <v>91270</v>
      </c>
      <c r="C2" s="4" t="s">
        <v>13</v>
      </c>
      <c r="D2" s="4" t="str">
        <f t="shared" ref="D2:D256" si="0">TRIM(LEFT(C2,FIND("-",C2,1)-1))</f>
        <v>Marketing</v>
      </c>
      <c r="E2" s="4" t="str">
        <f t="shared" ref="E2:E256" si="1">TRIM(RIGHT(C2,LEN(C2)-(FIND("-",C2,1))))</f>
        <v>Director</v>
      </c>
      <c r="F2" s="13">
        <v>700</v>
      </c>
      <c r="G2" s="13">
        <v>3</v>
      </c>
      <c r="H2" s="13">
        <v>5</v>
      </c>
      <c r="I2" s="2">
        <v>32436</v>
      </c>
      <c r="J2" s="15">
        <v>724892</v>
      </c>
      <c r="K2" s="4" t="s">
        <v>14</v>
      </c>
      <c r="L2" s="27">
        <f t="shared" ref="L2:L256" si="2">YEAR(I2)</f>
        <v>1988</v>
      </c>
      <c r="M2" s="27">
        <f t="shared" ref="M2:M256" si="3">MONTH(A2)</f>
        <v>8</v>
      </c>
      <c r="N2" s="27">
        <f ca="1" xml:space="preserve"> YEAR(TODAY()) - $L2</f>
        <v>38</v>
      </c>
      <c r="O2" s="27" t="str" cm="1">
        <f t="array" ref="O2">_xlfn.IFS($F2&gt;=750,"Excellent",$F2&gt;=700,"Good",$F2&gt;=650,"Moderate",
$F2&lt;650,"Risky"
)</f>
        <v>Good</v>
      </c>
      <c r="P2" s="27" t="str" cm="1">
        <f t="array" ref="P2">_xlfn.IFS(
AND(F2&gt;=750,H2&lt;=2),"Low Risk",
AND(F2&gt;=700,H2&lt;=5),"Medium Risk",
TRUE,"High Risk"
)</f>
        <v>Medium Risk</v>
      </c>
      <c r="Q2" s="5"/>
      <c r="R2" s="5"/>
      <c r="S2" s="5"/>
      <c r="T2" s="5"/>
      <c r="U2" s="5"/>
      <c r="V2" s="5"/>
      <c r="W2" s="5"/>
      <c r="X2" s="5"/>
      <c r="Y2" s="5"/>
    </row>
    <row r="3" spans="1:25" ht="15.75" x14ac:dyDescent="0.25">
      <c r="A3" s="2">
        <v>43945</v>
      </c>
      <c r="B3" s="3">
        <v>19419</v>
      </c>
      <c r="C3" s="4" t="s">
        <v>15</v>
      </c>
      <c r="D3" s="4" t="str">
        <f t="shared" si="0"/>
        <v>Operation</v>
      </c>
      <c r="E3" s="4" t="str">
        <f t="shared" si="1"/>
        <v>Executive</v>
      </c>
      <c r="F3" s="13">
        <v>738</v>
      </c>
      <c r="G3" s="13">
        <v>1</v>
      </c>
      <c r="H3" s="13">
        <v>10</v>
      </c>
      <c r="I3" s="2">
        <v>33009</v>
      </c>
      <c r="J3" s="15">
        <v>619419</v>
      </c>
      <c r="K3" s="4" t="s">
        <v>14</v>
      </c>
      <c r="L3" s="27">
        <f t="shared" si="2"/>
        <v>1990</v>
      </c>
      <c r="M3" s="27">
        <f t="shared" si="3"/>
        <v>4</v>
      </c>
      <c r="N3" s="27">
        <f t="shared" ref="N3:N66" ca="1" si="4" xml:space="preserve"> YEAR(TODAY()) - $L3</f>
        <v>36</v>
      </c>
      <c r="O3" s="27" t="str" cm="1">
        <f t="array" ref="O3">_xlfn.IFS($F3&gt;=750,"Excellent",$F3&gt;=700,"Good",$F3&gt;=650,"Moderate",
$F3&lt;650,"Risky"
)</f>
        <v>Good</v>
      </c>
      <c r="P3" s="27" t="str" cm="1">
        <f t="array" ref="P3">_xlfn.IFS(
AND(F3&gt;=750,H3&lt;=2),"Low Risk",
AND(F3&gt;=700,H3&lt;=5),"Medium Risk",
TRUE,"High Risk"
)</f>
        <v>High Risk</v>
      </c>
      <c r="Q3" s="5"/>
      <c r="R3" s="5"/>
      <c r="S3" s="5"/>
      <c r="T3" s="5"/>
      <c r="U3" s="5"/>
      <c r="V3" s="5"/>
      <c r="W3" s="5"/>
      <c r="X3" s="5"/>
      <c r="Y3" s="5"/>
    </row>
    <row r="4" spans="1:25" ht="15.75" x14ac:dyDescent="0.25">
      <c r="A4" s="2">
        <v>44099</v>
      </c>
      <c r="B4" s="3">
        <v>33678</v>
      </c>
      <c r="C4" s="4" t="s">
        <v>16</v>
      </c>
      <c r="D4" s="4" t="str">
        <f t="shared" si="0"/>
        <v>Marketing</v>
      </c>
      <c r="E4" s="4" t="str">
        <f t="shared" si="1"/>
        <v>Executive</v>
      </c>
      <c r="F4" s="13">
        <v>797</v>
      </c>
      <c r="G4" s="13">
        <v>5</v>
      </c>
      <c r="H4" s="13">
        <v>9</v>
      </c>
      <c r="I4" s="2">
        <v>33617</v>
      </c>
      <c r="J4" s="15">
        <v>546715</v>
      </c>
      <c r="K4" s="4" t="s">
        <v>14</v>
      </c>
      <c r="L4" s="27">
        <f t="shared" si="2"/>
        <v>1992</v>
      </c>
      <c r="M4" s="27">
        <f t="shared" si="3"/>
        <v>9</v>
      </c>
      <c r="N4" s="27">
        <f t="shared" ca="1" si="4"/>
        <v>34</v>
      </c>
      <c r="O4" s="27" t="str" cm="1">
        <f t="array" ref="O4">_xlfn.IFS($F4&gt;=750,"Excellent",$F4&gt;=700,"Good",$F4&gt;=650,"Moderate",
$F4&lt;650,"Risky"
)</f>
        <v>Excellent</v>
      </c>
      <c r="P4" s="27" t="str" cm="1">
        <f t="array" ref="P4">_xlfn.IFS(
AND(F4&gt;=750,H4&lt;=2),"Low Risk",
AND(F4&gt;=700,H4&lt;=5),"Medium Risk",
TRUE,"High Risk"
)</f>
        <v>High Risk</v>
      </c>
      <c r="Q4" s="5"/>
      <c r="R4" s="5"/>
      <c r="S4" s="5"/>
      <c r="T4" s="5"/>
      <c r="U4" s="5"/>
      <c r="V4" s="5"/>
      <c r="W4" s="5"/>
      <c r="X4" s="5"/>
      <c r="Y4" s="5"/>
    </row>
    <row r="5" spans="1:25" ht="15.75" x14ac:dyDescent="0.25">
      <c r="A5" s="2">
        <v>44032</v>
      </c>
      <c r="B5" s="3">
        <v>66356</v>
      </c>
      <c r="C5" s="4" t="s">
        <v>17</v>
      </c>
      <c r="D5" s="4" t="str">
        <f t="shared" si="0"/>
        <v>Growth</v>
      </c>
      <c r="E5" s="4" t="str">
        <f t="shared" si="1"/>
        <v>Manager</v>
      </c>
      <c r="F5" s="13">
        <v>798</v>
      </c>
      <c r="G5" s="13">
        <v>1</v>
      </c>
      <c r="H5" s="13">
        <v>3</v>
      </c>
      <c r="I5" s="2">
        <v>31680</v>
      </c>
      <c r="J5" s="15">
        <v>591212</v>
      </c>
      <c r="K5" s="4" t="s">
        <v>18</v>
      </c>
      <c r="L5" s="27">
        <f t="shared" si="2"/>
        <v>1986</v>
      </c>
      <c r="M5" s="27">
        <f t="shared" si="3"/>
        <v>7</v>
      </c>
      <c r="N5" s="27">
        <f t="shared" ca="1" si="4"/>
        <v>40</v>
      </c>
      <c r="O5" s="27" t="str" cm="1">
        <f t="array" ref="O5">_xlfn.IFS($F5&gt;=750,"Excellent",$F5&gt;=700,"Good",$F5&gt;=650,"Moderate",
$F5&lt;650,"Risky"
)</f>
        <v>Excellent</v>
      </c>
      <c r="P5" s="27" t="str" cm="1">
        <f t="array" ref="P5">_xlfn.IFS(
AND(F5&gt;=750,H5&lt;=2),"Low Risk",
AND(F5&gt;=700,H5&lt;=5),"Medium Risk",
TRUE,"High Risk"
)</f>
        <v>Medium Risk</v>
      </c>
      <c r="Q5" s="5"/>
      <c r="R5" s="5"/>
      <c r="S5" s="5"/>
      <c r="T5" s="5"/>
      <c r="U5" s="5"/>
      <c r="V5" s="5"/>
      <c r="W5" s="5"/>
      <c r="X5" s="5"/>
      <c r="Y5" s="5"/>
    </row>
    <row r="6" spans="1:25" ht="15.75" x14ac:dyDescent="0.25">
      <c r="A6" s="2">
        <v>43847</v>
      </c>
      <c r="B6" s="3">
        <v>85241</v>
      </c>
      <c r="C6" s="4" t="s">
        <v>19</v>
      </c>
      <c r="D6" s="4" t="str">
        <f t="shared" si="0"/>
        <v>Marketing</v>
      </c>
      <c r="E6" s="4" t="str">
        <f t="shared" si="1"/>
        <v>Manager</v>
      </c>
      <c r="F6" s="13">
        <v>712</v>
      </c>
      <c r="G6" s="13">
        <v>2</v>
      </c>
      <c r="H6" s="13">
        <v>2</v>
      </c>
      <c r="I6" s="2">
        <v>34019</v>
      </c>
      <c r="J6" s="15">
        <v>853015</v>
      </c>
      <c r="K6" s="4" t="s">
        <v>14</v>
      </c>
      <c r="L6" s="27">
        <f t="shared" si="2"/>
        <v>1993</v>
      </c>
      <c r="M6" s="27">
        <f t="shared" si="3"/>
        <v>1</v>
      </c>
      <c r="N6" s="27">
        <f t="shared" ca="1" si="4"/>
        <v>33</v>
      </c>
      <c r="O6" s="27" t="str" cm="1">
        <f t="array" ref="O6">_xlfn.IFS($F6&gt;=750,"Excellent",$F6&gt;=700,"Good",$F6&gt;=650,"Moderate",
$F6&lt;650,"Risky"
)</f>
        <v>Good</v>
      </c>
      <c r="P6" s="27" t="str" cm="1">
        <f t="array" ref="P6">_xlfn.IFS(
AND(F6&gt;=750,H6&lt;=2),"Low Risk",
AND(F6&gt;=700,H6&lt;=5),"Medium Risk",
TRUE,"High Risk"
)</f>
        <v>Medium Risk</v>
      </c>
      <c r="Q6" s="5"/>
      <c r="R6" s="5"/>
      <c r="S6" s="5"/>
      <c r="T6" s="5"/>
      <c r="U6" s="5"/>
      <c r="V6" s="5"/>
      <c r="W6" s="5"/>
      <c r="X6" s="5"/>
      <c r="Y6" s="5"/>
    </row>
    <row r="7" spans="1:25" ht="15.75" x14ac:dyDescent="0.25">
      <c r="A7" s="2">
        <v>43997</v>
      </c>
      <c r="B7" s="3">
        <v>83733</v>
      </c>
      <c r="C7" s="4" t="s">
        <v>20</v>
      </c>
      <c r="D7" s="4" t="str">
        <f t="shared" si="0"/>
        <v>Operation</v>
      </c>
      <c r="E7" s="4" t="str">
        <f t="shared" si="1"/>
        <v>Manager</v>
      </c>
      <c r="F7" s="13">
        <v>783</v>
      </c>
      <c r="G7" s="13">
        <v>4</v>
      </c>
      <c r="H7" s="13">
        <v>3</v>
      </c>
      <c r="I7" s="2">
        <v>30911</v>
      </c>
      <c r="J7" s="15">
        <v>873595</v>
      </c>
      <c r="K7" s="4" t="s">
        <v>21</v>
      </c>
      <c r="L7" s="27">
        <f t="shared" si="2"/>
        <v>1984</v>
      </c>
      <c r="M7" s="27">
        <f t="shared" si="3"/>
        <v>6</v>
      </c>
      <c r="N7" s="27">
        <f t="shared" ca="1" si="4"/>
        <v>42</v>
      </c>
      <c r="O7" s="27" t="str" cm="1">
        <f t="array" ref="O7">_xlfn.IFS($F7&gt;=750,"Excellent",$F7&gt;=700,"Good",$F7&gt;=650,"Moderate",
$F7&lt;650,"Risky"
)</f>
        <v>Excellent</v>
      </c>
      <c r="P7" s="27" t="str" cm="1">
        <f t="array" ref="P7">_xlfn.IFS(
AND(F7&gt;=750,H7&lt;=2),"Low Risk",
AND(F7&gt;=700,H7&lt;=5),"Medium Risk",
TRUE,"High Risk"
)</f>
        <v>Medium Risk</v>
      </c>
      <c r="Q7" s="5"/>
      <c r="R7" s="5"/>
      <c r="S7" s="5"/>
      <c r="T7" s="5"/>
      <c r="U7" s="5"/>
      <c r="V7" s="5"/>
      <c r="W7" s="5"/>
      <c r="X7" s="5"/>
      <c r="Y7" s="5"/>
    </row>
    <row r="8" spans="1:25" ht="15.75" x14ac:dyDescent="0.25">
      <c r="A8" s="2">
        <v>43919</v>
      </c>
      <c r="B8" s="3">
        <v>40255</v>
      </c>
      <c r="C8" s="4" t="s">
        <v>22</v>
      </c>
      <c r="D8" s="4" t="str">
        <f t="shared" si="0"/>
        <v>Strategy</v>
      </c>
      <c r="E8" s="4" t="str">
        <f t="shared" si="1"/>
        <v>Executive</v>
      </c>
      <c r="F8" s="13">
        <v>725</v>
      </c>
      <c r="G8" s="13">
        <v>1</v>
      </c>
      <c r="H8" s="13">
        <v>5</v>
      </c>
      <c r="I8" s="2">
        <v>30420</v>
      </c>
      <c r="J8" s="15">
        <v>779732</v>
      </c>
      <c r="K8" s="4" t="s">
        <v>21</v>
      </c>
      <c r="L8" s="27">
        <f t="shared" si="2"/>
        <v>1983</v>
      </c>
      <c r="M8" s="27">
        <f t="shared" si="3"/>
        <v>3</v>
      </c>
      <c r="N8" s="27">
        <f t="shared" ca="1" si="4"/>
        <v>43</v>
      </c>
      <c r="O8" s="27" t="str" cm="1">
        <f t="array" ref="O8">_xlfn.IFS($F8&gt;=750,"Excellent",$F8&gt;=700,"Good",$F8&gt;=650,"Moderate",
$F8&lt;650,"Risky"
)</f>
        <v>Good</v>
      </c>
      <c r="P8" s="27" t="str" cm="1">
        <f t="array" ref="P8">_xlfn.IFS(
AND(F8&gt;=750,H8&lt;=2),"Low Risk",
AND(F8&gt;=700,H8&lt;=5),"Medium Risk",
TRUE,"High Risk"
)</f>
        <v>Medium Risk</v>
      </c>
      <c r="Q8" s="5"/>
      <c r="R8" s="5"/>
      <c r="S8" s="5"/>
      <c r="T8" s="5"/>
      <c r="U8" s="5"/>
      <c r="V8" s="5"/>
      <c r="W8" s="5"/>
      <c r="X8" s="5"/>
      <c r="Y8" s="5"/>
    </row>
    <row r="9" spans="1:25" ht="15.75" x14ac:dyDescent="0.25">
      <c r="A9" s="2">
        <v>44063</v>
      </c>
      <c r="B9" s="3">
        <v>23150</v>
      </c>
      <c r="C9" s="4" t="s">
        <v>23</v>
      </c>
      <c r="D9" s="4" t="str">
        <f t="shared" si="0"/>
        <v>Marketing</v>
      </c>
      <c r="E9" s="4" t="str">
        <f t="shared" si="1"/>
        <v>Intern</v>
      </c>
      <c r="F9" s="13">
        <v>795</v>
      </c>
      <c r="G9" s="13">
        <v>3</v>
      </c>
      <c r="H9" s="13">
        <v>1</v>
      </c>
      <c r="I9" s="2">
        <v>33696</v>
      </c>
      <c r="J9" s="15">
        <v>827502</v>
      </c>
      <c r="K9" s="4" t="s">
        <v>14</v>
      </c>
      <c r="L9" s="27">
        <f t="shared" si="2"/>
        <v>1992</v>
      </c>
      <c r="M9" s="27">
        <f t="shared" si="3"/>
        <v>8</v>
      </c>
      <c r="N9" s="27">
        <f t="shared" ca="1" si="4"/>
        <v>34</v>
      </c>
      <c r="O9" s="27" t="str" cm="1">
        <f t="array" ref="O9">_xlfn.IFS($F9&gt;=750,"Excellent",$F9&gt;=700,"Good",$F9&gt;=650,"Moderate",
$F9&lt;650,"Risky"
)</f>
        <v>Excellent</v>
      </c>
      <c r="P9" s="27" t="str" cm="1">
        <f t="array" ref="P9">_xlfn.IFS(
AND(F9&gt;=750,H9&lt;=2),"Low Risk",
AND(F9&gt;=700,H9&lt;=5),"Medium Risk",
TRUE,"High Risk"
)</f>
        <v>Low Risk</v>
      </c>
      <c r="Q9" s="5"/>
      <c r="R9" s="5"/>
      <c r="S9" s="5"/>
      <c r="T9" s="5"/>
      <c r="U9" s="5"/>
      <c r="V9" s="5"/>
      <c r="W9" s="5"/>
      <c r="X9" s="5"/>
      <c r="Y9" s="5"/>
    </row>
    <row r="10" spans="1:25" ht="15.75" x14ac:dyDescent="0.25">
      <c r="A10" s="2">
        <v>43926</v>
      </c>
      <c r="B10" s="3">
        <v>61923</v>
      </c>
      <c r="C10" s="4" t="s">
        <v>24</v>
      </c>
      <c r="D10" s="4" t="str">
        <f t="shared" si="0"/>
        <v>Strategy</v>
      </c>
      <c r="E10" s="4" t="str">
        <f t="shared" si="1"/>
        <v>Intern</v>
      </c>
      <c r="F10" s="13">
        <v>730</v>
      </c>
      <c r="G10" s="13">
        <v>4</v>
      </c>
      <c r="H10" s="13">
        <v>2</v>
      </c>
      <c r="I10" s="2">
        <v>34492</v>
      </c>
      <c r="J10" s="15">
        <v>939272</v>
      </c>
      <c r="K10" s="4" t="s">
        <v>14</v>
      </c>
      <c r="L10" s="27">
        <f t="shared" si="2"/>
        <v>1994</v>
      </c>
      <c r="M10" s="27">
        <f t="shared" si="3"/>
        <v>4</v>
      </c>
      <c r="N10" s="27">
        <f t="shared" ca="1" si="4"/>
        <v>32</v>
      </c>
      <c r="O10" s="27" t="str" cm="1">
        <f t="array" ref="O10">_xlfn.IFS($F10&gt;=750,"Excellent",$F10&gt;=700,"Good",$F10&gt;=650,"Moderate",
$F10&lt;650,"Risky"
)</f>
        <v>Good</v>
      </c>
      <c r="P10" s="27" t="str" cm="1">
        <f t="array" ref="P10">_xlfn.IFS(
AND(F10&gt;=750,H10&lt;=2),"Low Risk",
AND(F10&gt;=700,H10&lt;=5),"Medium Risk",
TRUE,"High Risk"
)</f>
        <v>Medium Risk</v>
      </c>
      <c r="Q10" s="5"/>
      <c r="R10" s="5"/>
      <c r="S10" s="5"/>
      <c r="T10" s="5"/>
      <c r="U10" s="5"/>
      <c r="V10" s="5"/>
      <c r="W10" s="5"/>
      <c r="X10" s="5"/>
      <c r="Y10" s="5"/>
    </row>
    <row r="11" spans="1:25" ht="15.75" x14ac:dyDescent="0.25">
      <c r="A11" s="2">
        <v>43952</v>
      </c>
      <c r="B11" s="3">
        <v>32314</v>
      </c>
      <c r="C11" s="4" t="s">
        <v>25</v>
      </c>
      <c r="D11" s="4" t="str">
        <f t="shared" si="0"/>
        <v>Sales</v>
      </c>
      <c r="E11" s="4" t="str">
        <f t="shared" si="1"/>
        <v>Manager</v>
      </c>
      <c r="F11" s="13">
        <v>711</v>
      </c>
      <c r="G11" s="13">
        <v>5</v>
      </c>
      <c r="H11" s="13">
        <v>4</v>
      </c>
      <c r="I11" s="2">
        <v>32747</v>
      </c>
      <c r="J11" s="15">
        <v>748267</v>
      </c>
      <c r="K11" s="4" t="s">
        <v>14</v>
      </c>
      <c r="L11" s="27">
        <f t="shared" si="2"/>
        <v>1989</v>
      </c>
      <c r="M11" s="27">
        <f t="shared" si="3"/>
        <v>5</v>
      </c>
      <c r="N11" s="27">
        <f t="shared" ca="1" si="4"/>
        <v>37</v>
      </c>
      <c r="O11" s="27" t="str" cm="1">
        <f t="array" ref="O11">_xlfn.IFS($F11&gt;=750,"Excellent",$F11&gt;=700,"Good",$F11&gt;=650,"Moderate",
$F11&lt;650,"Risky"
)</f>
        <v>Good</v>
      </c>
      <c r="P11" s="27" t="str" cm="1">
        <f t="array" ref="P11">_xlfn.IFS(
AND(F11&gt;=750,H11&lt;=2),"Low Risk",
AND(F11&gt;=700,H11&lt;=5),"Medium Risk",
TRUE,"High Risk"
)</f>
        <v>Medium Risk</v>
      </c>
      <c r="Q11" s="5"/>
      <c r="R11" s="5"/>
      <c r="S11" s="5"/>
      <c r="T11" s="5"/>
      <c r="U11" s="5"/>
      <c r="V11" s="5"/>
      <c r="W11" s="5"/>
      <c r="X11" s="5"/>
      <c r="Y11" s="5"/>
    </row>
    <row r="12" spans="1:25" ht="15.75" x14ac:dyDescent="0.25">
      <c r="A12" s="2">
        <v>44158</v>
      </c>
      <c r="B12" s="3">
        <v>51904</v>
      </c>
      <c r="C12" s="4" t="s">
        <v>16</v>
      </c>
      <c r="D12" s="4" t="str">
        <f t="shared" si="0"/>
        <v>Marketing</v>
      </c>
      <c r="E12" s="4" t="str">
        <f t="shared" si="1"/>
        <v>Executive</v>
      </c>
      <c r="F12" s="13">
        <v>718</v>
      </c>
      <c r="G12" s="13">
        <v>4</v>
      </c>
      <c r="H12" s="13">
        <v>10</v>
      </c>
      <c r="I12" s="2">
        <v>33368</v>
      </c>
      <c r="J12" s="15">
        <v>845409</v>
      </c>
      <c r="K12" s="4" t="s">
        <v>14</v>
      </c>
      <c r="L12" s="27">
        <f t="shared" si="2"/>
        <v>1991</v>
      </c>
      <c r="M12" s="27">
        <f t="shared" si="3"/>
        <v>11</v>
      </c>
      <c r="N12" s="27">
        <f t="shared" ca="1" si="4"/>
        <v>35</v>
      </c>
      <c r="O12" s="27" t="str" cm="1">
        <f t="array" ref="O12">_xlfn.IFS($F12&gt;=750,"Excellent",$F12&gt;=700,"Good",$F12&gt;=650,"Moderate",
$F12&lt;650,"Risky"
)</f>
        <v>Good</v>
      </c>
      <c r="P12" s="27" t="str" cm="1">
        <f t="array" ref="P12">_xlfn.IFS(
AND(F12&gt;=750,H12&lt;=2),"Low Risk",
AND(F12&gt;=700,H12&lt;=5),"Medium Risk",
TRUE,"High Risk"
)</f>
        <v>High Risk</v>
      </c>
      <c r="Q12" s="5"/>
      <c r="R12" s="5"/>
      <c r="S12" s="5"/>
      <c r="T12" s="5"/>
      <c r="U12" s="5"/>
      <c r="V12" s="5"/>
      <c r="W12" s="5"/>
      <c r="X12" s="5"/>
      <c r="Y12" s="5"/>
    </row>
    <row r="13" spans="1:25" ht="15.75" x14ac:dyDescent="0.25">
      <c r="A13" s="2">
        <v>43977</v>
      </c>
      <c r="B13" s="3">
        <v>10949</v>
      </c>
      <c r="C13" s="4" t="s">
        <v>26</v>
      </c>
      <c r="D13" s="4" t="str">
        <f t="shared" si="0"/>
        <v>Strategy</v>
      </c>
      <c r="E13" s="4" t="str">
        <f t="shared" si="1"/>
        <v>Manager</v>
      </c>
      <c r="F13" s="13">
        <v>701</v>
      </c>
      <c r="G13" s="13">
        <v>5</v>
      </c>
      <c r="H13" s="13">
        <v>4</v>
      </c>
      <c r="I13" s="2">
        <v>33211</v>
      </c>
      <c r="J13" s="15">
        <v>855796</v>
      </c>
      <c r="K13" s="4" t="s">
        <v>14</v>
      </c>
      <c r="L13" s="27">
        <f t="shared" si="2"/>
        <v>1990</v>
      </c>
      <c r="M13" s="27">
        <f t="shared" si="3"/>
        <v>5</v>
      </c>
      <c r="N13" s="27">
        <f t="shared" ca="1" si="4"/>
        <v>36</v>
      </c>
      <c r="O13" s="27" t="str" cm="1">
        <f t="array" ref="O13">_xlfn.IFS($F13&gt;=750,"Excellent",$F13&gt;=700,"Good",$F13&gt;=650,"Moderate",
$F13&lt;650,"Risky"
)</f>
        <v>Good</v>
      </c>
      <c r="P13" s="27" t="str" cm="1">
        <f t="array" ref="P13">_xlfn.IFS(
AND(F13&gt;=750,H13&lt;=2),"Low Risk",
AND(F13&gt;=700,H13&lt;=5),"Medium Risk",
TRUE,"High Risk"
)</f>
        <v>Medium Risk</v>
      </c>
      <c r="Q13" s="5"/>
      <c r="R13" s="5"/>
      <c r="S13" s="5"/>
      <c r="T13" s="5"/>
      <c r="U13" s="5"/>
      <c r="V13" s="5"/>
      <c r="W13" s="5"/>
      <c r="X13" s="5"/>
      <c r="Y13" s="5"/>
    </row>
    <row r="14" spans="1:25" ht="15.75" x14ac:dyDescent="0.25">
      <c r="A14" s="2">
        <v>43865</v>
      </c>
      <c r="B14" s="3">
        <v>42544</v>
      </c>
      <c r="C14" s="4" t="s">
        <v>27</v>
      </c>
      <c r="D14" s="4" t="str">
        <f t="shared" si="0"/>
        <v>Operation</v>
      </c>
      <c r="E14" s="4" t="str">
        <f t="shared" si="1"/>
        <v>Intern</v>
      </c>
      <c r="F14" s="13">
        <v>776</v>
      </c>
      <c r="G14" s="13">
        <v>2</v>
      </c>
      <c r="H14" s="13">
        <v>3</v>
      </c>
      <c r="I14" s="2">
        <v>32398</v>
      </c>
      <c r="J14" s="15">
        <v>558415</v>
      </c>
      <c r="K14" s="4" t="s">
        <v>18</v>
      </c>
      <c r="L14" s="27">
        <f t="shared" si="2"/>
        <v>1988</v>
      </c>
      <c r="M14" s="27">
        <f t="shared" si="3"/>
        <v>2</v>
      </c>
      <c r="N14" s="27">
        <f t="shared" ca="1" si="4"/>
        <v>38</v>
      </c>
      <c r="O14" s="27" t="str" cm="1">
        <f t="array" ref="O14">_xlfn.IFS($F14&gt;=750,"Excellent",$F14&gt;=700,"Good",$F14&gt;=650,"Moderate",
$F14&lt;650,"Risky"
)</f>
        <v>Excellent</v>
      </c>
      <c r="P14" s="27" t="str" cm="1">
        <f t="array" ref="P14">_xlfn.IFS(
AND(F14&gt;=750,H14&lt;=2),"Low Risk",
AND(F14&gt;=700,H14&lt;=5),"Medium Risk",
TRUE,"High Risk"
)</f>
        <v>Medium Risk</v>
      </c>
      <c r="Q14" s="5"/>
      <c r="R14" s="5"/>
      <c r="S14" s="5"/>
      <c r="T14" s="5"/>
      <c r="U14" s="5"/>
      <c r="V14" s="5"/>
      <c r="W14" s="5"/>
      <c r="X14" s="5"/>
      <c r="Y14" s="5"/>
    </row>
    <row r="15" spans="1:25" ht="15.75" x14ac:dyDescent="0.25">
      <c r="A15" s="2">
        <v>44072</v>
      </c>
      <c r="B15" s="3">
        <v>10892</v>
      </c>
      <c r="C15" s="4" t="s">
        <v>20</v>
      </c>
      <c r="D15" s="4" t="str">
        <f t="shared" si="0"/>
        <v>Operation</v>
      </c>
      <c r="E15" s="4" t="str">
        <f t="shared" si="1"/>
        <v>Manager</v>
      </c>
      <c r="F15" s="13">
        <v>719</v>
      </c>
      <c r="G15" s="13">
        <v>2</v>
      </c>
      <c r="H15" s="13">
        <v>3</v>
      </c>
      <c r="I15" s="2">
        <v>31640</v>
      </c>
      <c r="J15" s="15">
        <v>832131</v>
      </c>
      <c r="K15" s="4" t="s">
        <v>18</v>
      </c>
      <c r="L15" s="27">
        <f t="shared" si="2"/>
        <v>1986</v>
      </c>
      <c r="M15" s="27">
        <f t="shared" si="3"/>
        <v>8</v>
      </c>
      <c r="N15" s="27">
        <f t="shared" ca="1" si="4"/>
        <v>40</v>
      </c>
      <c r="O15" s="27" t="str" cm="1">
        <f t="array" ref="O15">_xlfn.IFS($F15&gt;=750,"Excellent",$F15&gt;=700,"Good",$F15&gt;=650,"Moderate",
$F15&lt;650,"Risky"
)</f>
        <v>Good</v>
      </c>
      <c r="P15" s="27" t="str" cm="1">
        <f t="array" ref="P15">_xlfn.IFS(
AND(F15&gt;=750,H15&lt;=2),"Low Risk",
AND(F15&gt;=700,H15&lt;=5),"Medium Risk",
TRUE,"High Risk"
)</f>
        <v>Medium Risk</v>
      </c>
      <c r="Q15" s="5"/>
      <c r="R15" s="5"/>
      <c r="S15" s="5"/>
      <c r="T15" s="5"/>
      <c r="U15" s="5"/>
      <c r="V15" s="5"/>
      <c r="W15" s="5"/>
      <c r="X15" s="5"/>
      <c r="Y15" s="5"/>
    </row>
    <row r="16" spans="1:25" ht="15.75" x14ac:dyDescent="0.25">
      <c r="A16" s="2">
        <v>43901</v>
      </c>
      <c r="B16" s="3">
        <v>11082</v>
      </c>
      <c r="C16" s="4" t="s">
        <v>28</v>
      </c>
      <c r="D16" s="4" t="str">
        <f t="shared" si="0"/>
        <v>Growth</v>
      </c>
      <c r="E16" s="4" t="str">
        <f t="shared" si="1"/>
        <v>Director</v>
      </c>
      <c r="F16" s="13">
        <v>789</v>
      </c>
      <c r="G16" s="13">
        <v>2</v>
      </c>
      <c r="H16" s="13">
        <v>4</v>
      </c>
      <c r="I16" s="2">
        <v>33821</v>
      </c>
      <c r="J16" s="15">
        <v>729265</v>
      </c>
      <c r="K16" s="4" t="s">
        <v>14</v>
      </c>
      <c r="L16" s="27">
        <f t="shared" si="2"/>
        <v>1992</v>
      </c>
      <c r="M16" s="27">
        <f t="shared" si="3"/>
        <v>3</v>
      </c>
      <c r="N16" s="27">
        <f t="shared" ca="1" si="4"/>
        <v>34</v>
      </c>
      <c r="O16" s="27" t="str" cm="1">
        <f t="array" ref="O16">_xlfn.IFS($F16&gt;=750,"Excellent",$F16&gt;=700,"Good",$F16&gt;=650,"Moderate",
$F16&lt;650,"Risky"
)</f>
        <v>Excellent</v>
      </c>
      <c r="P16" s="27" t="str" cm="1">
        <f t="array" ref="P16">_xlfn.IFS(
AND(F16&gt;=750,H16&lt;=2),"Low Risk",
AND(F16&gt;=700,H16&lt;=5),"Medium Risk",
TRUE,"High Risk"
)</f>
        <v>Medium Risk</v>
      </c>
      <c r="Q16" s="5"/>
      <c r="R16" s="5"/>
      <c r="S16" s="5"/>
      <c r="T16" s="5"/>
      <c r="U16" s="5"/>
      <c r="V16" s="5"/>
      <c r="W16" s="5"/>
      <c r="X16" s="5"/>
      <c r="Y16" s="5"/>
    </row>
    <row r="17" spans="1:25" ht="15.75" x14ac:dyDescent="0.25">
      <c r="A17" s="2">
        <v>43837</v>
      </c>
      <c r="B17" s="3">
        <v>23890</v>
      </c>
      <c r="C17" s="4" t="s">
        <v>29</v>
      </c>
      <c r="D17" s="4" t="str">
        <f t="shared" si="0"/>
        <v>Sales</v>
      </c>
      <c r="E17" s="4" t="str">
        <f t="shared" si="1"/>
        <v>Director</v>
      </c>
      <c r="F17" s="13">
        <v>800</v>
      </c>
      <c r="G17" s="13">
        <v>1</v>
      </c>
      <c r="H17" s="13">
        <v>3</v>
      </c>
      <c r="I17" s="2">
        <v>33954</v>
      </c>
      <c r="J17" s="15">
        <v>689012</v>
      </c>
      <c r="K17" s="4" t="s">
        <v>21</v>
      </c>
      <c r="L17" s="27">
        <f t="shared" si="2"/>
        <v>1992</v>
      </c>
      <c r="M17" s="27">
        <f t="shared" si="3"/>
        <v>1</v>
      </c>
      <c r="N17" s="27">
        <f t="shared" ca="1" si="4"/>
        <v>34</v>
      </c>
      <c r="O17" s="27" t="str" cm="1">
        <f t="array" ref="O17">_xlfn.IFS($F17&gt;=750,"Excellent",$F17&gt;=700,"Good",$F17&gt;=650,"Moderate",
$F17&lt;650,"Risky"
)</f>
        <v>Excellent</v>
      </c>
      <c r="P17" s="27" t="str" cm="1">
        <f t="array" ref="P17">_xlfn.IFS(
AND(F17&gt;=750,H17&lt;=2),"Low Risk",
AND(F17&gt;=700,H17&lt;=5),"Medium Risk",
TRUE,"High Risk"
)</f>
        <v>Medium Risk</v>
      </c>
      <c r="Q17" s="5"/>
      <c r="R17" s="5"/>
      <c r="S17" s="5"/>
      <c r="T17" s="5"/>
      <c r="U17" s="5"/>
      <c r="V17" s="5"/>
      <c r="W17" s="5"/>
      <c r="X17" s="5"/>
      <c r="Y17" s="5"/>
    </row>
    <row r="18" spans="1:25" ht="15.75" x14ac:dyDescent="0.25">
      <c r="A18" s="2">
        <v>43985</v>
      </c>
      <c r="B18" s="3">
        <v>60179</v>
      </c>
      <c r="C18" s="4" t="s">
        <v>24</v>
      </c>
      <c r="D18" s="4" t="str">
        <f t="shared" si="0"/>
        <v>Strategy</v>
      </c>
      <c r="E18" s="4" t="str">
        <f t="shared" si="1"/>
        <v>Intern</v>
      </c>
      <c r="F18" s="13">
        <v>799</v>
      </c>
      <c r="G18" s="13">
        <v>5</v>
      </c>
      <c r="H18" s="13">
        <v>1</v>
      </c>
      <c r="I18" s="2">
        <v>33634</v>
      </c>
      <c r="J18" s="15">
        <v>520227</v>
      </c>
      <c r="K18" s="4" t="s">
        <v>14</v>
      </c>
      <c r="L18" s="27">
        <f t="shared" si="2"/>
        <v>1992</v>
      </c>
      <c r="M18" s="27">
        <f t="shared" si="3"/>
        <v>6</v>
      </c>
      <c r="N18" s="27">
        <f t="shared" ca="1" si="4"/>
        <v>34</v>
      </c>
      <c r="O18" s="27" t="str" cm="1">
        <f t="array" ref="O18">_xlfn.IFS($F18&gt;=750,"Excellent",$F18&gt;=700,"Good",$F18&gt;=650,"Moderate",
$F18&lt;650,"Risky"
)</f>
        <v>Excellent</v>
      </c>
      <c r="P18" s="27" t="str" cm="1">
        <f t="array" ref="P18">_xlfn.IFS(
AND(F18&gt;=750,H18&lt;=2),"Low Risk",
AND(F18&gt;=700,H18&lt;=5),"Medium Risk",
TRUE,"High Risk"
)</f>
        <v>Low Risk</v>
      </c>
      <c r="Q18" s="5"/>
      <c r="R18" s="5"/>
      <c r="S18" s="5"/>
      <c r="T18" s="5"/>
      <c r="U18" s="5"/>
      <c r="V18" s="5"/>
      <c r="W18" s="5"/>
      <c r="X18" s="5"/>
      <c r="Y18" s="5"/>
    </row>
    <row r="19" spans="1:25" ht="15.75" x14ac:dyDescent="0.25">
      <c r="A19" s="2">
        <v>43934</v>
      </c>
      <c r="B19" s="3">
        <v>99876</v>
      </c>
      <c r="C19" s="4" t="s">
        <v>19</v>
      </c>
      <c r="D19" s="4" t="str">
        <f t="shared" si="0"/>
        <v>Marketing</v>
      </c>
      <c r="E19" s="4" t="str">
        <f t="shared" si="1"/>
        <v>Manager</v>
      </c>
      <c r="F19" s="13">
        <v>734</v>
      </c>
      <c r="G19" s="13">
        <v>2</v>
      </c>
      <c r="H19" s="13">
        <v>9</v>
      </c>
      <c r="I19" s="2">
        <v>29273</v>
      </c>
      <c r="J19" s="15">
        <v>751406</v>
      </c>
      <c r="K19" s="4" t="s">
        <v>21</v>
      </c>
      <c r="L19" s="27">
        <f t="shared" si="2"/>
        <v>1980</v>
      </c>
      <c r="M19" s="27">
        <f t="shared" si="3"/>
        <v>4</v>
      </c>
      <c r="N19" s="27">
        <f t="shared" ca="1" si="4"/>
        <v>46</v>
      </c>
      <c r="O19" s="27" t="str" cm="1">
        <f t="array" ref="O19">_xlfn.IFS($F19&gt;=750,"Excellent",$F19&gt;=700,"Good",$F19&gt;=650,"Moderate",
$F19&lt;650,"Risky"
)</f>
        <v>Good</v>
      </c>
      <c r="P19" s="27" t="str" cm="1">
        <f t="array" ref="P19">_xlfn.IFS(
AND(F19&gt;=750,H19&lt;=2),"Low Risk",
AND(F19&gt;=700,H19&lt;=5),"Medium Risk",
TRUE,"High Risk"
)</f>
        <v>High Risk</v>
      </c>
      <c r="Q19" s="5"/>
      <c r="R19" s="5"/>
      <c r="S19" s="5"/>
      <c r="T19" s="5"/>
      <c r="U19" s="5"/>
      <c r="V19" s="5"/>
      <c r="W19" s="5"/>
      <c r="X19" s="5"/>
      <c r="Y19" s="5"/>
    </row>
    <row r="20" spans="1:25" ht="15.75" x14ac:dyDescent="0.25">
      <c r="A20" s="2">
        <v>44058</v>
      </c>
      <c r="B20" s="3">
        <v>35086</v>
      </c>
      <c r="C20" s="4" t="s">
        <v>30</v>
      </c>
      <c r="D20" s="4" t="str">
        <f t="shared" si="0"/>
        <v>Operation</v>
      </c>
      <c r="E20" s="4" t="str">
        <f t="shared" si="1"/>
        <v>Director</v>
      </c>
      <c r="F20" s="13">
        <v>745</v>
      </c>
      <c r="G20" s="13">
        <v>5</v>
      </c>
      <c r="H20" s="13">
        <v>7</v>
      </c>
      <c r="I20" s="2">
        <v>33462</v>
      </c>
      <c r="J20" s="15">
        <v>960724</v>
      </c>
      <c r="K20" s="4" t="s">
        <v>21</v>
      </c>
      <c r="L20" s="27">
        <f t="shared" si="2"/>
        <v>1991</v>
      </c>
      <c r="M20" s="27">
        <f t="shared" si="3"/>
        <v>8</v>
      </c>
      <c r="N20" s="27">
        <f t="shared" ca="1" si="4"/>
        <v>35</v>
      </c>
      <c r="O20" s="27" t="str" cm="1">
        <f t="array" ref="O20">_xlfn.IFS($F20&gt;=750,"Excellent",$F20&gt;=700,"Good",$F20&gt;=650,"Moderate",
$F20&lt;650,"Risky"
)</f>
        <v>Good</v>
      </c>
      <c r="P20" s="27" t="str" cm="1">
        <f t="array" ref="P20">_xlfn.IFS(
AND(F20&gt;=750,H20&lt;=2),"Low Risk",
AND(F20&gt;=700,H20&lt;=5),"Medium Risk",
TRUE,"High Risk"
)</f>
        <v>High Risk</v>
      </c>
      <c r="Q20" s="5"/>
      <c r="R20" s="5"/>
      <c r="S20" s="5"/>
      <c r="T20" s="5"/>
      <c r="U20" s="5"/>
      <c r="V20" s="5"/>
      <c r="W20" s="5"/>
      <c r="X20" s="5"/>
      <c r="Y20" s="5"/>
    </row>
    <row r="21" spans="1:25" ht="15.75" customHeight="1" x14ac:dyDescent="0.25">
      <c r="A21" s="2">
        <v>43962</v>
      </c>
      <c r="B21" s="3">
        <v>45939</v>
      </c>
      <c r="C21" s="4" t="s">
        <v>28</v>
      </c>
      <c r="D21" s="4" t="str">
        <f t="shared" si="0"/>
        <v>Growth</v>
      </c>
      <c r="E21" s="4" t="str">
        <f t="shared" si="1"/>
        <v>Director</v>
      </c>
      <c r="F21" s="13">
        <v>700</v>
      </c>
      <c r="G21" s="13">
        <v>3</v>
      </c>
      <c r="H21" s="13">
        <v>6</v>
      </c>
      <c r="I21" s="2">
        <v>32406</v>
      </c>
      <c r="J21" s="15">
        <v>593047</v>
      </c>
      <c r="K21" s="4" t="s">
        <v>21</v>
      </c>
      <c r="L21" s="27">
        <f t="shared" si="2"/>
        <v>1988</v>
      </c>
      <c r="M21" s="27">
        <f t="shared" si="3"/>
        <v>5</v>
      </c>
      <c r="N21" s="27">
        <f t="shared" ca="1" si="4"/>
        <v>38</v>
      </c>
      <c r="O21" s="27" t="str" cm="1">
        <f t="array" ref="O21">_xlfn.IFS($F21&gt;=750,"Excellent",$F21&gt;=700,"Good",$F21&gt;=650,"Moderate",
$F21&lt;650,"Risky"
)</f>
        <v>Good</v>
      </c>
      <c r="P21" s="27" t="str" cm="1">
        <f t="array" ref="P21">_xlfn.IFS(
AND(F21&gt;=750,H21&lt;=2),"Low Risk",
AND(F21&gt;=700,H21&lt;=5),"Medium Risk",
TRUE,"High Risk"
)</f>
        <v>High Risk</v>
      </c>
      <c r="Q21" s="5"/>
      <c r="R21" s="5"/>
      <c r="S21" s="5"/>
      <c r="T21" s="5"/>
      <c r="U21" s="5"/>
      <c r="V21" s="5"/>
      <c r="W21" s="5"/>
      <c r="X21" s="5"/>
      <c r="Y21" s="5"/>
    </row>
    <row r="22" spans="1:25" ht="15.75" customHeight="1" x14ac:dyDescent="0.25">
      <c r="A22" s="2">
        <v>43868</v>
      </c>
      <c r="B22" s="3">
        <v>43592</v>
      </c>
      <c r="C22" s="4" t="s">
        <v>22</v>
      </c>
      <c r="D22" s="4" t="str">
        <f t="shared" si="0"/>
        <v>Strategy</v>
      </c>
      <c r="E22" s="4" t="str">
        <f t="shared" si="1"/>
        <v>Executive</v>
      </c>
      <c r="F22" s="13">
        <v>731</v>
      </c>
      <c r="G22" s="13">
        <v>5</v>
      </c>
      <c r="H22" s="13">
        <v>5</v>
      </c>
      <c r="I22" s="2">
        <v>33024</v>
      </c>
      <c r="J22" s="15">
        <v>712524</v>
      </c>
      <c r="K22" s="4" t="s">
        <v>21</v>
      </c>
      <c r="L22" s="27">
        <f t="shared" si="2"/>
        <v>1990</v>
      </c>
      <c r="M22" s="27">
        <f t="shared" si="3"/>
        <v>2</v>
      </c>
      <c r="N22" s="27">
        <f t="shared" ca="1" si="4"/>
        <v>36</v>
      </c>
      <c r="O22" s="27" t="str" cm="1">
        <f t="array" ref="O22">_xlfn.IFS($F22&gt;=750,"Excellent",$F22&gt;=700,"Good",$F22&gt;=650,"Moderate",
$F22&lt;650,"Risky"
)</f>
        <v>Good</v>
      </c>
      <c r="P22" s="27" t="str" cm="1">
        <f t="array" ref="P22">_xlfn.IFS(
AND(F22&gt;=750,H22&lt;=2),"Low Risk",
AND(F22&gt;=700,H22&lt;=5),"Medium Risk",
TRUE,"High Risk"
)</f>
        <v>Medium Risk</v>
      </c>
      <c r="Q22" s="5"/>
      <c r="R22" s="5"/>
      <c r="S22" s="5"/>
      <c r="T22" s="5"/>
      <c r="U22" s="5"/>
      <c r="V22" s="5"/>
      <c r="W22" s="5"/>
      <c r="X22" s="5"/>
      <c r="Y22" s="5"/>
    </row>
    <row r="23" spans="1:25" ht="15.75" customHeight="1" x14ac:dyDescent="0.25">
      <c r="A23" s="2">
        <v>43892</v>
      </c>
      <c r="B23" s="3">
        <v>77140</v>
      </c>
      <c r="C23" s="4" t="s">
        <v>23</v>
      </c>
      <c r="D23" s="4" t="str">
        <f t="shared" si="0"/>
        <v>Marketing</v>
      </c>
      <c r="E23" s="4" t="str">
        <f t="shared" si="1"/>
        <v>Intern</v>
      </c>
      <c r="F23" s="13">
        <v>783</v>
      </c>
      <c r="G23" s="13">
        <v>3</v>
      </c>
      <c r="H23" s="13">
        <v>7</v>
      </c>
      <c r="I23" s="2">
        <v>30881</v>
      </c>
      <c r="J23" s="15">
        <v>562825</v>
      </c>
      <c r="K23" s="4" t="s">
        <v>18</v>
      </c>
      <c r="L23" s="27">
        <f t="shared" si="2"/>
        <v>1984</v>
      </c>
      <c r="M23" s="27">
        <f t="shared" si="3"/>
        <v>3</v>
      </c>
      <c r="N23" s="27">
        <f t="shared" ca="1" si="4"/>
        <v>42</v>
      </c>
      <c r="O23" s="27" t="str" cm="1">
        <f t="array" ref="O23">_xlfn.IFS($F23&gt;=750,"Excellent",$F23&gt;=700,"Good",$F23&gt;=650,"Moderate",
$F23&lt;650,"Risky"
)</f>
        <v>Excellent</v>
      </c>
      <c r="P23" s="27" t="str" cm="1">
        <f t="array" ref="P23">_xlfn.IFS(
AND(F23&gt;=750,H23&lt;=2),"Low Risk",
AND(F23&gt;=700,H23&lt;=5),"Medium Risk",
TRUE,"High Risk"
)</f>
        <v>High Risk</v>
      </c>
      <c r="Q23" s="5"/>
      <c r="R23" s="5"/>
      <c r="S23" s="5"/>
      <c r="T23" s="5"/>
      <c r="U23" s="5"/>
      <c r="V23" s="5"/>
      <c r="W23" s="5"/>
      <c r="X23" s="5"/>
      <c r="Y23" s="5"/>
    </row>
    <row r="24" spans="1:25" ht="15.75" customHeight="1" x14ac:dyDescent="0.25">
      <c r="A24" s="2">
        <v>44042</v>
      </c>
      <c r="B24" s="3">
        <v>67126</v>
      </c>
      <c r="C24" s="4" t="s">
        <v>16</v>
      </c>
      <c r="D24" s="4" t="str">
        <f t="shared" si="0"/>
        <v>Marketing</v>
      </c>
      <c r="E24" s="4" t="str">
        <f t="shared" si="1"/>
        <v>Executive</v>
      </c>
      <c r="F24" s="13">
        <v>787</v>
      </c>
      <c r="G24" s="13">
        <v>1</v>
      </c>
      <c r="H24" s="13">
        <v>10</v>
      </c>
      <c r="I24" s="2">
        <v>31884</v>
      </c>
      <c r="J24" s="15">
        <v>625401</v>
      </c>
      <c r="K24" s="4" t="s">
        <v>18</v>
      </c>
      <c r="L24" s="27">
        <f t="shared" si="2"/>
        <v>1987</v>
      </c>
      <c r="M24" s="27">
        <f t="shared" si="3"/>
        <v>7</v>
      </c>
      <c r="N24" s="27">
        <f t="shared" ca="1" si="4"/>
        <v>39</v>
      </c>
      <c r="O24" s="27" t="str" cm="1">
        <f t="array" ref="O24">_xlfn.IFS($F24&gt;=750,"Excellent",$F24&gt;=700,"Good",$F24&gt;=650,"Moderate",
$F24&lt;650,"Risky"
)</f>
        <v>Excellent</v>
      </c>
      <c r="P24" s="27" t="str" cm="1">
        <f t="array" ref="P24">_xlfn.IFS(
AND(F24&gt;=750,H24&lt;=2),"Low Risk",
AND(F24&gt;=700,H24&lt;=5),"Medium Risk",
TRUE,"High Risk"
)</f>
        <v>High Risk</v>
      </c>
      <c r="Q24" s="5"/>
      <c r="R24" s="5"/>
      <c r="S24" s="5"/>
      <c r="T24" s="5"/>
      <c r="U24" s="5"/>
      <c r="V24" s="5"/>
      <c r="W24" s="5"/>
      <c r="X24" s="5"/>
      <c r="Y24" s="5"/>
    </row>
    <row r="25" spans="1:25" ht="15.75" customHeight="1" x14ac:dyDescent="0.25">
      <c r="A25" s="2">
        <v>43947</v>
      </c>
      <c r="B25" s="3">
        <v>19794</v>
      </c>
      <c r="C25" s="4" t="s">
        <v>31</v>
      </c>
      <c r="D25" s="4" t="str">
        <f t="shared" si="0"/>
        <v>Finance</v>
      </c>
      <c r="E25" s="4" t="str">
        <f t="shared" si="1"/>
        <v>Intern</v>
      </c>
      <c r="F25" s="13">
        <v>726</v>
      </c>
      <c r="G25" s="13">
        <v>1</v>
      </c>
      <c r="H25" s="13">
        <v>2</v>
      </c>
      <c r="I25" s="2">
        <v>31398</v>
      </c>
      <c r="J25" s="15">
        <v>850151</v>
      </c>
      <c r="K25" s="4" t="s">
        <v>21</v>
      </c>
      <c r="L25" s="27">
        <f t="shared" si="2"/>
        <v>1985</v>
      </c>
      <c r="M25" s="27">
        <f t="shared" si="3"/>
        <v>4</v>
      </c>
      <c r="N25" s="27">
        <f t="shared" ca="1" si="4"/>
        <v>41</v>
      </c>
      <c r="O25" s="27" t="str" cm="1">
        <f t="array" ref="O25">_xlfn.IFS($F25&gt;=750,"Excellent",$F25&gt;=700,"Good",$F25&gt;=650,"Moderate",
$F25&lt;650,"Risky"
)</f>
        <v>Good</v>
      </c>
      <c r="P25" s="27" t="str" cm="1">
        <f t="array" ref="P25">_xlfn.IFS(
AND(F25&gt;=750,H25&lt;=2),"Low Risk",
AND(F25&gt;=700,H25&lt;=5),"Medium Risk",
TRUE,"High Risk"
)</f>
        <v>Medium Risk</v>
      </c>
      <c r="Q25" s="5"/>
      <c r="R25" s="5"/>
      <c r="S25" s="5"/>
      <c r="T25" s="5"/>
      <c r="U25" s="5"/>
      <c r="V25" s="5"/>
      <c r="W25" s="5"/>
      <c r="X25" s="5"/>
      <c r="Y25" s="5"/>
    </row>
    <row r="26" spans="1:25" ht="15.75" customHeight="1" x14ac:dyDescent="0.25">
      <c r="A26" s="2">
        <v>44081</v>
      </c>
      <c r="B26" s="3">
        <v>65225</v>
      </c>
      <c r="C26" s="4" t="s">
        <v>25</v>
      </c>
      <c r="D26" s="4" t="str">
        <f t="shared" si="0"/>
        <v>Sales</v>
      </c>
      <c r="E26" s="4" t="str">
        <f t="shared" si="1"/>
        <v>Manager</v>
      </c>
      <c r="F26" s="13">
        <v>733</v>
      </c>
      <c r="G26" s="13">
        <v>2</v>
      </c>
      <c r="H26" s="13">
        <v>6</v>
      </c>
      <c r="I26" s="2">
        <v>29519</v>
      </c>
      <c r="J26" s="15">
        <v>944492</v>
      </c>
      <c r="K26" s="4" t="s">
        <v>14</v>
      </c>
      <c r="L26" s="27">
        <f t="shared" si="2"/>
        <v>1980</v>
      </c>
      <c r="M26" s="27">
        <f t="shared" si="3"/>
        <v>9</v>
      </c>
      <c r="N26" s="27">
        <f t="shared" ca="1" si="4"/>
        <v>46</v>
      </c>
      <c r="O26" s="27" t="str" cm="1">
        <f t="array" ref="O26">_xlfn.IFS($F26&gt;=750,"Excellent",$F26&gt;=700,"Good",$F26&gt;=650,"Moderate",
$F26&lt;650,"Risky"
)</f>
        <v>Good</v>
      </c>
      <c r="P26" s="27" t="str" cm="1">
        <f t="array" ref="P26">_xlfn.IFS(
AND(F26&gt;=750,H26&lt;=2),"Low Risk",
AND(F26&gt;=700,H26&lt;=5),"Medium Risk",
TRUE,"High Risk"
)</f>
        <v>High Risk</v>
      </c>
      <c r="Q26" s="5"/>
      <c r="R26" s="5"/>
      <c r="S26" s="5"/>
      <c r="T26" s="5"/>
      <c r="U26" s="5"/>
      <c r="V26" s="5"/>
      <c r="W26" s="5"/>
      <c r="X26" s="5"/>
      <c r="Y26" s="5"/>
    </row>
    <row r="27" spans="1:25" ht="15.75" customHeight="1" x14ac:dyDescent="0.25">
      <c r="A27" s="2">
        <v>44132</v>
      </c>
      <c r="B27" s="3">
        <v>94260</v>
      </c>
      <c r="C27" s="4" t="s">
        <v>28</v>
      </c>
      <c r="D27" s="4" t="str">
        <f t="shared" si="0"/>
        <v>Growth</v>
      </c>
      <c r="E27" s="4" t="str">
        <f t="shared" si="1"/>
        <v>Director</v>
      </c>
      <c r="F27" s="13">
        <v>752</v>
      </c>
      <c r="G27" s="13">
        <v>3</v>
      </c>
      <c r="H27" s="13">
        <v>7</v>
      </c>
      <c r="I27" s="2">
        <v>33007</v>
      </c>
      <c r="J27" s="15">
        <v>780278</v>
      </c>
      <c r="K27" s="4" t="s">
        <v>21</v>
      </c>
      <c r="L27" s="27">
        <f t="shared" si="2"/>
        <v>1990</v>
      </c>
      <c r="M27" s="27">
        <f t="shared" si="3"/>
        <v>10</v>
      </c>
      <c r="N27" s="27">
        <f t="shared" ca="1" si="4"/>
        <v>36</v>
      </c>
      <c r="O27" s="27" t="str" cm="1">
        <f t="array" ref="O27">_xlfn.IFS($F27&gt;=750,"Excellent",$F27&gt;=700,"Good",$F27&gt;=650,"Moderate",
$F27&lt;650,"Risky"
)</f>
        <v>Excellent</v>
      </c>
      <c r="P27" s="27" t="str" cm="1">
        <f t="array" ref="P27">_xlfn.IFS(
AND(F27&gt;=750,H27&lt;=2),"Low Risk",
AND(F27&gt;=700,H27&lt;=5),"Medium Risk",
TRUE,"High Risk"
)</f>
        <v>High Risk</v>
      </c>
      <c r="Q27" s="5"/>
      <c r="R27" s="5"/>
      <c r="S27" s="5"/>
      <c r="T27" s="5"/>
      <c r="U27" s="5"/>
      <c r="V27" s="5"/>
      <c r="W27" s="5"/>
      <c r="X27" s="5"/>
      <c r="Y27" s="5"/>
    </row>
    <row r="28" spans="1:25" ht="15.75" customHeight="1" x14ac:dyDescent="0.25">
      <c r="A28" s="2">
        <v>44145</v>
      </c>
      <c r="B28" s="3">
        <v>53504</v>
      </c>
      <c r="C28" s="4" t="s">
        <v>32</v>
      </c>
      <c r="D28" s="4" t="str">
        <f t="shared" si="0"/>
        <v>Finance</v>
      </c>
      <c r="E28" s="4" t="str">
        <f t="shared" si="1"/>
        <v>Executive</v>
      </c>
      <c r="F28" s="13">
        <v>721</v>
      </c>
      <c r="G28" s="13">
        <v>3</v>
      </c>
      <c r="H28" s="13">
        <v>3</v>
      </c>
      <c r="I28" s="2">
        <v>34483</v>
      </c>
      <c r="J28" s="15">
        <v>543448</v>
      </c>
      <c r="K28" s="4" t="s">
        <v>18</v>
      </c>
      <c r="L28" s="27">
        <f t="shared" si="2"/>
        <v>1994</v>
      </c>
      <c r="M28" s="27">
        <f t="shared" si="3"/>
        <v>11</v>
      </c>
      <c r="N28" s="27">
        <f t="shared" ca="1" si="4"/>
        <v>32</v>
      </c>
      <c r="O28" s="27" t="str" cm="1">
        <f t="array" ref="O28">_xlfn.IFS($F28&gt;=750,"Excellent",$F28&gt;=700,"Good",$F28&gt;=650,"Moderate",
$F28&lt;650,"Risky"
)</f>
        <v>Good</v>
      </c>
      <c r="P28" s="27" t="str" cm="1">
        <f t="array" ref="P28">_xlfn.IFS(
AND(F28&gt;=750,H28&lt;=2),"Low Risk",
AND(F28&gt;=700,H28&lt;=5),"Medium Risk",
TRUE,"High Risk"
)</f>
        <v>Medium Risk</v>
      </c>
      <c r="Q28" s="5"/>
      <c r="R28" s="5"/>
      <c r="S28" s="5"/>
      <c r="T28" s="5"/>
      <c r="U28" s="5"/>
      <c r="V28" s="5"/>
      <c r="W28" s="5"/>
      <c r="X28" s="5"/>
      <c r="Y28" s="5"/>
    </row>
    <row r="29" spans="1:25" ht="15.75" customHeight="1" x14ac:dyDescent="0.25">
      <c r="A29" s="2">
        <v>43833</v>
      </c>
      <c r="B29" s="3">
        <v>44329</v>
      </c>
      <c r="C29" s="4" t="s">
        <v>33</v>
      </c>
      <c r="D29" s="4" t="str">
        <f t="shared" si="0"/>
        <v>Sales</v>
      </c>
      <c r="E29" s="4" t="str">
        <f t="shared" si="1"/>
        <v>Executive</v>
      </c>
      <c r="F29" s="13">
        <v>713</v>
      </c>
      <c r="G29" s="13">
        <v>5</v>
      </c>
      <c r="H29" s="13">
        <v>7</v>
      </c>
      <c r="I29" s="2">
        <v>29275</v>
      </c>
      <c r="J29" s="15">
        <v>939519</v>
      </c>
      <c r="K29" s="4" t="s">
        <v>21</v>
      </c>
      <c r="L29" s="27">
        <f t="shared" si="2"/>
        <v>1980</v>
      </c>
      <c r="M29" s="27">
        <f t="shared" si="3"/>
        <v>1</v>
      </c>
      <c r="N29" s="27">
        <f t="shared" ca="1" si="4"/>
        <v>46</v>
      </c>
      <c r="O29" s="27" t="str" cm="1">
        <f t="array" ref="O29">_xlfn.IFS($F29&gt;=750,"Excellent",$F29&gt;=700,"Good",$F29&gt;=650,"Moderate",
$F29&lt;650,"Risky"
)</f>
        <v>Good</v>
      </c>
      <c r="P29" s="27" t="str" cm="1">
        <f t="array" ref="P29">_xlfn.IFS(
AND(F29&gt;=750,H29&lt;=2),"Low Risk",
AND(F29&gt;=700,H29&lt;=5),"Medium Risk",
TRUE,"High Risk"
)</f>
        <v>High Risk</v>
      </c>
      <c r="Q29" s="5"/>
      <c r="R29" s="5"/>
      <c r="S29" s="5"/>
      <c r="T29" s="5"/>
      <c r="U29" s="5"/>
      <c r="V29" s="5"/>
      <c r="W29" s="5"/>
      <c r="X29" s="5"/>
      <c r="Y29" s="5"/>
    </row>
    <row r="30" spans="1:25" ht="15.75" customHeight="1" x14ac:dyDescent="0.25">
      <c r="A30" s="2">
        <v>44135</v>
      </c>
      <c r="B30" s="3">
        <v>45312</v>
      </c>
      <c r="C30" s="4" t="s">
        <v>33</v>
      </c>
      <c r="D30" s="4" t="str">
        <f t="shared" si="0"/>
        <v>Sales</v>
      </c>
      <c r="E30" s="4" t="str">
        <f t="shared" si="1"/>
        <v>Executive</v>
      </c>
      <c r="F30" s="13">
        <v>753</v>
      </c>
      <c r="G30" s="13">
        <v>2</v>
      </c>
      <c r="H30" s="13">
        <v>6</v>
      </c>
      <c r="I30" s="2">
        <v>31553</v>
      </c>
      <c r="J30" s="15">
        <v>709857</v>
      </c>
      <c r="K30" s="4" t="s">
        <v>14</v>
      </c>
      <c r="L30" s="27">
        <f t="shared" si="2"/>
        <v>1986</v>
      </c>
      <c r="M30" s="27">
        <f t="shared" si="3"/>
        <v>10</v>
      </c>
      <c r="N30" s="27">
        <f t="shared" ca="1" si="4"/>
        <v>40</v>
      </c>
      <c r="O30" s="27" t="str" cm="1">
        <f t="array" ref="O30">_xlfn.IFS($F30&gt;=750,"Excellent",$F30&gt;=700,"Good",$F30&gt;=650,"Moderate",
$F30&lt;650,"Risky"
)</f>
        <v>Excellent</v>
      </c>
      <c r="P30" s="27" t="str" cm="1">
        <f t="array" ref="P30">_xlfn.IFS(
AND(F30&gt;=750,H30&lt;=2),"Low Risk",
AND(F30&gt;=700,H30&lt;=5),"Medium Risk",
TRUE,"High Risk"
)</f>
        <v>High Risk</v>
      </c>
      <c r="Q30" s="5"/>
      <c r="R30" s="5"/>
      <c r="S30" s="5"/>
      <c r="T30" s="5"/>
      <c r="U30" s="5"/>
      <c r="V30" s="5"/>
      <c r="W30" s="5"/>
      <c r="X30" s="5"/>
      <c r="Y30" s="5"/>
    </row>
    <row r="31" spans="1:25" ht="15.75" customHeight="1" x14ac:dyDescent="0.25">
      <c r="A31" s="2">
        <v>43959</v>
      </c>
      <c r="B31" s="3">
        <v>67449</v>
      </c>
      <c r="C31" s="4" t="s">
        <v>29</v>
      </c>
      <c r="D31" s="4" t="str">
        <f t="shared" si="0"/>
        <v>Sales</v>
      </c>
      <c r="E31" s="4" t="str">
        <f t="shared" si="1"/>
        <v>Director</v>
      </c>
      <c r="F31" s="13">
        <v>739</v>
      </c>
      <c r="G31" s="13">
        <v>3</v>
      </c>
      <c r="H31" s="13">
        <v>8</v>
      </c>
      <c r="I31" s="2">
        <v>31486</v>
      </c>
      <c r="J31" s="15">
        <v>531838</v>
      </c>
      <c r="K31" s="4" t="s">
        <v>18</v>
      </c>
      <c r="L31" s="27">
        <f t="shared" si="2"/>
        <v>1986</v>
      </c>
      <c r="M31" s="27">
        <f t="shared" si="3"/>
        <v>5</v>
      </c>
      <c r="N31" s="27">
        <f t="shared" ca="1" si="4"/>
        <v>40</v>
      </c>
      <c r="O31" s="27" t="str" cm="1">
        <f t="array" ref="O31">_xlfn.IFS($F31&gt;=750,"Excellent",$F31&gt;=700,"Good",$F31&gt;=650,"Moderate",
$F31&lt;650,"Risky"
)</f>
        <v>Good</v>
      </c>
      <c r="P31" s="27" t="str" cm="1">
        <f t="array" ref="P31">_xlfn.IFS(
AND(F31&gt;=750,H31&lt;=2),"Low Risk",
AND(F31&gt;=700,H31&lt;=5),"Medium Risk",
TRUE,"High Risk"
)</f>
        <v>High Risk</v>
      </c>
      <c r="Q31" s="5"/>
      <c r="R31" s="5"/>
      <c r="S31" s="5"/>
      <c r="T31" s="5"/>
      <c r="U31" s="5"/>
      <c r="V31" s="5"/>
      <c r="W31" s="5"/>
      <c r="X31" s="5"/>
      <c r="Y31" s="5"/>
    </row>
    <row r="32" spans="1:25" ht="15.75" customHeight="1" x14ac:dyDescent="0.25">
      <c r="A32" s="2">
        <v>43894</v>
      </c>
      <c r="B32" s="3">
        <v>17977</v>
      </c>
      <c r="C32" s="4" t="s">
        <v>22</v>
      </c>
      <c r="D32" s="4" t="str">
        <f t="shared" si="0"/>
        <v>Strategy</v>
      </c>
      <c r="E32" s="4" t="str">
        <f t="shared" si="1"/>
        <v>Executive</v>
      </c>
      <c r="F32" s="13">
        <v>735</v>
      </c>
      <c r="G32" s="13">
        <v>2</v>
      </c>
      <c r="H32" s="13">
        <v>2</v>
      </c>
      <c r="I32" s="2">
        <v>34643</v>
      </c>
      <c r="J32" s="15">
        <v>653325</v>
      </c>
      <c r="K32" s="4" t="s">
        <v>18</v>
      </c>
      <c r="L32" s="27">
        <f t="shared" si="2"/>
        <v>1994</v>
      </c>
      <c r="M32" s="27">
        <f t="shared" si="3"/>
        <v>3</v>
      </c>
      <c r="N32" s="27">
        <f t="shared" ca="1" si="4"/>
        <v>32</v>
      </c>
      <c r="O32" s="27" t="str" cm="1">
        <f t="array" ref="O32">_xlfn.IFS($F32&gt;=750,"Excellent",$F32&gt;=700,"Good",$F32&gt;=650,"Moderate",
$F32&lt;650,"Risky"
)</f>
        <v>Good</v>
      </c>
      <c r="P32" s="27" t="str" cm="1">
        <f t="array" ref="P32">_xlfn.IFS(
AND(F32&gt;=750,H32&lt;=2),"Low Risk",
AND(F32&gt;=700,H32&lt;=5),"Medium Risk",
TRUE,"High Risk"
)</f>
        <v>Medium Risk</v>
      </c>
      <c r="Q32" s="5"/>
      <c r="R32" s="5"/>
      <c r="S32" s="5"/>
      <c r="T32" s="5"/>
      <c r="U32" s="5"/>
      <c r="V32" s="5"/>
      <c r="W32" s="5"/>
      <c r="X32" s="5"/>
      <c r="Y32" s="5"/>
    </row>
    <row r="33" spans="1:25" ht="15.75" customHeight="1" x14ac:dyDescent="0.25">
      <c r="A33" s="2">
        <v>43929</v>
      </c>
      <c r="B33" s="3">
        <v>89671</v>
      </c>
      <c r="C33" s="4" t="s">
        <v>26</v>
      </c>
      <c r="D33" s="4" t="str">
        <f t="shared" si="0"/>
        <v>Strategy</v>
      </c>
      <c r="E33" s="4" t="str">
        <f t="shared" si="1"/>
        <v>Manager</v>
      </c>
      <c r="F33" s="13">
        <v>728</v>
      </c>
      <c r="G33" s="13">
        <v>1</v>
      </c>
      <c r="H33" s="13">
        <v>6</v>
      </c>
      <c r="I33" s="2">
        <v>30642</v>
      </c>
      <c r="J33" s="15">
        <v>818354</v>
      </c>
      <c r="K33" s="4" t="s">
        <v>18</v>
      </c>
      <c r="L33" s="27">
        <f t="shared" si="2"/>
        <v>1983</v>
      </c>
      <c r="M33" s="27">
        <f t="shared" si="3"/>
        <v>4</v>
      </c>
      <c r="N33" s="27">
        <f t="shared" ca="1" si="4"/>
        <v>43</v>
      </c>
      <c r="O33" s="27" t="str" cm="1">
        <f t="array" ref="O33">_xlfn.IFS($F33&gt;=750,"Excellent",$F33&gt;=700,"Good",$F33&gt;=650,"Moderate",
$F33&lt;650,"Risky"
)</f>
        <v>Good</v>
      </c>
      <c r="P33" s="27" t="str" cm="1">
        <f t="array" ref="P33">_xlfn.IFS(
AND(F33&gt;=750,H33&lt;=2),"Low Risk",
AND(F33&gt;=700,H33&lt;=5),"Medium Risk",
TRUE,"High Risk"
)</f>
        <v>High Risk</v>
      </c>
      <c r="Q33" s="5"/>
      <c r="R33" s="5"/>
      <c r="S33" s="5"/>
      <c r="T33" s="5"/>
      <c r="U33" s="5"/>
      <c r="V33" s="5"/>
      <c r="W33" s="5"/>
      <c r="X33" s="5"/>
      <c r="Y33" s="5"/>
    </row>
    <row r="34" spans="1:25" ht="15.75" customHeight="1" x14ac:dyDescent="0.25">
      <c r="A34" s="2">
        <v>44175</v>
      </c>
      <c r="B34" s="3">
        <v>38589</v>
      </c>
      <c r="C34" s="4" t="s">
        <v>15</v>
      </c>
      <c r="D34" s="4" t="str">
        <f t="shared" si="0"/>
        <v>Operation</v>
      </c>
      <c r="E34" s="4" t="str">
        <f t="shared" si="1"/>
        <v>Executive</v>
      </c>
      <c r="F34" s="13">
        <v>779</v>
      </c>
      <c r="G34" s="13">
        <v>4</v>
      </c>
      <c r="H34" s="13">
        <v>10</v>
      </c>
      <c r="I34" s="2">
        <v>30550</v>
      </c>
      <c r="J34" s="15">
        <v>614492</v>
      </c>
      <c r="K34" s="4" t="s">
        <v>14</v>
      </c>
      <c r="L34" s="27">
        <f t="shared" si="2"/>
        <v>1983</v>
      </c>
      <c r="M34" s="27">
        <f t="shared" si="3"/>
        <v>12</v>
      </c>
      <c r="N34" s="27">
        <f t="shared" ca="1" si="4"/>
        <v>43</v>
      </c>
      <c r="O34" s="27" t="str" cm="1">
        <f t="array" ref="O34">_xlfn.IFS($F34&gt;=750,"Excellent",$F34&gt;=700,"Good",$F34&gt;=650,"Moderate",
$F34&lt;650,"Risky"
)</f>
        <v>Excellent</v>
      </c>
      <c r="P34" s="27" t="str" cm="1">
        <f t="array" ref="P34">_xlfn.IFS(
AND(F34&gt;=750,H34&lt;=2),"Low Risk",
AND(F34&gt;=700,H34&lt;=5),"Medium Risk",
TRUE,"High Risk"
)</f>
        <v>High Risk</v>
      </c>
      <c r="Q34" s="5"/>
      <c r="R34" s="5"/>
      <c r="S34" s="5"/>
      <c r="T34" s="5"/>
      <c r="U34" s="5"/>
      <c r="V34" s="5"/>
      <c r="W34" s="5"/>
      <c r="X34" s="5"/>
      <c r="Y34" s="5"/>
    </row>
    <row r="35" spans="1:25" ht="15.75" customHeight="1" x14ac:dyDescent="0.25">
      <c r="A35" s="2">
        <v>44135</v>
      </c>
      <c r="B35" s="3">
        <v>16060</v>
      </c>
      <c r="C35" s="4" t="s">
        <v>33</v>
      </c>
      <c r="D35" s="4" t="str">
        <f t="shared" si="0"/>
        <v>Sales</v>
      </c>
      <c r="E35" s="4" t="str">
        <f t="shared" si="1"/>
        <v>Executive</v>
      </c>
      <c r="F35" s="13">
        <v>751</v>
      </c>
      <c r="G35" s="13">
        <v>3</v>
      </c>
      <c r="H35" s="13">
        <v>3</v>
      </c>
      <c r="I35" s="2">
        <v>32598</v>
      </c>
      <c r="J35" s="15">
        <v>983519</v>
      </c>
      <c r="K35" s="4" t="s">
        <v>14</v>
      </c>
      <c r="L35" s="27">
        <f t="shared" si="2"/>
        <v>1989</v>
      </c>
      <c r="M35" s="27">
        <f t="shared" si="3"/>
        <v>10</v>
      </c>
      <c r="N35" s="27">
        <f t="shared" ca="1" si="4"/>
        <v>37</v>
      </c>
      <c r="O35" s="27" t="str" cm="1">
        <f t="array" ref="O35">_xlfn.IFS($F35&gt;=750,"Excellent",$F35&gt;=700,"Good",$F35&gt;=650,"Moderate",
$F35&lt;650,"Risky"
)</f>
        <v>Excellent</v>
      </c>
      <c r="P35" s="27" t="str" cm="1">
        <f t="array" ref="P35">_xlfn.IFS(
AND(F35&gt;=750,H35&lt;=2),"Low Risk",
AND(F35&gt;=700,H35&lt;=5),"Medium Risk",
TRUE,"High Risk"
)</f>
        <v>Medium Risk</v>
      </c>
      <c r="Q35" s="5"/>
      <c r="R35" s="5"/>
      <c r="S35" s="5"/>
      <c r="T35" s="5"/>
      <c r="U35" s="5"/>
      <c r="V35" s="5"/>
      <c r="W35" s="5"/>
      <c r="X35" s="5"/>
      <c r="Y35" s="5"/>
    </row>
    <row r="36" spans="1:25" ht="15.75" customHeight="1" x14ac:dyDescent="0.25">
      <c r="A36" s="2">
        <v>43868</v>
      </c>
      <c r="B36" s="3">
        <v>86698</v>
      </c>
      <c r="C36" s="4" t="s">
        <v>24</v>
      </c>
      <c r="D36" s="4" t="str">
        <f t="shared" si="0"/>
        <v>Strategy</v>
      </c>
      <c r="E36" s="4" t="str">
        <f t="shared" si="1"/>
        <v>Intern</v>
      </c>
      <c r="F36" s="13">
        <v>739</v>
      </c>
      <c r="G36" s="13">
        <v>2</v>
      </c>
      <c r="H36" s="13">
        <v>3</v>
      </c>
      <c r="I36" s="2">
        <v>31425</v>
      </c>
      <c r="J36" s="15">
        <v>961148</v>
      </c>
      <c r="K36" s="4" t="s">
        <v>14</v>
      </c>
      <c r="L36" s="27">
        <f t="shared" si="2"/>
        <v>1986</v>
      </c>
      <c r="M36" s="27">
        <f t="shared" si="3"/>
        <v>2</v>
      </c>
      <c r="N36" s="27">
        <f t="shared" ca="1" si="4"/>
        <v>40</v>
      </c>
      <c r="O36" s="27" t="str" cm="1">
        <f t="array" ref="O36">_xlfn.IFS($F36&gt;=750,"Excellent",$F36&gt;=700,"Good",$F36&gt;=650,"Moderate",
$F36&lt;650,"Risky"
)</f>
        <v>Good</v>
      </c>
      <c r="P36" s="27" t="str" cm="1">
        <f t="array" ref="P36">_xlfn.IFS(
AND(F36&gt;=750,H36&lt;=2),"Low Risk",
AND(F36&gt;=700,H36&lt;=5),"Medium Risk",
TRUE,"High Risk"
)</f>
        <v>Medium Risk</v>
      </c>
      <c r="Q36" s="5"/>
      <c r="R36" s="5"/>
      <c r="S36" s="5"/>
      <c r="T36" s="5"/>
      <c r="U36" s="5"/>
      <c r="V36" s="5"/>
      <c r="W36" s="5"/>
      <c r="X36" s="5"/>
      <c r="Y36" s="5"/>
    </row>
    <row r="37" spans="1:25" ht="15.75" customHeight="1" x14ac:dyDescent="0.25">
      <c r="A37" s="2">
        <v>43857</v>
      </c>
      <c r="B37" s="3">
        <v>83729</v>
      </c>
      <c r="C37" s="4" t="s">
        <v>29</v>
      </c>
      <c r="D37" s="4" t="str">
        <f t="shared" si="0"/>
        <v>Sales</v>
      </c>
      <c r="E37" s="4" t="str">
        <f t="shared" si="1"/>
        <v>Director</v>
      </c>
      <c r="F37" s="13">
        <v>797</v>
      </c>
      <c r="G37" s="13">
        <v>2</v>
      </c>
      <c r="H37" s="13">
        <v>2</v>
      </c>
      <c r="I37" s="2">
        <v>32826</v>
      </c>
      <c r="J37" s="15">
        <v>734953</v>
      </c>
      <c r="K37" s="4" t="s">
        <v>18</v>
      </c>
      <c r="L37" s="27">
        <f t="shared" si="2"/>
        <v>1989</v>
      </c>
      <c r="M37" s="27">
        <f t="shared" si="3"/>
        <v>1</v>
      </c>
      <c r="N37" s="27">
        <f t="shared" ca="1" si="4"/>
        <v>37</v>
      </c>
      <c r="O37" s="27" t="str" cm="1">
        <f t="array" ref="O37">_xlfn.IFS($F37&gt;=750,"Excellent",$F37&gt;=700,"Good",$F37&gt;=650,"Moderate",
$F37&lt;650,"Risky"
)</f>
        <v>Excellent</v>
      </c>
      <c r="P37" s="27" t="str" cm="1">
        <f t="array" ref="P37">_xlfn.IFS(
AND(F37&gt;=750,H37&lt;=2),"Low Risk",
AND(F37&gt;=700,H37&lt;=5),"Medium Risk",
TRUE,"High Risk"
)</f>
        <v>Low Risk</v>
      </c>
      <c r="Q37" s="5"/>
      <c r="R37" s="5"/>
      <c r="S37" s="5"/>
      <c r="T37" s="5"/>
      <c r="U37" s="5"/>
      <c r="V37" s="5"/>
      <c r="W37" s="5"/>
      <c r="X37" s="5"/>
      <c r="Y37" s="5"/>
    </row>
    <row r="38" spans="1:25" ht="15.75" customHeight="1" x14ac:dyDescent="0.25">
      <c r="A38" s="2">
        <v>44119</v>
      </c>
      <c r="B38" s="3">
        <v>69797</v>
      </c>
      <c r="C38" s="4" t="s">
        <v>26</v>
      </c>
      <c r="D38" s="4" t="str">
        <f t="shared" si="0"/>
        <v>Strategy</v>
      </c>
      <c r="E38" s="4" t="str">
        <f t="shared" si="1"/>
        <v>Manager</v>
      </c>
      <c r="F38" s="13">
        <v>763</v>
      </c>
      <c r="G38" s="13">
        <v>5</v>
      </c>
      <c r="H38" s="13">
        <v>10</v>
      </c>
      <c r="I38" s="2">
        <v>31945</v>
      </c>
      <c r="J38" s="15">
        <v>577102</v>
      </c>
      <c r="K38" s="4" t="s">
        <v>21</v>
      </c>
      <c r="L38" s="27">
        <f t="shared" si="2"/>
        <v>1987</v>
      </c>
      <c r="M38" s="27">
        <f t="shared" si="3"/>
        <v>10</v>
      </c>
      <c r="N38" s="27">
        <f t="shared" ca="1" si="4"/>
        <v>39</v>
      </c>
      <c r="O38" s="27" t="str" cm="1">
        <f t="array" ref="O38">_xlfn.IFS($F38&gt;=750,"Excellent",$F38&gt;=700,"Good",$F38&gt;=650,"Moderate",
$F38&lt;650,"Risky"
)</f>
        <v>Excellent</v>
      </c>
      <c r="P38" s="27" t="str" cm="1">
        <f t="array" ref="P38">_xlfn.IFS(
AND(F38&gt;=750,H38&lt;=2),"Low Risk",
AND(F38&gt;=700,H38&lt;=5),"Medium Risk",
TRUE,"High Risk"
)</f>
        <v>High Risk</v>
      </c>
      <c r="Q38" s="5"/>
      <c r="R38" s="5"/>
      <c r="S38" s="5"/>
      <c r="T38" s="5"/>
      <c r="U38" s="5"/>
      <c r="V38" s="5"/>
      <c r="W38" s="5"/>
      <c r="X38" s="5"/>
      <c r="Y38" s="5"/>
    </row>
    <row r="39" spans="1:25" ht="15.75" customHeight="1" x14ac:dyDescent="0.25">
      <c r="A39" s="2">
        <v>44123</v>
      </c>
      <c r="B39" s="3">
        <v>93072</v>
      </c>
      <c r="C39" s="4" t="s">
        <v>25</v>
      </c>
      <c r="D39" s="4" t="str">
        <f t="shared" si="0"/>
        <v>Sales</v>
      </c>
      <c r="E39" s="4" t="str">
        <f t="shared" si="1"/>
        <v>Manager</v>
      </c>
      <c r="F39" s="13">
        <v>706</v>
      </c>
      <c r="G39" s="13">
        <v>3</v>
      </c>
      <c r="H39" s="13">
        <v>10</v>
      </c>
      <c r="I39" s="2">
        <v>33438</v>
      </c>
      <c r="J39" s="15">
        <v>847226</v>
      </c>
      <c r="K39" s="4" t="s">
        <v>14</v>
      </c>
      <c r="L39" s="27">
        <f t="shared" si="2"/>
        <v>1991</v>
      </c>
      <c r="M39" s="27">
        <f t="shared" si="3"/>
        <v>10</v>
      </c>
      <c r="N39" s="27">
        <f t="shared" ca="1" si="4"/>
        <v>35</v>
      </c>
      <c r="O39" s="27" t="str" cm="1">
        <f t="array" ref="O39">_xlfn.IFS($F39&gt;=750,"Excellent",$F39&gt;=700,"Good",$F39&gt;=650,"Moderate",
$F39&lt;650,"Risky"
)</f>
        <v>Good</v>
      </c>
      <c r="P39" s="27" t="str" cm="1">
        <f t="array" ref="P39">_xlfn.IFS(
AND(F39&gt;=750,H39&lt;=2),"Low Risk",
AND(F39&gt;=700,H39&lt;=5),"Medium Risk",
TRUE,"High Risk"
)</f>
        <v>High Risk</v>
      </c>
      <c r="Q39" s="5"/>
      <c r="R39" s="5"/>
      <c r="S39" s="5"/>
      <c r="T39" s="5"/>
      <c r="U39" s="5"/>
      <c r="V39" s="5"/>
      <c r="W39" s="5"/>
      <c r="X39" s="5"/>
      <c r="Y39" s="5"/>
    </row>
    <row r="40" spans="1:25" ht="15.75" customHeight="1" x14ac:dyDescent="0.25">
      <c r="A40" s="2">
        <v>44022</v>
      </c>
      <c r="B40" s="3">
        <v>78383</v>
      </c>
      <c r="C40" s="4" t="s">
        <v>19</v>
      </c>
      <c r="D40" s="4" t="str">
        <f t="shared" si="0"/>
        <v>Marketing</v>
      </c>
      <c r="E40" s="4" t="str">
        <f t="shared" si="1"/>
        <v>Manager</v>
      </c>
      <c r="F40" s="13">
        <v>743</v>
      </c>
      <c r="G40" s="13">
        <v>4</v>
      </c>
      <c r="H40" s="13">
        <v>8</v>
      </c>
      <c r="I40" s="2">
        <v>34559</v>
      </c>
      <c r="J40" s="15">
        <v>580035</v>
      </c>
      <c r="K40" s="4" t="s">
        <v>21</v>
      </c>
      <c r="L40" s="27">
        <f t="shared" si="2"/>
        <v>1994</v>
      </c>
      <c r="M40" s="27">
        <f t="shared" si="3"/>
        <v>7</v>
      </c>
      <c r="N40" s="27">
        <f t="shared" ca="1" si="4"/>
        <v>32</v>
      </c>
      <c r="O40" s="27" t="str" cm="1">
        <f t="array" ref="O40">_xlfn.IFS($F40&gt;=750,"Excellent",$F40&gt;=700,"Good",$F40&gt;=650,"Moderate",
$F40&lt;650,"Risky"
)</f>
        <v>Good</v>
      </c>
      <c r="P40" s="27" t="str" cm="1">
        <f t="array" ref="P40">_xlfn.IFS(
AND(F40&gt;=750,H40&lt;=2),"Low Risk",
AND(F40&gt;=700,H40&lt;=5),"Medium Risk",
TRUE,"High Risk"
)</f>
        <v>High Risk</v>
      </c>
      <c r="Q40" s="5"/>
      <c r="R40" s="5"/>
      <c r="S40" s="5"/>
      <c r="T40" s="5"/>
      <c r="U40" s="5"/>
      <c r="V40" s="5"/>
      <c r="W40" s="5"/>
      <c r="X40" s="5"/>
      <c r="Y40" s="5"/>
    </row>
    <row r="41" spans="1:25" ht="15.75" customHeight="1" x14ac:dyDescent="0.25">
      <c r="A41" s="2">
        <v>44156</v>
      </c>
      <c r="B41" s="3">
        <v>68415</v>
      </c>
      <c r="C41" s="4" t="s">
        <v>34</v>
      </c>
      <c r="D41" s="4" t="str">
        <f t="shared" si="0"/>
        <v>Finance</v>
      </c>
      <c r="E41" s="4" t="str">
        <f t="shared" si="1"/>
        <v>Director</v>
      </c>
      <c r="F41" s="13">
        <v>709</v>
      </c>
      <c r="G41" s="13">
        <v>4</v>
      </c>
      <c r="H41" s="13">
        <v>3</v>
      </c>
      <c r="I41" s="2">
        <v>32928</v>
      </c>
      <c r="J41" s="15">
        <v>749893</v>
      </c>
      <c r="K41" s="4" t="s">
        <v>21</v>
      </c>
      <c r="L41" s="27">
        <f t="shared" si="2"/>
        <v>1990</v>
      </c>
      <c r="M41" s="27">
        <f t="shared" si="3"/>
        <v>11</v>
      </c>
      <c r="N41" s="27">
        <f t="shared" ca="1" si="4"/>
        <v>36</v>
      </c>
      <c r="O41" s="27" t="str" cm="1">
        <f t="array" ref="O41">_xlfn.IFS($F41&gt;=750,"Excellent",$F41&gt;=700,"Good",$F41&gt;=650,"Moderate",
$F41&lt;650,"Risky"
)</f>
        <v>Good</v>
      </c>
      <c r="P41" s="27" t="str" cm="1">
        <f t="array" ref="P41">_xlfn.IFS(
AND(F41&gt;=750,H41&lt;=2),"Low Risk",
AND(F41&gt;=700,H41&lt;=5),"Medium Risk",
TRUE,"High Risk"
)</f>
        <v>Medium Risk</v>
      </c>
      <c r="Q41" s="5"/>
      <c r="R41" s="5"/>
      <c r="S41" s="5"/>
      <c r="T41" s="5"/>
      <c r="U41" s="5"/>
      <c r="V41" s="5"/>
      <c r="W41" s="5"/>
      <c r="X41" s="5"/>
      <c r="Y41" s="5"/>
    </row>
    <row r="42" spans="1:25" ht="15.75" customHeight="1" x14ac:dyDescent="0.25">
      <c r="A42" s="2">
        <v>43836</v>
      </c>
      <c r="B42" s="3">
        <v>52910</v>
      </c>
      <c r="C42" s="4" t="s">
        <v>35</v>
      </c>
      <c r="D42" s="4" t="str">
        <f t="shared" si="0"/>
        <v>Growth</v>
      </c>
      <c r="E42" s="4" t="str">
        <f t="shared" si="1"/>
        <v>Intern</v>
      </c>
      <c r="F42" s="13">
        <v>732</v>
      </c>
      <c r="G42" s="13">
        <v>1</v>
      </c>
      <c r="H42" s="13">
        <v>7</v>
      </c>
      <c r="I42" s="2">
        <v>31657</v>
      </c>
      <c r="J42" s="15">
        <v>664298</v>
      </c>
      <c r="K42" s="4" t="s">
        <v>21</v>
      </c>
      <c r="L42" s="27">
        <f t="shared" si="2"/>
        <v>1986</v>
      </c>
      <c r="M42" s="27">
        <f t="shared" si="3"/>
        <v>1</v>
      </c>
      <c r="N42" s="27">
        <f t="shared" ca="1" si="4"/>
        <v>40</v>
      </c>
      <c r="O42" s="27" t="str" cm="1">
        <f t="array" ref="O42">_xlfn.IFS($F42&gt;=750,"Excellent",$F42&gt;=700,"Good",$F42&gt;=650,"Moderate",
$F42&lt;650,"Risky"
)</f>
        <v>Good</v>
      </c>
      <c r="P42" s="27" t="str" cm="1">
        <f t="array" ref="P42">_xlfn.IFS(
AND(F42&gt;=750,H42&lt;=2),"Low Risk",
AND(F42&gt;=700,H42&lt;=5),"Medium Risk",
TRUE,"High Risk"
)</f>
        <v>High Risk</v>
      </c>
      <c r="Q42" s="5"/>
      <c r="R42" s="5"/>
      <c r="S42" s="5"/>
      <c r="T42" s="5"/>
      <c r="U42" s="5"/>
      <c r="V42" s="5"/>
      <c r="W42" s="5"/>
      <c r="X42" s="5"/>
      <c r="Y42" s="5"/>
    </row>
    <row r="43" spans="1:25" ht="15.75" customHeight="1" x14ac:dyDescent="0.25">
      <c r="A43" s="2">
        <v>43904</v>
      </c>
      <c r="B43" s="3">
        <v>20581</v>
      </c>
      <c r="C43" s="4" t="s">
        <v>33</v>
      </c>
      <c r="D43" s="4" t="str">
        <f t="shared" si="0"/>
        <v>Sales</v>
      </c>
      <c r="E43" s="4" t="str">
        <f t="shared" si="1"/>
        <v>Executive</v>
      </c>
      <c r="F43" s="13">
        <v>720</v>
      </c>
      <c r="G43" s="13">
        <v>5</v>
      </c>
      <c r="H43" s="13">
        <v>4</v>
      </c>
      <c r="I43" s="2">
        <v>34384</v>
      </c>
      <c r="J43" s="15">
        <v>530989</v>
      </c>
      <c r="K43" s="4" t="s">
        <v>14</v>
      </c>
      <c r="L43" s="27">
        <f t="shared" si="2"/>
        <v>1994</v>
      </c>
      <c r="M43" s="27">
        <f t="shared" si="3"/>
        <v>3</v>
      </c>
      <c r="N43" s="27">
        <f t="shared" ca="1" si="4"/>
        <v>32</v>
      </c>
      <c r="O43" s="27" t="str" cm="1">
        <f t="array" ref="O43">_xlfn.IFS($F43&gt;=750,"Excellent",$F43&gt;=700,"Good",$F43&gt;=650,"Moderate",
$F43&lt;650,"Risky"
)</f>
        <v>Good</v>
      </c>
      <c r="P43" s="27" t="str" cm="1">
        <f t="array" ref="P43">_xlfn.IFS(
AND(F43&gt;=750,H43&lt;=2),"Low Risk",
AND(F43&gt;=700,H43&lt;=5),"Medium Risk",
TRUE,"High Risk"
)</f>
        <v>Medium Risk</v>
      </c>
      <c r="Q43" s="5"/>
      <c r="R43" s="5"/>
      <c r="S43" s="5"/>
      <c r="T43" s="5"/>
      <c r="U43" s="5"/>
      <c r="V43" s="5"/>
      <c r="W43" s="5"/>
      <c r="X43" s="5"/>
      <c r="Y43" s="5"/>
    </row>
    <row r="44" spans="1:25" ht="15.75" customHeight="1" x14ac:dyDescent="0.25">
      <c r="A44" s="2">
        <v>44051</v>
      </c>
      <c r="B44" s="3">
        <v>30426</v>
      </c>
      <c r="C44" s="4" t="s">
        <v>34</v>
      </c>
      <c r="D44" s="4" t="str">
        <f t="shared" si="0"/>
        <v>Finance</v>
      </c>
      <c r="E44" s="4" t="str">
        <f t="shared" si="1"/>
        <v>Director</v>
      </c>
      <c r="F44" s="13">
        <v>708</v>
      </c>
      <c r="G44" s="13">
        <v>3</v>
      </c>
      <c r="H44" s="13">
        <v>2</v>
      </c>
      <c r="I44" s="2">
        <v>30113</v>
      </c>
      <c r="J44" s="15">
        <v>592934</v>
      </c>
      <c r="K44" s="4" t="s">
        <v>14</v>
      </c>
      <c r="L44" s="27">
        <f t="shared" si="2"/>
        <v>1982</v>
      </c>
      <c r="M44" s="27">
        <f t="shared" si="3"/>
        <v>8</v>
      </c>
      <c r="N44" s="27">
        <f t="shared" ca="1" si="4"/>
        <v>44</v>
      </c>
      <c r="O44" s="27" t="str" cm="1">
        <f t="array" ref="O44">_xlfn.IFS($F44&gt;=750,"Excellent",$F44&gt;=700,"Good",$F44&gt;=650,"Moderate",
$F44&lt;650,"Risky"
)</f>
        <v>Good</v>
      </c>
      <c r="P44" s="27" t="str" cm="1">
        <f t="array" ref="P44">_xlfn.IFS(
AND(F44&gt;=750,H44&lt;=2),"Low Risk",
AND(F44&gt;=700,H44&lt;=5),"Medium Risk",
TRUE,"High Risk"
)</f>
        <v>Medium Risk</v>
      </c>
      <c r="Q44" s="5"/>
      <c r="R44" s="5"/>
      <c r="S44" s="5"/>
      <c r="T44" s="5"/>
      <c r="U44" s="5"/>
      <c r="V44" s="5"/>
      <c r="W44" s="5"/>
      <c r="X44" s="5"/>
      <c r="Y44" s="5"/>
    </row>
    <row r="45" spans="1:25" ht="15.75" customHeight="1" x14ac:dyDescent="0.25">
      <c r="A45" s="2">
        <v>43849</v>
      </c>
      <c r="B45" s="3">
        <v>49292</v>
      </c>
      <c r="C45" s="4" t="s">
        <v>24</v>
      </c>
      <c r="D45" s="4" t="str">
        <f t="shared" si="0"/>
        <v>Strategy</v>
      </c>
      <c r="E45" s="4" t="str">
        <f t="shared" si="1"/>
        <v>Intern</v>
      </c>
      <c r="F45" s="13">
        <v>780</v>
      </c>
      <c r="G45" s="13">
        <v>5</v>
      </c>
      <c r="H45" s="13">
        <v>8</v>
      </c>
      <c r="I45" s="2">
        <v>29311</v>
      </c>
      <c r="J45" s="15">
        <v>977284</v>
      </c>
      <c r="K45" s="4" t="s">
        <v>14</v>
      </c>
      <c r="L45" s="27">
        <f t="shared" si="2"/>
        <v>1980</v>
      </c>
      <c r="M45" s="27">
        <f t="shared" si="3"/>
        <v>1</v>
      </c>
      <c r="N45" s="27">
        <f t="shared" ca="1" si="4"/>
        <v>46</v>
      </c>
      <c r="O45" s="27" t="str" cm="1">
        <f t="array" ref="O45">_xlfn.IFS($F45&gt;=750,"Excellent",$F45&gt;=700,"Good",$F45&gt;=650,"Moderate",
$F45&lt;650,"Risky"
)</f>
        <v>Excellent</v>
      </c>
      <c r="P45" s="27" t="str" cm="1">
        <f t="array" ref="P45">_xlfn.IFS(
AND(F45&gt;=750,H45&lt;=2),"Low Risk",
AND(F45&gt;=700,H45&lt;=5),"Medium Risk",
TRUE,"High Risk"
)</f>
        <v>High Risk</v>
      </c>
      <c r="Q45" s="5"/>
      <c r="R45" s="5"/>
      <c r="S45" s="5"/>
      <c r="T45" s="5"/>
      <c r="U45" s="5"/>
      <c r="V45" s="5"/>
      <c r="W45" s="5"/>
      <c r="X45" s="5"/>
      <c r="Y45" s="5"/>
    </row>
    <row r="46" spans="1:25" ht="15.75" customHeight="1" x14ac:dyDescent="0.25">
      <c r="A46" s="2">
        <v>44079</v>
      </c>
      <c r="B46" s="3">
        <v>94448</v>
      </c>
      <c r="C46" s="4" t="s">
        <v>25</v>
      </c>
      <c r="D46" s="4" t="str">
        <f t="shared" si="0"/>
        <v>Sales</v>
      </c>
      <c r="E46" s="4" t="str">
        <f t="shared" si="1"/>
        <v>Manager</v>
      </c>
      <c r="F46" s="13">
        <v>745</v>
      </c>
      <c r="G46" s="13">
        <v>2</v>
      </c>
      <c r="H46" s="13">
        <v>7</v>
      </c>
      <c r="I46" s="2">
        <v>32022</v>
      </c>
      <c r="J46" s="15">
        <v>972108</v>
      </c>
      <c r="K46" s="4" t="s">
        <v>21</v>
      </c>
      <c r="L46" s="27">
        <f t="shared" si="2"/>
        <v>1987</v>
      </c>
      <c r="M46" s="27">
        <f t="shared" si="3"/>
        <v>9</v>
      </c>
      <c r="N46" s="27">
        <f t="shared" ca="1" si="4"/>
        <v>39</v>
      </c>
      <c r="O46" s="27" t="str" cm="1">
        <f t="array" ref="O46">_xlfn.IFS($F46&gt;=750,"Excellent",$F46&gt;=700,"Good",$F46&gt;=650,"Moderate",
$F46&lt;650,"Risky"
)</f>
        <v>Good</v>
      </c>
      <c r="P46" s="27" t="str" cm="1">
        <f t="array" ref="P46">_xlfn.IFS(
AND(F46&gt;=750,H46&lt;=2),"Low Risk",
AND(F46&gt;=700,H46&lt;=5),"Medium Risk",
TRUE,"High Risk"
)</f>
        <v>High Risk</v>
      </c>
      <c r="Q46" s="5"/>
      <c r="R46" s="5"/>
      <c r="S46" s="5"/>
      <c r="T46" s="5"/>
      <c r="U46" s="5"/>
      <c r="V46" s="5"/>
      <c r="W46" s="5"/>
      <c r="X46" s="5"/>
      <c r="Y46" s="5"/>
    </row>
    <row r="47" spans="1:25" ht="15.75" customHeight="1" x14ac:dyDescent="0.25">
      <c r="A47" s="2">
        <v>43890</v>
      </c>
      <c r="B47" s="3">
        <v>22500</v>
      </c>
      <c r="C47" s="4" t="s">
        <v>24</v>
      </c>
      <c r="D47" s="4" t="str">
        <f t="shared" si="0"/>
        <v>Strategy</v>
      </c>
      <c r="E47" s="4" t="str">
        <f t="shared" si="1"/>
        <v>Intern</v>
      </c>
      <c r="F47" s="13">
        <v>770</v>
      </c>
      <c r="G47" s="13">
        <v>2</v>
      </c>
      <c r="H47" s="13">
        <v>2</v>
      </c>
      <c r="I47" s="2">
        <v>31000</v>
      </c>
      <c r="J47" s="15">
        <v>825108</v>
      </c>
      <c r="K47" s="4" t="s">
        <v>18</v>
      </c>
      <c r="L47" s="27">
        <f t="shared" si="2"/>
        <v>1984</v>
      </c>
      <c r="M47" s="27">
        <f t="shared" si="3"/>
        <v>2</v>
      </c>
      <c r="N47" s="27">
        <f t="shared" ca="1" si="4"/>
        <v>42</v>
      </c>
      <c r="O47" s="27" t="str" cm="1">
        <f t="array" ref="O47">_xlfn.IFS($F47&gt;=750,"Excellent",$F47&gt;=700,"Good",$F47&gt;=650,"Moderate",
$F47&lt;650,"Risky"
)</f>
        <v>Excellent</v>
      </c>
      <c r="P47" s="27" t="str" cm="1">
        <f t="array" ref="P47">_xlfn.IFS(
AND(F47&gt;=750,H47&lt;=2),"Low Risk",
AND(F47&gt;=700,H47&lt;=5),"Medium Risk",
TRUE,"High Risk"
)</f>
        <v>Low Risk</v>
      </c>
      <c r="Q47" s="5"/>
      <c r="R47" s="5"/>
      <c r="S47" s="5"/>
      <c r="T47" s="5"/>
      <c r="U47" s="5"/>
      <c r="V47" s="5"/>
      <c r="W47" s="5"/>
      <c r="X47" s="5"/>
      <c r="Y47" s="5"/>
    </row>
    <row r="48" spans="1:25" ht="15.75" customHeight="1" x14ac:dyDescent="0.25">
      <c r="A48" s="2">
        <v>44075</v>
      </c>
      <c r="B48" s="3">
        <v>47899</v>
      </c>
      <c r="C48" s="4" t="s">
        <v>26</v>
      </c>
      <c r="D48" s="4" t="str">
        <f t="shared" si="0"/>
        <v>Strategy</v>
      </c>
      <c r="E48" s="4" t="str">
        <f t="shared" si="1"/>
        <v>Manager</v>
      </c>
      <c r="F48" s="13">
        <v>730</v>
      </c>
      <c r="G48" s="13">
        <v>3</v>
      </c>
      <c r="H48" s="13">
        <v>7</v>
      </c>
      <c r="I48" s="2">
        <v>33994</v>
      </c>
      <c r="J48" s="15">
        <v>987840</v>
      </c>
      <c r="K48" s="4" t="s">
        <v>14</v>
      </c>
      <c r="L48" s="27">
        <f t="shared" si="2"/>
        <v>1993</v>
      </c>
      <c r="M48" s="27">
        <f t="shared" si="3"/>
        <v>9</v>
      </c>
      <c r="N48" s="27">
        <f t="shared" ca="1" si="4"/>
        <v>33</v>
      </c>
      <c r="O48" s="27" t="str" cm="1">
        <f t="array" ref="O48">_xlfn.IFS($F48&gt;=750,"Excellent",$F48&gt;=700,"Good",$F48&gt;=650,"Moderate",
$F48&lt;650,"Risky"
)</f>
        <v>Good</v>
      </c>
      <c r="P48" s="27" t="str" cm="1">
        <f t="array" ref="P48">_xlfn.IFS(
AND(F48&gt;=750,H48&lt;=2),"Low Risk",
AND(F48&gt;=700,H48&lt;=5),"Medium Risk",
TRUE,"High Risk"
)</f>
        <v>High Risk</v>
      </c>
      <c r="Q48" s="5"/>
      <c r="R48" s="5"/>
      <c r="S48" s="5"/>
      <c r="T48" s="5"/>
      <c r="U48" s="5"/>
      <c r="V48" s="5"/>
      <c r="W48" s="5"/>
      <c r="X48" s="5"/>
      <c r="Y48" s="5"/>
    </row>
    <row r="49" spans="1:25" ht="15.75" customHeight="1" x14ac:dyDescent="0.25">
      <c r="A49" s="2">
        <v>43935</v>
      </c>
      <c r="B49" s="3">
        <v>75076</v>
      </c>
      <c r="C49" s="4" t="s">
        <v>35</v>
      </c>
      <c r="D49" s="4" t="str">
        <f t="shared" si="0"/>
        <v>Growth</v>
      </c>
      <c r="E49" s="4" t="str">
        <f t="shared" si="1"/>
        <v>Intern</v>
      </c>
      <c r="F49" s="13">
        <v>784</v>
      </c>
      <c r="G49" s="13">
        <v>2</v>
      </c>
      <c r="H49" s="13">
        <v>4</v>
      </c>
      <c r="I49" s="2">
        <v>34028</v>
      </c>
      <c r="J49" s="15">
        <v>663661</v>
      </c>
      <c r="K49" s="4" t="s">
        <v>21</v>
      </c>
      <c r="L49" s="27">
        <f t="shared" si="2"/>
        <v>1993</v>
      </c>
      <c r="M49" s="27">
        <f t="shared" si="3"/>
        <v>4</v>
      </c>
      <c r="N49" s="27">
        <f t="shared" ca="1" si="4"/>
        <v>33</v>
      </c>
      <c r="O49" s="27" t="str" cm="1">
        <f t="array" ref="O49">_xlfn.IFS($F49&gt;=750,"Excellent",$F49&gt;=700,"Good",$F49&gt;=650,"Moderate",
$F49&lt;650,"Risky"
)</f>
        <v>Excellent</v>
      </c>
      <c r="P49" s="27" t="str" cm="1">
        <f t="array" ref="P49">_xlfn.IFS(
AND(F49&gt;=750,H49&lt;=2),"Low Risk",
AND(F49&gt;=700,H49&lt;=5),"Medium Risk",
TRUE,"High Risk"
)</f>
        <v>Medium Risk</v>
      </c>
      <c r="Q49" s="5"/>
      <c r="R49" s="5"/>
      <c r="S49" s="5"/>
      <c r="T49" s="5"/>
      <c r="U49" s="5"/>
      <c r="V49" s="5"/>
      <c r="W49" s="5"/>
      <c r="X49" s="5"/>
      <c r="Y49" s="5"/>
    </row>
    <row r="50" spans="1:25" ht="15.75" customHeight="1" x14ac:dyDescent="0.25">
      <c r="A50" s="2">
        <v>43883</v>
      </c>
      <c r="B50" s="3">
        <v>56315</v>
      </c>
      <c r="C50" s="4" t="s">
        <v>13</v>
      </c>
      <c r="D50" s="4" t="str">
        <f t="shared" si="0"/>
        <v>Marketing</v>
      </c>
      <c r="E50" s="4" t="str">
        <f t="shared" si="1"/>
        <v>Director</v>
      </c>
      <c r="F50" s="13">
        <v>764</v>
      </c>
      <c r="G50" s="13">
        <v>4</v>
      </c>
      <c r="H50" s="13">
        <v>9</v>
      </c>
      <c r="I50" s="2">
        <v>29235</v>
      </c>
      <c r="J50" s="15">
        <v>777563</v>
      </c>
      <c r="K50" s="4" t="s">
        <v>18</v>
      </c>
      <c r="L50" s="27">
        <f t="shared" si="2"/>
        <v>1980</v>
      </c>
      <c r="M50" s="27">
        <f t="shared" si="3"/>
        <v>2</v>
      </c>
      <c r="N50" s="27">
        <f t="shared" ca="1" si="4"/>
        <v>46</v>
      </c>
      <c r="O50" s="27" t="str" cm="1">
        <f t="array" ref="O50">_xlfn.IFS($F50&gt;=750,"Excellent",$F50&gt;=700,"Good",$F50&gt;=650,"Moderate",
$F50&lt;650,"Risky"
)</f>
        <v>Excellent</v>
      </c>
      <c r="P50" s="27" t="str" cm="1">
        <f t="array" ref="P50">_xlfn.IFS(
AND(F50&gt;=750,H50&lt;=2),"Low Risk",
AND(F50&gt;=700,H50&lt;=5),"Medium Risk",
TRUE,"High Risk"
)</f>
        <v>High Risk</v>
      </c>
      <c r="Q50" s="5"/>
      <c r="R50" s="5"/>
      <c r="S50" s="5"/>
      <c r="T50" s="5"/>
      <c r="U50" s="5"/>
      <c r="V50" s="5"/>
      <c r="W50" s="5"/>
      <c r="X50" s="5"/>
      <c r="Y50" s="5"/>
    </row>
    <row r="51" spans="1:25" ht="15.75" customHeight="1" x14ac:dyDescent="0.25">
      <c r="A51" s="2">
        <v>43877</v>
      </c>
      <c r="B51" s="3">
        <v>92530</v>
      </c>
      <c r="C51" s="4" t="s">
        <v>13</v>
      </c>
      <c r="D51" s="4" t="str">
        <f t="shared" si="0"/>
        <v>Marketing</v>
      </c>
      <c r="E51" s="4" t="str">
        <f t="shared" si="1"/>
        <v>Director</v>
      </c>
      <c r="F51" s="13">
        <v>745</v>
      </c>
      <c r="G51" s="13">
        <v>5</v>
      </c>
      <c r="H51" s="13">
        <v>5</v>
      </c>
      <c r="I51" s="2">
        <v>32844</v>
      </c>
      <c r="J51" s="15">
        <v>707004</v>
      </c>
      <c r="K51" s="4" t="s">
        <v>21</v>
      </c>
      <c r="L51" s="27">
        <f t="shared" si="2"/>
        <v>1989</v>
      </c>
      <c r="M51" s="27">
        <f t="shared" si="3"/>
        <v>2</v>
      </c>
      <c r="N51" s="27">
        <f t="shared" ca="1" si="4"/>
        <v>37</v>
      </c>
      <c r="O51" s="27" t="str" cm="1">
        <f t="array" ref="O51">_xlfn.IFS($F51&gt;=750,"Excellent",$F51&gt;=700,"Good",$F51&gt;=650,"Moderate",
$F51&lt;650,"Risky"
)</f>
        <v>Good</v>
      </c>
      <c r="P51" s="27" t="str" cm="1">
        <f t="array" ref="P51">_xlfn.IFS(
AND(F51&gt;=750,H51&lt;=2),"Low Risk",
AND(F51&gt;=700,H51&lt;=5),"Medium Risk",
TRUE,"High Risk"
)</f>
        <v>Medium Risk</v>
      </c>
      <c r="Q51" s="5"/>
      <c r="R51" s="5"/>
      <c r="S51" s="5"/>
      <c r="T51" s="5"/>
      <c r="U51" s="5"/>
      <c r="V51" s="5"/>
      <c r="W51" s="5"/>
      <c r="X51" s="5"/>
      <c r="Y51" s="5"/>
    </row>
    <row r="52" spans="1:25" ht="15.75" customHeight="1" x14ac:dyDescent="0.25">
      <c r="A52" s="2">
        <v>44031</v>
      </c>
      <c r="B52" s="3">
        <v>57609</v>
      </c>
      <c r="C52" s="4" t="s">
        <v>26</v>
      </c>
      <c r="D52" s="4" t="str">
        <f t="shared" si="0"/>
        <v>Strategy</v>
      </c>
      <c r="E52" s="4" t="str">
        <f t="shared" si="1"/>
        <v>Manager</v>
      </c>
      <c r="F52" s="13">
        <v>725</v>
      </c>
      <c r="G52" s="13">
        <v>2</v>
      </c>
      <c r="H52" s="13">
        <v>7</v>
      </c>
      <c r="I52" s="2">
        <v>30331</v>
      </c>
      <c r="J52" s="15">
        <v>631296</v>
      </c>
      <c r="K52" s="4" t="s">
        <v>21</v>
      </c>
      <c r="L52" s="27">
        <f t="shared" si="2"/>
        <v>1983</v>
      </c>
      <c r="M52" s="27">
        <f t="shared" si="3"/>
        <v>7</v>
      </c>
      <c r="N52" s="27">
        <f t="shared" ca="1" si="4"/>
        <v>43</v>
      </c>
      <c r="O52" s="27" t="str" cm="1">
        <f t="array" ref="O52">_xlfn.IFS($F52&gt;=750,"Excellent",$F52&gt;=700,"Good",$F52&gt;=650,"Moderate",
$F52&lt;650,"Risky"
)</f>
        <v>Good</v>
      </c>
      <c r="P52" s="27" t="str" cm="1">
        <f t="array" ref="P52">_xlfn.IFS(
AND(F52&gt;=750,H52&lt;=2),"Low Risk",
AND(F52&gt;=700,H52&lt;=5),"Medium Risk",
TRUE,"High Risk"
)</f>
        <v>High Risk</v>
      </c>
      <c r="Q52" s="5"/>
      <c r="R52" s="5"/>
      <c r="S52" s="5"/>
      <c r="T52" s="5"/>
      <c r="U52" s="5"/>
      <c r="V52" s="5"/>
      <c r="W52" s="5"/>
      <c r="X52" s="5"/>
      <c r="Y52" s="5"/>
    </row>
    <row r="53" spans="1:25" ht="15.75" customHeight="1" x14ac:dyDescent="0.25">
      <c r="A53" s="2">
        <v>44142</v>
      </c>
      <c r="B53" s="3">
        <v>27949</v>
      </c>
      <c r="C53" s="4" t="s">
        <v>17</v>
      </c>
      <c r="D53" s="4" t="str">
        <f t="shared" si="0"/>
        <v>Growth</v>
      </c>
      <c r="E53" s="4" t="str">
        <f t="shared" si="1"/>
        <v>Manager</v>
      </c>
      <c r="F53" s="13">
        <v>766</v>
      </c>
      <c r="G53" s="13">
        <v>3</v>
      </c>
      <c r="H53" s="13">
        <v>9</v>
      </c>
      <c r="I53" s="2">
        <v>32815</v>
      </c>
      <c r="J53" s="15">
        <v>839227</v>
      </c>
      <c r="K53" s="4" t="s">
        <v>18</v>
      </c>
      <c r="L53" s="27">
        <f t="shared" si="2"/>
        <v>1989</v>
      </c>
      <c r="M53" s="27">
        <f t="shared" si="3"/>
        <v>11</v>
      </c>
      <c r="N53" s="27">
        <f t="shared" ca="1" si="4"/>
        <v>37</v>
      </c>
      <c r="O53" s="27" t="str" cm="1">
        <f t="array" ref="O53">_xlfn.IFS($F53&gt;=750,"Excellent",$F53&gt;=700,"Good",$F53&gt;=650,"Moderate",
$F53&lt;650,"Risky"
)</f>
        <v>Excellent</v>
      </c>
      <c r="P53" s="27" t="str" cm="1">
        <f t="array" ref="P53">_xlfn.IFS(
AND(F53&gt;=750,H53&lt;=2),"Low Risk",
AND(F53&gt;=700,H53&lt;=5),"Medium Risk",
TRUE,"High Risk"
)</f>
        <v>High Risk</v>
      </c>
      <c r="Q53" s="5"/>
      <c r="R53" s="5"/>
      <c r="S53" s="5"/>
      <c r="T53" s="5"/>
      <c r="U53" s="5"/>
      <c r="V53" s="5"/>
      <c r="W53" s="5"/>
      <c r="X53" s="5"/>
      <c r="Y53" s="5"/>
    </row>
    <row r="54" spans="1:25" ht="15.75" customHeight="1" x14ac:dyDescent="0.25">
      <c r="A54" s="2">
        <v>44112</v>
      </c>
      <c r="B54" s="3">
        <v>40974</v>
      </c>
      <c r="C54" s="4" t="s">
        <v>30</v>
      </c>
      <c r="D54" s="4" t="str">
        <f t="shared" si="0"/>
        <v>Operation</v>
      </c>
      <c r="E54" s="4" t="str">
        <f t="shared" si="1"/>
        <v>Director</v>
      </c>
      <c r="F54" s="13">
        <v>766</v>
      </c>
      <c r="G54" s="13">
        <v>3</v>
      </c>
      <c r="H54" s="13">
        <v>1</v>
      </c>
      <c r="I54" s="2">
        <v>33000</v>
      </c>
      <c r="J54" s="15">
        <v>824832</v>
      </c>
      <c r="K54" s="4" t="s">
        <v>21</v>
      </c>
      <c r="L54" s="27">
        <f t="shared" si="2"/>
        <v>1990</v>
      </c>
      <c r="M54" s="27">
        <f t="shared" si="3"/>
        <v>10</v>
      </c>
      <c r="N54" s="27">
        <f t="shared" ca="1" si="4"/>
        <v>36</v>
      </c>
      <c r="O54" s="27" t="str" cm="1">
        <f t="array" ref="O54">_xlfn.IFS($F54&gt;=750,"Excellent",$F54&gt;=700,"Good",$F54&gt;=650,"Moderate",
$F54&lt;650,"Risky"
)</f>
        <v>Excellent</v>
      </c>
      <c r="P54" s="27" t="str" cm="1">
        <f t="array" ref="P54">_xlfn.IFS(
AND(F54&gt;=750,H54&lt;=2),"Low Risk",
AND(F54&gt;=700,H54&lt;=5),"Medium Risk",
TRUE,"High Risk"
)</f>
        <v>Low Risk</v>
      </c>
      <c r="Q54" s="5"/>
      <c r="R54" s="5"/>
      <c r="S54" s="5"/>
      <c r="T54" s="5"/>
      <c r="U54" s="5"/>
      <c r="V54" s="5"/>
      <c r="W54" s="5"/>
      <c r="X54" s="5"/>
      <c r="Y54" s="5"/>
    </row>
    <row r="55" spans="1:25" ht="15.75" customHeight="1" x14ac:dyDescent="0.25">
      <c r="A55" s="2">
        <v>43882</v>
      </c>
      <c r="B55" s="3">
        <v>13714</v>
      </c>
      <c r="C55" s="4" t="s">
        <v>36</v>
      </c>
      <c r="D55" s="4" t="str">
        <f t="shared" si="0"/>
        <v>Sales</v>
      </c>
      <c r="E55" s="4" t="str">
        <f t="shared" si="1"/>
        <v>Intern</v>
      </c>
      <c r="F55" s="13">
        <v>764</v>
      </c>
      <c r="G55" s="13">
        <v>1</v>
      </c>
      <c r="H55" s="13">
        <v>2</v>
      </c>
      <c r="I55" s="2">
        <v>29633</v>
      </c>
      <c r="J55" s="15">
        <v>723543</v>
      </c>
      <c r="K55" s="4" t="s">
        <v>21</v>
      </c>
      <c r="L55" s="27">
        <f t="shared" si="2"/>
        <v>1981</v>
      </c>
      <c r="M55" s="27">
        <f t="shared" si="3"/>
        <v>2</v>
      </c>
      <c r="N55" s="27">
        <f t="shared" ca="1" si="4"/>
        <v>45</v>
      </c>
      <c r="O55" s="27" t="str" cm="1">
        <f t="array" ref="O55">_xlfn.IFS($F55&gt;=750,"Excellent",$F55&gt;=700,"Good",$F55&gt;=650,"Moderate",
$F55&lt;650,"Risky"
)</f>
        <v>Excellent</v>
      </c>
      <c r="P55" s="27" t="str" cm="1">
        <f t="array" ref="P55">_xlfn.IFS(
AND(F55&gt;=750,H55&lt;=2),"Low Risk",
AND(F55&gt;=700,H55&lt;=5),"Medium Risk",
TRUE,"High Risk"
)</f>
        <v>Low Risk</v>
      </c>
      <c r="Q55" s="5"/>
      <c r="R55" s="5"/>
      <c r="S55" s="5"/>
      <c r="T55" s="5"/>
      <c r="U55" s="5"/>
      <c r="V55" s="5"/>
      <c r="W55" s="5"/>
      <c r="X55" s="5"/>
      <c r="Y55" s="5"/>
    </row>
    <row r="56" spans="1:25" ht="15.75" customHeight="1" x14ac:dyDescent="0.25">
      <c r="A56" s="2">
        <v>43933</v>
      </c>
      <c r="B56" s="3">
        <v>97726</v>
      </c>
      <c r="C56" s="4" t="s">
        <v>37</v>
      </c>
      <c r="D56" s="4" t="str">
        <f t="shared" si="0"/>
        <v>Strategy</v>
      </c>
      <c r="E56" s="4" t="str">
        <f t="shared" si="1"/>
        <v>Director</v>
      </c>
      <c r="F56" s="13">
        <v>764</v>
      </c>
      <c r="G56" s="13">
        <v>5</v>
      </c>
      <c r="H56" s="13">
        <v>5</v>
      </c>
      <c r="I56" s="2">
        <v>34407</v>
      </c>
      <c r="J56" s="15">
        <v>590718</v>
      </c>
      <c r="K56" s="4" t="s">
        <v>14</v>
      </c>
      <c r="L56" s="27">
        <f t="shared" si="2"/>
        <v>1994</v>
      </c>
      <c r="M56" s="27">
        <f t="shared" si="3"/>
        <v>4</v>
      </c>
      <c r="N56" s="27">
        <f t="shared" ca="1" si="4"/>
        <v>32</v>
      </c>
      <c r="O56" s="27" t="str" cm="1">
        <f t="array" ref="O56">_xlfn.IFS($F56&gt;=750,"Excellent",$F56&gt;=700,"Good",$F56&gt;=650,"Moderate",
$F56&lt;650,"Risky"
)</f>
        <v>Excellent</v>
      </c>
      <c r="P56" s="27" t="str" cm="1">
        <f t="array" ref="P56">_xlfn.IFS(
AND(F56&gt;=750,H56&lt;=2),"Low Risk",
AND(F56&gt;=700,H56&lt;=5),"Medium Risk",
TRUE,"High Risk"
)</f>
        <v>Medium Risk</v>
      </c>
      <c r="Q56" s="5"/>
      <c r="R56" s="5"/>
      <c r="S56" s="5"/>
      <c r="T56" s="5"/>
      <c r="U56" s="5"/>
      <c r="V56" s="5"/>
      <c r="W56" s="5"/>
      <c r="X56" s="5"/>
      <c r="Y56" s="5"/>
    </row>
    <row r="57" spans="1:25" ht="15.75" customHeight="1" x14ac:dyDescent="0.25">
      <c r="A57" s="2">
        <v>44086</v>
      </c>
      <c r="B57" s="3">
        <v>47573</v>
      </c>
      <c r="C57" s="4" t="s">
        <v>38</v>
      </c>
      <c r="D57" s="4" t="str">
        <f t="shared" si="0"/>
        <v>Finance</v>
      </c>
      <c r="E57" s="4" t="str">
        <f t="shared" si="1"/>
        <v>Manager</v>
      </c>
      <c r="F57" s="13">
        <v>713</v>
      </c>
      <c r="G57" s="13">
        <v>5</v>
      </c>
      <c r="H57" s="13">
        <v>2</v>
      </c>
      <c r="I57" s="2">
        <v>33134</v>
      </c>
      <c r="J57" s="15">
        <v>594633</v>
      </c>
      <c r="K57" s="4" t="s">
        <v>21</v>
      </c>
      <c r="L57" s="27">
        <f t="shared" si="2"/>
        <v>1990</v>
      </c>
      <c r="M57" s="27">
        <f t="shared" si="3"/>
        <v>9</v>
      </c>
      <c r="N57" s="27">
        <f t="shared" ca="1" si="4"/>
        <v>36</v>
      </c>
      <c r="O57" s="27" t="str" cm="1">
        <f t="array" ref="O57">_xlfn.IFS($F57&gt;=750,"Excellent",$F57&gt;=700,"Good",$F57&gt;=650,"Moderate",
$F57&lt;650,"Risky"
)</f>
        <v>Good</v>
      </c>
      <c r="P57" s="27" t="str" cm="1">
        <f t="array" ref="P57">_xlfn.IFS(
AND(F57&gt;=750,H57&lt;=2),"Low Risk",
AND(F57&gt;=700,H57&lt;=5),"Medium Risk",
TRUE,"High Risk"
)</f>
        <v>Medium Risk</v>
      </c>
      <c r="Q57" s="5"/>
      <c r="R57" s="5"/>
      <c r="S57" s="5"/>
      <c r="T57" s="5"/>
      <c r="U57" s="5"/>
      <c r="V57" s="5"/>
      <c r="W57" s="5"/>
      <c r="X57" s="5"/>
      <c r="Y57" s="5"/>
    </row>
    <row r="58" spans="1:25" ht="15.75" customHeight="1" x14ac:dyDescent="0.25">
      <c r="A58" s="2">
        <v>43916</v>
      </c>
      <c r="B58" s="3">
        <v>74884</v>
      </c>
      <c r="C58" s="4" t="s">
        <v>13</v>
      </c>
      <c r="D58" s="4" t="str">
        <f t="shared" si="0"/>
        <v>Marketing</v>
      </c>
      <c r="E58" s="4" t="str">
        <f t="shared" si="1"/>
        <v>Director</v>
      </c>
      <c r="F58" s="13">
        <v>747</v>
      </c>
      <c r="G58" s="13">
        <v>3</v>
      </c>
      <c r="H58" s="13">
        <v>1</v>
      </c>
      <c r="I58" s="2">
        <v>32473</v>
      </c>
      <c r="J58" s="15">
        <v>593509</v>
      </c>
      <c r="K58" s="4" t="s">
        <v>18</v>
      </c>
      <c r="L58" s="27">
        <f t="shared" si="2"/>
        <v>1988</v>
      </c>
      <c r="M58" s="27">
        <f t="shared" si="3"/>
        <v>3</v>
      </c>
      <c r="N58" s="27">
        <f t="shared" ca="1" si="4"/>
        <v>38</v>
      </c>
      <c r="O58" s="27" t="str" cm="1">
        <f t="array" ref="O58">_xlfn.IFS($F58&gt;=750,"Excellent",$F58&gt;=700,"Good",$F58&gt;=650,"Moderate",
$F58&lt;650,"Risky"
)</f>
        <v>Good</v>
      </c>
      <c r="P58" s="27" t="str" cm="1">
        <f t="array" ref="P58">_xlfn.IFS(
AND(F58&gt;=750,H58&lt;=2),"Low Risk",
AND(F58&gt;=700,H58&lt;=5),"Medium Risk",
TRUE,"High Risk"
)</f>
        <v>Medium Risk</v>
      </c>
      <c r="Q58" s="5"/>
      <c r="R58" s="5"/>
      <c r="S58" s="5"/>
      <c r="T58" s="5"/>
      <c r="U58" s="5"/>
      <c r="V58" s="5"/>
      <c r="W58" s="5"/>
      <c r="X58" s="5"/>
      <c r="Y58" s="5"/>
    </row>
    <row r="59" spans="1:25" ht="15.75" customHeight="1" x14ac:dyDescent="0.25">
      <c r="A59" s="2">
        <v>43870</v>
      </c>
      <c r="B59" s="3">
        <v>76428</v>
      </c>
      <c r="C59" s="4" t="s">
        <v>35</v>
      </c>
      <c r="D59" s="4" t="str">
        <f t="shared" si="0"/>
        <v>Growth</v>
      </c>
      <c r="E59" s="4" t="str">
        <f t="shared" si="1"/>
        <v>Intern</v>
      </c>
      <c r="F59" s="13">
        <v>765</v>
      </c>
      <c r="G59" s="13">
        <v>5</v>
      </c>
      <c r="H59" s="13">
        <v>7</v>
      </c>
      <c r="I59" s="2">
        <v>29838</v>
      </c>
      <c r="J59" s="15">
        <v>783116</v>
      </c>
      <c r="K59" s="4" t="s">
        <v>21</v>
      </c>
      <c r="L59" s="27">
        <f t="shared" si="2"/>
        <v>1981</v>
      </c>
      <c r="M59" s="27">
        <f t="shared" si="3"/>
        <v>2</v>
      </c>
      <c r="N59" s="27">
        <f t="shared" ca="1" si="4"/>
        <v>45</v>
      </c>
      <c r="O59" s="27" t="str" cm="1">
        <f t="array" ref="O59">_xlfn.IFS($F59&gt;=750,"Excellent",$F59&gt;=700,"Good",$F59&gt;=650,"Moderate",
$F59&lt;650,"Risky"
)</f>
        <v>Excellent</v>
      </c>
      <c r="P59" s="27" t="str" cm="1">
        <f t="array" ref="P59">_xlfn.IFS(
AND(F59&gt;=750,H59&lt;=2),"Low Risk",
AND(F59&gt;=700,H59&lt;=5),"Medium Risk",
TRUE,"High Risk"
)</f>
        <v>High Risk</v>
      </c>
      <c r="Q59" s="5"/>
      <c r="R59" s="5"/>
      <c r="S59" s="5"/>
      <c r="T59" s="5"/>
      <c r="U59" s="5"/>
      <c r="V59" s="5"/>
      <c r="W59" s="5"/>
      <c r="X59" s="5"/>
      <c r="Y59" s="5"/>
    </row>
    <row r="60" spans="1:25" ht="15.75" customHeight="1" x14ac:dyDescent="0.25">
      <c r="A60" s="2">
        <v>44024</v>
      </c>
      <c r="B60" s="3">
        <v>50387</v>
      </c>
      <c r="C60" s="4" t="s">
        <v>17</v>
      </c>
      <c r="D60" s="4" t="str">
        <f t="shared" si="0"/>
        <v>Growth</v>
      </c>
      <c r="E60" s="4" t="str">
        <f t="shared" si="1"/>
        <v>Manager</v>
      </c>
      <c r="F60" s="13">
        <v>730</v>
      </c>
      <c r="G60" s="13">
        <v>3</v>
      </c>
      <c r="H60" s="13">
        <v>10</v>
      </c>
      <c r="I60" s="2">
        <v>31096</v>
      </c>
      <c r="J60" s="15">
        <v>529032</v>
      </c>
      <c r="K60" s="4" t="s">
        <v>18</v>
      </c>
      <c r="L60" s="27">
        <f t="shared" si="2"/>
        <v>1985</v>
      </c>
      <c r="M60" s="27">
        <f t="shared" si="3"/>
        <v>7</v>
      </c>
      <c r="N60" s="27">
        <f t="shared" ca="1" si="4"/>
        <v>41</v>
      </c>
      <c r="O60" s="27" t="str" cm="1">
        <f t="array" ref="O60">_xlfn.IFS($F60&gt;=750,"Excellent",$F60&gt;=700,"Good",$F60&gt;=650,"Moderate",
$F60&lt;650,"Risky"
)</f>
        <v>Good</v>
      </c>
      <c r="P60" s="27" t="str" cm="1">
        <f t="array" ref="P60">_xlfn.IFS(
AND(F60&gt;=750,H60&lt;=2),"Low Risk",
AND(F60&gt;=700,H60&lt;=5),"Medium Risk",
TRUE,"High Risk"
)</f>
        <v>High Risk</v>
      </c>
      <c r="Q60" s="5"/>
      <c r="R60" s="5"/>
      <c r="S60" s="5"/>
      <c r="T60" s="5"/>
      <c r="U60" s="5"/>
      <c r="V60" s="5"/>
      <c r="W60" s="5"/>
      <c r="X60" s="5"/>
      <c r="Y60" s="5"/>
    </row>
    <row r="61" spans="1:25" ht="15.75" customHeight="1" x14ac:dyDescent="0.25">
      <c r="A61" s="2">
        <v>44090</v>
      </c>
      <c r="B61" s="3">
        <v>12937</v>
      </c>
      <c r="C61" s="4" t="s">
        <v>28</v>
      </c>
      <c r="D61" s="4" t="str">
        <f t="shared" si="0"/>
        <v>Growth</v>
      </c>
      <c r="E61" s="4" t="str">
        <f t="shared" si="1"/>
        <v>Director</v>
      </c>
      <c r="F61" s="13">
        <v>793</v>
      </c>
      <c r="G61" s="13">
        <v>4</v>
      </c>
      <c r="H61" s="13">
        <v>4</v>
      </c>
      <c r="I61" s="2">
        <v>29416</v>
      </c>
      <c r="J61" s="15">
        <v>872565</v>
      </c>
      <c r="K61" s="4" t="s">
        <v>14</v>
      </c>
      <c r="L61" s="27">
        <f t="shared" si="2"/>
        <v>1980</v>
      </c>
      <c r="M61" s="27">
        <f t="shared" si="3"/>
        <v>9</v>
      </c>
      <c r="N61" s="27">
        <f t="shared" ca="1" si="4"/>
        <v>46</v>
      </c>
      <c r="O61" s="27" t="str" cm="1">
        <f t="array" ref="O61">_xlfn.IFS($F61&gt;=750,"Excellent",$F61&gt;=700,"Good",$F61&gt;=650,"Moderate",
$F61&lt;650,"Risky"
)</f>
        <v>Excellent</v>
      </c>
      <c r="P61" s="27" t="str" cm="1">
        <f t="array" ref="P61">_xlfn.IFS(
AND(F61&gt;=750,H61&lt;=2),"Low Risk",
AND(F61&gt;=700,H61&lt;=5),"Medium Risk",
TRUE,"High Risk"
)</f>
        <v>Medium Risk</v>
      </c>
      <c r="Q61" s="5"/>
      <c r="R61" s="5"/>
      <c r="S61" s="5"/>
      <c r="T61" s="5"/>
      <c r="U61" s="5"/>
      <c r="V61" s="5"/>
      <c r="W61" s="5"/>
      <c r="X61" s="5"/>
      <c r="Y61" s="5"/>
    </row>
    <row r="62" spans="1:25" ht="15.75" customHeight="1" x14ac:dyDescent="0.25">
      <c r="A62" s="2">
        <v>44000</v>
      </c>
      <c r="B62" s="3">
        <v>15616</v>
      </c>
      <c r="C62" s="4" t="s">
        <v>32</v>
      </c>
      <c r="D62" s="4" t="str">
        <f t="shared" si="0"/>
        <v>Finance</v>
      </c>
      <c r="E62" s="4" t="str">
        <f t="shared" si="1"/>
        <v>Executive</v>
      </c>
      <c r="F62" s="13">
        <v>744</v>
      </c>
      <c r="G62" s="13">
        <v>4</v>
      </c>
      <c r="H62" s="13">
        <v>6</v>
      </c>
      <c r="I62" s="2">
        <v>31527</v>
      </c>
      <c r="J62" s="15">
        <v>920076</v>
      </c>
      <c r="K62" s="4" t="s">
        <v>18</v>
      </c>
      <c r="L62" s="27">
        <f t="shared" si="2"/>
        <v>1986</v>
      </c>
      <c r="M62" s="27">
        <f t="shared" si="3"/>
        <v>6</v>
      </c>
      <c r="N62" s="27">
        <f t="shared" ca="1" si="4"/>
        <v>40</v>
      </c>
      <c r="O62" s="27" t="str" cm="1">
        <f t="array" ref="O62">_xlfn.IFS($F62&gt;=750,"Excellent",$F62&gt;=700,"Good",$F62&gt;=650,"Moderate",
$F62&lt;650,"Risky"
)</f>
        <v>Good</v>
      </c>
      <c r="P62" s="27" t="str" cm="1">
        <f t="array" ref="P62">_xlfn.IFS(
AND(F62&gt;=750,H62&lt;=2),"Low Risk",
AND(F62&gt;=700,H62&lt;=5),"Medium Risk",
TRUE,"High Risk"
)</f>
        <v>High Risk</v>
      </c>
      <c r="Q62" s="5"/>
      <c r="R62" s="5"/>
      <c r="S62" s="5"/>
      <c r="T62" s="5"/>
      <c r="U62" s="5"/>
      <c r="V62" s="5"/>
      <c r="W62" s="5"/>
      <c r="X62" s="5"/>
      <c r="Y62" s="5"/>
    </row>
    <row r="63" spans="1:25" ht="15.75" customHeight="1" x14ac:dyDescent="0.25">
      <c r="A63" s="2">
        <v>43903</v>
      </c>
      <c r="B63" s="3">
        <v>72192</v>
      </c>
      <c r="C63" s="4" t="s">
        <v>30</v>
      </c>
      <c r="D63" s="4" t="str">
        <f t="shared" si="0"/>
        <v>Operation</v>
      </c>
      <c r="E63" s="4" t="str">
        <f t="shared" si="1"/>
        <v>Director</v>
      </c>
      <c r="F63" s="13">
        <v>721</v>
      </c>
      <c r="G63" s="13">
        <v>4</v>
      </c>
      <c r="H63" s="13">
        <v>10</v>
      </c>
      <c r="I63" s="2">
        <v>30745</v>
      </c>
      <c r="J63" s="15">
        <v>550092</v>
      </c>
      <c r="K63" s="4" t="s">
        <v>18</v>
      </c>
      <c r="L63" s="27">
        <f t="shared" si="2"/>
        <v>1984</v>
      </c>
      <c r="M63" s="27">
        <f t="shared" si="3"/>
        <v>3</v>
      </c>
      <c r="N63" s="27">
        <f t="shared" ca="1" si="4"/>
        <v>42</v>
      </c>
      <c r="O63" s="27" t="str" cm="1">
        <f t="array" ref="O63">_xlfn.IFS($F63&gt;=750,"Excellent",$F63&gt;=700,"Good",$F63&gt;=650,"Moderate",
$F63&lt;650,"Risky"
)</f>
        <v>Good</v>
      </c>
      <c r="P63" s="27" t="str" cm="1">
        <f t="array" ref="P63">_xlfn.IFS(
AND(F63&gt;=750,H63&lt;=2),"Low Risk",
AND(F63&gt;=700,H63&lt;=5),"Medium Risk",
TRUE,"High Risk"
)</f>
        <v>High Risk</v>
      </c>
      <c r="Q63" s="5"/>
      <c r="R63" s="5"/>
      <c r="S63" s="5"/>
      <c r="T63" s="5"/>
      <c r="U63" s="5"/>
      <c r="V63" s="5"/>
      <c r="W63" s="5"/>
      <c r="X63" s="5"/>
      <c r="Y63" s="5"/>
    </row>
    <row r="64" spans="1:25" ht="15.75" customHeight="1" x14ac:dyDescent="0.25">
      <c r="A64" s="2">
        <v>43850</v>
      </c>
      <c r="B64" s="3">
        <v>49278</v>
      </c>
      <c r="C64" s="4" t="s">
        <v>15</v>
      </c>
      <c r="D64" s="4" t="str">
        <f t="shared" si="0"/>
        <v>Operation</v>
      </c>
      <c r="E64" s="4" t="str">
        <f t="shared" si="1"/>
        <v>Executive</v>
      </c>
      <c r="F64" s="13">
        <v>766</v>
      </c>
      <c r="G64" s="13">
        <v>4</v>
      </c>
      <c r="H64" s="13">
        <v>5</v>
      </c>
      <c r="I64" s="2">
        <v>32688</v>
      </c>
      <c r="J64" s="15">
        <v>930726</v>
      </c>
      <c r="K64" s="4" t="s">
        <v>18</v>
      </c>
      <c r="L64" s="27">
        <f t="shared" si="2"/>
        <v>1989</v>
      </c>
      <c r="M64" s="27">
        <f t="shared" si="3"/>
        <v>1</v>
      </c>
      <c r="N64" s="27">
        <f t="shared" ca="1" si="4"/>
        <v>37</v>
      </c>
      <c r="O64" s="27" t="str" cm="1">
        <f t="array" ref="O64">_xlfn.IFS($F64&gt;=750,"Excellent",$F64&gt;=700,"Good",$F64&gt;=650,"Moderate",
$F64&lt;650,"Risky"
)</f>
        <v>Excellent</v>
      </c>
      <c r="P64" s="27" t="str" cm="1">
        <f t="array" ref="P64">_xlfn.IFS(
AND(F64&gt;=750,H64&lt;=2),"Low Risk",
AND(F64&gt;=700,H64&lt;=5),"Medium Risk",
TRUE,"High Risk"
)</f>
        <v>Medium Risk</v>
      </c>
      <c r="Q64" s="5"/>
      <c r="R64" s="5"/>
      <c r="S64" s="5"/>
      <c r="T64" s="5"/>
      <c r="U64" s="5"/>
      <c r="V64" s="5"/>
      <c r="W64" s="5"/>
      <c r="X64" s="5"/>
      <c r="Y64" s="5"/>
    </row>
    <row r="65" spans="1:25" ht="15.75" customHeight="1" x14ac:dyDescent="0.25">
      <c r="A65" s="2">
        <v>43937</v>
      </c>
      <c r="B65" s="3">
        <v>11412</v>
      </c>
      <c r="C65" s="4" t="s">
        <v>38</v>
      </c>
      <c r="D65" s="4" t="str">
        <f t="shared" si="0"/>
        <v>Finance</v>
      </c>
      <c r="E65" s="4" t="str">
        <f t="shared" si="1"/>
        <v>Manager</v>
      </c>
      <c r="F65" s="13">
        <v>728</v>
      </c>
      <c r="G65" s="13">
        <v>2</v>
      </c>
      <c r="H65" s="13">
        <v>1</v>
      </c>
      <c r="I65" s="2">
        <v>33673</v>
      </c>
      <c r="J65" s="15">
        <v>991788</v>
      </c>
      <c r="K65" s="4" t="s">
        <v>21</v>
      </c>
      <c r="L65" s="27">
        <f t="shared" si="2"/>
        <v>1992</v>
      </c>
      <c r="M65" s="27">
        <f t="shared" si="3"/>
        <v>4</v>
      </c>
      <c r="N65" s="27">
        <f t="shared" ca="1" si="4"/>
        <v>34</v>
      </c>
      <c r="O65" s="27" t="str" cm="1">
        <f t="array" ref="O65">_xlfn.IFS($F65&gt;=750,"Excellent",$F65&gt;=700,"Good",$F65&gt;=650,"Moderate",
$F65&lt;650,"Risky"
)</f>
        <v>Good</v>
      </c>
      <c r="P65" s="27" t="str" cm="1">
        <f t="array" ref="P65">_xlfn.IFS(
AND(F65&gt;=750,H65&lt;=2),"Low Risk",
AND(F65&gt;=700,H65&lt;=5),"Medium Risk",
TRUE,"High Risk"
)</f>
        <v>Medium Risk</v>
      </c>
      <c r="Q65" s="5"/>
      <c r="R65" s="5"/>
      <c r="S65" s="5"/>
      <c r="T65" s="5"/>
      <c r="U65" s="5"/>
      <c r="V65" s="5"/>
      <c r="W65" s="5"/>
      <c r="X65" s="5"/>
      <c r="Y65" s="5"/>
    </row>
    <row r="66" spans="1:25" ht="15.75" customHeight="1" x14ac:dyDescent="0.25">
      <c r="A66" s="2">
        <v>43965</v>
      </c>
      <c r="B66" s="3">
        <v>20769</v>
      </c>
      <c r="C66" s="4" t="s">
        <v>23</v>
      </c>
      <c r="D66" s="4" t="str">
        <f t="shared" si="0"/>
        <v>Marketing</v>
      </c>
      <c r="E66" s="4" t="str">
        <f t="shared" si="1"/>
        <v>Intern</v>
      </c>
      <c r="F66" s="13">
        <v>738</v>
      </c>
      <c r="G66" s="13">
        <v>1</v>
      </c>
      <c r="H66" s="13">
        <v>10</v>
      </c>
      <c r="I66" s="2">
        <v>29889</v>
      </c>
      <c r="J66" s="15">
        <v>976010</v>
      </c>
      <c r="K66" s="4" t="s">
        <v>18</v>
      </c>
      <c r="L66" s="27">
        <f t="shared" si="2"/>
        <v>1981</v>
      </c>
      <c r="M66" s="27">
        <f t="shared" si="3"/>
        <v>5</v>
      </c>
      <c r="N66" s="27">
        <f t="shared" ca="1" si="4"/>
        <v>45</v>
      </c>
      <c r="O66" s="27" t="str" cm="1">
        <f t="array" ref="O66">_xlfn.IFS($F66&gt;=750,"Excellent",$F66&gt;=700,"Good",$F66&gt;=650,"Moderate",
$F66&lt;650,"Risky"
)</f>
        <v>Good</v>
      </c>
      <c r="P66" s="27" t="str" cm="1">
        <f t="array" ref="P66">_xlfn.IFS(
AND(F66&gt;=750,H66&lt;=2),"Low Risk",
AND(F66&gt;=700,H66&lt;=5),"Medium Risk",
TRUE,"High Risk"
)</f>
        <v>High Risk</v>
      </c>
      <c r="Q66" s="5"/>
      <c r="R66" s="5"/>
      <c r="S66" s="5"/>
      <c r="T66" s="5"/>
      <c r="U66" s="5"/>
      <c r="V66" s="5"/>
      <c r="W66" s="5"/>
      <c r="X66" s="5"/>
      <c r="Y66" s="5"/>
    </row>
    <row r="67" spans="1:25" ht="15.75" customHeight="1" x14ac:dyDescent="0.25">
      <c r="A67" s="2">
        <v>44144</v>
      </c>
      <c r="B67" s="3">
        <v>74837</v>
      </c>
      <c r="C67" s="4" t="s">
        <v>24</v>
      </c>
      <c r="D67" s="4" t="str">
        <f t="shared" si="0"/>
        <v>Strategy</v>
      </c>
      <c r="E67" s="4" t="str">
        <f t="shared" si="1"/>
        <v>Intern</v>
      </c>
      <c r="F67" s="13">
        <v>743</v>
      </c>
      <c r="G67" s="13">
        <v>4</v>
      </c>
      <c r="H67" s="13">
        <v>9</v>
      </c>
      <c r="I67" s="2">
        <v>30604</v>
      </c>
      <c r="J67" s="15">
        <v>902767</v>
      </c>
      <c r="K67" s="4" t="s">
        <v>21</v>
      </c>
      <c r="L67" s="27">
        <f t="shared" si="2"/>
        <v>1983</v>
      </c>
      <c r="M67" s="27">
        <f t="shared" si="3"/>
        <v>11</v>
      </c>
      <c r="N67" s="27">
        <f t="shared" ref="N67:N130" ca="1" si="5" xml:space="preserve"> YEAR(TODAY()) - $L67</f>
        <v>43</v>
      </c>
      <c r="O67" s="27" t="str" cm="1">
        <f t="array" ref="O67">_xlfn.IFS($F67&gt;=750,"Excellent",$F67&gt;=700,"Good",$F67&gt;=650,"Moderate",
$F67&lt;650,"Risky"
)</f>
        <v>Good</v>
      </c>
      <c r="P67" s="27" t="str" cm="1">
        <f t="array" ref="P67">_xlfn.IFS(
AND(F67&gt;=750,H67&lt;=2),"Low Risk",
AND(F67&gt;=700,H67&lt;=5),"Medium Risk",
TRUE,"High Risk"
)</f>
        <v>High Risk</v>
      </c>
      <c r="Q67" s="5"/>
      <c r="R67" s="5"/>
      <c r="S67" s="5"/>
      <c r="T67" s="5"/>
      <c r="U67" s="5"/>
      <c r="V67" s="5"/>
      <c r="W67" s="5"/>
      <c r="X67" s="5"/>
      <c r="Y67" s="5"/>
    </row>
    <row r="68" spans="1:25" ht="15.75" customHeight="1" x14ac:dyDescent="0.25">
      <c r="A68" s="2">
        <v>43983</v>
      </c>
      <c r="B68" s="3">
        <v>58946</v>
      </c>
      <c r="C68" s="4" t="s">
        <v>36</v>
      </c>
      <c r="D68" s="4" t="str">
        <f t="shared" si="0"/>
        <v>Sales</v>
      </c>
      <c r="E68" s="4" t="str">
        <f t="shared" si="1"/>
        <v>Intern</v>
      </c>
      <c r="F68" s="13">
        <v>746</v>
      </c>
      <c r="G68" s="13">
        <v>1</v>
      </c>
      <c r="H68" s="13">
        <v>10</v>
      </c>
      <c r="I68" s="2">
        <v>34413</v>
      </c>
      <c r="J68" s="15">
        <v>608505</v>
      </c>
      <c r="K68" s="4" t="s">
        <v>18</v>
      </c>
      <c r="L68" s="27">
        <f t="shared" si="2"/>
        <v>1994</v>
      </c>
      <c r="M68" s="27">
        <f t="shared" si="3"/>
        <v>6</v>
      </c>
      <c r="N68" s="27">
        <f t="shared" ca="1" si="5"/>
        <v>32</v>
      </c>
      <c r="O68" s="27" t="str" cm="1">
        <f t="array" ref="O68">_xlfn.IFS($F68&gt;=750,"Excellent",$F68&gt;=700,"Good",$F68&gt;=650,"Moderate",
$F68&lt;650,"Risky"
)</f>
        <v>Good</v>
      </c>
      <c r="P68" s="27" t="str" cm="1">
        <f t="array" ref="P68">_xlfn.IFS(
AND(F68&gt;=750,H68&lt;=2),"Low Risk",
AND(F68&gt;=700,H68&lt;=5),"Medium Risk",
TRUE,"High Risk"
)</f>
        <v>High Risk</v>
      </c>
      <c r="Q68" s="5"/>
      <c r="R68" s="5"/>
      <c r="S68" s="5"/>
      <c r="T68" s="5"/>
      <c r="U68" s="5"/>
      <c r="V68" s="5"/>
      <c r="W68" s="5"/>
      <c r="X68" s="5"/>
      <c r="Y68" s="5"/>
    </row>
    <row r="69" spans="1:25" ht="15.75" customHeight="1" x14ac:dyDescent="0.25">
      <c r="A69" s="2">
        <v>44075</v>
      </c>
      <c r="B69" s="3">
        <v>55374</v>
      </c>
      <c r="C69" s="4" t="s">
        <v>26</v>
      </c>
      <c r="D69" s="4" t="str">
        <f t="shared" si="0"/>
        <v>Strategy</v>
      </c>
      <c r="E69" s="4" t="str">
        <f t="shared" si="1"/>
        <v>Manager</v>
      </c>
      <c r="F69" s="13">
        <v>732</v>
      </c>
      <c r="G69" s="13">
        <v>5</v>
      </c>
      <c r="H69" s="13">
        <v>4</v>
      </c>
      <c r="I69" s="2">
        <v>30671</v>
      </c>
      <c r="J69" s="15">
        <v>628484</v>
      </c>
      <c r="K69" s="4" t="s">
        <v>21</v>
      </c>
      <c r="L69" s="27">
        <f t="shared" si="2"/>
        <v>1983</v>
      </c>
      <c r="M69" s="27">
        <f t="shared" si="3"/>
        <v>9</v>
      </c>
      <c r="N69" s="27">
        <f t="shared" ca="1" si="5"/>
        <v>43</v>
      </c>
      <c r="O69" s="27" t="str" cm="1">
        <f t="array" ref="O69">_xlfn.IFS($F69&gt;=750,"Excellent",$F69&gt;=700,"Good",$F69&gt;=650,"Moderate",
$F69&lt;650,"Risky"
)</f>
        <v>Good</v>
      </c>
      <c r="P69" s="27" t="str" cm="1">
        <f t="array" ref="P69">_xlfn.IFS(
AND(F69&gt;=750,H69&lt;=2),"Low Risk",
AND(F69&gt;=700,H69&lt;=5),"Medium Risk",
TRUE,"High Risk"
)</f>
        <v>Medium Risk</v>
      </c>
      <c r="Q69" s="5"/>
      <c r="R69" s="5"/>
      <c r="S69" s="5"/>
      <c r="T69" s="5"/>
      <c r="U69" s="5"/>
      <c r="V69" s="5"/>
      <c r="W69" s="5"/>
      <c r="X69" s="5"/>
      <c r="Y69" s="5"/>
    </row>
    <row r="70" spans="1:25" ht="15.75" customHeight="1" x14ac:dyDescent="0.25">
      <c r="A70" s="2">
        <v>43983</v>
      </c>
      <c r="B70" s="3">
        <v>86884</v>
      </c>
      <c r="C70" s="4" t="s">
        <v>29</v>
      </c>
      <c r="D70" s="4" t="str">
        <f t="shared" si="0"/>
        <v>Sales</v>
      </c>
      <c r="E70" s="4" t="str">
        <f t="shared" si="1"/>
        <v>Director</v>
      </c>
      <c r="F70" s="13">
        <v>757</v>
      </c>
      <c r="G70" s="13">
        <v>4</v>
      </c>
      <c r="H70" s="13">
        <v>4</v>
      </c>
      <c r="I70" s="2">
        <v>29251</v>
      </c>
      <c r="J70" s="15">
        <v>768611</v>
      </c>
      <c r="K70" s="4" t="s">
        <v>21</v>
      </c>
      <c r="L70" s="27">
        <f t="shared" si="2"/>
        <v>1980</v>
      </c>
      <c r="M70" s="27">
        <f t="shared" si="3"/>
        <v>6</v>
      </c>
      <c r="N70" s="27">
        <f t="shared" ca="1" si="5"/>
        <v>46</v>
      </c>
      <c r="O70" s="27" t="str" cm="1">
        <f t="array" ref="O70">_xlfn.IFS($F70&gt;=750,"Excellent",$F70&gt;=700,"Good",$F70&gt;=650,"Moderate",
$F70&lt;650,"Risky"
)</f>
        <v>Excellent</v>
      </c>
      <c r="P70" s="27" t="str" cm="1">
        <f t="array" ref="P70">_xlfn.IFS(
AND(F70&gt;=750,H70&lt;=2),"Low Risk",
AND(F70&gt;=700,H70&lt;=5),"Medium Risk",
TRUE,"High Risk"
)</f>
        <v>Medium Risk</v>
      </c>
      <c r="Q70" s="5"/>
      <c r="R70" s="5"/>
      <c r="S70" s="5"/>
      <c r="T70" s="5"/>
      <c r="U70" s="5"/>
      <c r="V70" s="5"/>
      <c r="W70" s="5"/>
      <c r="X70" s="5"/>
      <c r="Y70" s="5"/>
    </row>
    <row r="71" spans="1:25" ht="15.75" customHeight="1" x14ac:dyDescent="0.25">
      <c r="A71" s="2">
        <v>43850</v>
      </c>
      <c r="B71" s="3">
        <v>77116</v>
      </c>
      <c r="C71" s="4" t="s">
        <v>28</v>
      </c>
      <c r="D71" s="4" t="str">
        <f t="shared" si="0"/>
        <v>Growth</v>
      </c>
      <c r="E71" s="4" t="str">
        <f t="shared" si="1"/>
        <v>Director</v>
      </c>
      <c r="F71" s="13">
        <v>733</v>
      </c>
      <c r="G71" s="13">
        <v>5</v>
      </c>
      <c r="H71" s="13">
        <v>7</v>
      </c>
      <c r="I71" s="2">
        <v>31523</v>
      </c>
      <c r="J71" s="15">
        <v>931758</v>
      </c>
      <c r="K71" s="4" t="s">
        <v>14</v>
      </c>
      <c r="L71" s="27">
        <f t="shared" si="2"/>
        <v>1986</v>
      </c>
      <c r="M71" s="27">
        <f t="shared" si="3"/>
        <v>1</v>
      </c>
      <c r="N71" s="27">
        <f t="shared" ca="1" si="5"/>
        <v>40</v>
      </c>
      <c r="O71" s="27" t="str" cm="1">
        <f t="array" ref="O71">_xlfn.IFS($F71&gt;=750,"Excellent",$F71&gt;=700,"Good",$F71&gt;=650,"Moderate",
$F71&lt;650,"Risky"
)</f>
        <v>Good</v>
      </c>
      <c r="P71" s="27" t="str" cm="1">
        <f t="array" ref="P71">_xlfn.IFS(
AND(F71&gt;=750,H71&lt;=2),"Low Risk",
AND(F71&gt;=700,H71&lt;=5),"Medium Risk",
TRUE,"High Risk"
)</f>
        <v>High Risk</v>
      </c>
      <c r="Q71" s="5"/>
      <c r="R71" s="5"/>
      <c r="S71" s="5"/>
      <c r="T71" s="5"/>
      <c r="U71" s="5"/>
      <c r="V71" s="5"/>
      <c r="W71" s="5"/>
      <c r="X71" s="5"/>
      <c r="Y71" s="5"/>
    </row>
    <row r="72" spans="1:25" ht="15.75" customHeight="1" x14ac:dyDescent="0.25">
      <c r="A72" s="2">
        <v>43925</v>
      </c>
      <c r="B72" s="3">
        <v>54328</v>
      </c>
      <c r="C72" s="4" t="s">
        <v>25</v>
      </c>
      <c r="D72" s="4" t="str">
        <f t="shared" si="0"/>
        <v>Sales</v>
      </c>
      <c r="E72" s="4" t="str">
        <f t="shared" si="1"/>
        <v>Manager</v>
      </c>
      <c r="F72" s="13">
        <v>774</v>
      </c>
      <c r="G72" s="13">
        <v>1</v>
      </c>
      <c r="H72" s="13">
        <v>5</v>
      </c>
      <c r="I72" s="2">
        <v>33456</v>
      </c>
      <c r="J72" s="15">
        <v>768131</v>
      </c>
      <c r="K72" s="4" t="s">
        <v>21</v>
      </c>
      <c r="L72" s="27">
        <f t="shared" si="2"/>
        <v>1991</v>
      </c>
      <c r="M72" s="27">
        <f t="shared" si="3"/>
        <v>4</v>
      </c>
      <c r="N72" s="27">
        <f t="shared" ca="1" si="5"/>
        <v>35</v>
      </c>
      <c r="O72" s="27" t="str" cm="1">
        <f t="array" ref="O72">_xlfn.IFS($F72&gt;=750,"Excellent",$F72&gt;=700,"Good",$F72&gt;=650,"Moderate",
$F72&lt;650,"Risky"
)</f>
        <v>Excellent</v>
      </c>
      <c r="P72" s="27" t="str" cm="1">
        <f t="array" ref="P72">_xlfn.IFS(
AND(F72&gt;=750,H72&lt;=2),"Low Risk",
AND(F72&gt;=700,H72&lt;=5),"Medium Risk",
TRUE,"High Risk"
)</f>
        <v>Medium Risk</v>
      </c>
      <c r="Q72" s="5"/>
      <c r="R72" s="5"/>
      <c r="S72" s="5"/>
      <c r="T72" s="5"/>
      <c r="U72" s="5"/>
      <c r="V72" s="5"/>
      <c r="W72" s="5"/>
      <c r="X72" s="5"/>
      <c r="Y72" s="5"/>
    </row>
    <row r="73" spans="1:25" ht="15.75" customHeight="1" x14ac:dyDescent="0.25">
      <c r="A73" s="2">
        <v>43990</v>
      </c>
      <c r="B73" s="3">
        <v>63547</v>
      </c>
      <c r="C73" s="4" t="s">
        <v>27</v>
      </c>
      <c r="D73" s="4" t="str">
        <f t="shared" si="0"/>
        <v>Operation</v>
      </c>
      <c r="E73" s="4" t="str">
        <f t="shared" si="1"/>
        <v>Intern</v>
      </c>
      <c r="F73" s="13">
        <v>724</v>
      </c>
      <c r="G73" s="13">
        <v>5</v>
      </c>
      <c r="H73" s="13">
        <v>8</v>
      </c>
      <c r="I73" s="2">
        <v>29806</v>
      </c>
      <c r="J73" s="15">
        <v>512571</v>
      </c>
      <c r="K73" s="4" t="s">
        <v>18</v>
      </c>
      <c r="L73" s="27">
        <f t="shared" si="2"/>
        <v>1981</v>
      </c>
      <c r="M73" s="27">
        <f t="shared" si="3"/>
        <v>6</v>
      </c>
      <c r="N73" s="27">
        <f t="shared" ca="1" si="5"/>
        <v>45</v>
      </c>
      <c r="O73" s="27" t="str" cm="1">
        <f t="array" ref="O73">_xlfn.IFS($F73&gt;=750,"Excellent",$F73&gt;=700,"Good",$F73&gt;=650,"Moderate",
$F73&lt;650,"Risky"
)</f>
        <v>Good</v>
      </c>
      <c r="P73" s="27" t="str" cm="1">
        <f t="array" ref="P73">_xlfn.IFS(
AND(F73&gt;=750,H73&lt;=2),"Low Risk",
AND(F73&gt;=700,H73&lt;=5),"Medium Risk",
TRUE,"High Risk"
)</f>
        <v>High Risk</v>
      </c>
      <c r="Q73" s="5"/>
      <c r="R73" s="5"/>
      <c r="S73" s="5"/>
      <c r="T73" s="5"/>
      <c r="U73" s="5"/>
      <c r="V73" s="5"/>
      <c r="W73" s="5"/>
      <c r="X73" s="5"/>
      <c r="Y73" s="5"/>
    </row>
    <row r="74" spans="1:25" ht="15.75" customHeight="1" x14ac:dyDescent="0.25">
      <c r="A74" s="2">
        <v>44081</v>
      </c>
      <c r="B74" s="3">
        <v>56877</v>
      </c>
      <c r="C74" s="4" t="s">
        <v>36</v>
      </c>
      <c r="D74" s="4" t="str">
        <f t="shared" si="0"/>
        <v>Sales</v>
      </c>
      <c r="E74" s="4" t="str">
        <f t="shared" si="1"/>
        <v>Intern</v>
      </c>
      <c r="F74" s="13">
        <v>790</v>
      </c>
      <c r="G74" s="13">
        <v>5</v>
      </c>
      <c r="H74" s="13">
        <v>2</v>
      </c>
      <c r="I74" s="2">
        <v>33044</v>
      </c>
      <c r="J74" s="15">
        <v>512991</v>
      </c>
      <c r="K74" s="4" t="s">
        <v>18</v>
      </c>
      <c r="L74" s="27">
        <f t="shared" si="2"/>
        <v>1990</v>
      </c>
      <c r="M74" s="27">
        <f t="shared" si="3"/>
        <v>9</v>
      </c>
      <c r="N74" s="27">
        <f t="shared" ca="1" si="5"/>
        <v>36</v>
      </c>
      <c r="O74" s="27" t="str" cm="1">
        <f t="array" ref="O74">_xlfn.IFS($F74&gt;=750,"Excellent",$F74&gt;=700,"Good",$F74&gt;=650,"Moderate",
$F74&lt;650,"Risky"
)</f>
        <v>Excellent</v>
      </c>
      <c r="P74" s="27" t="str" cm="1">
        <f t="array" ref="P74">_xlfn.IFS(
AND(F74&gt;=750,H74&lt;=2),"Low Risk",
AND(F74&gt;=700,H74&lt;=5),"Medium Risk",
TRUE,"High Risk"
)</f>
        <v>Low Risk</v>
      </c>
      <c r="Q74" s="5"/>
      <c r="R74" s="5"/>
      <c r="S74" s="5"/>
      <c r="T74" s="5"/>
      <c r="U74" s="5"/>
      <c r="V74" s="5"/>
      <c r="W74" s="5"/>
      <c r="X74" s="5"/>
      <c r="Y74" s="5"/>
    </row>
    <row r="75" spans="1:25" ht="15.75" customHeight="1" x14ac:dyDescent="0.25">
      <c r="A75" s="2">
        <v>44152</v>
      </c>
      <c r="B75" s="3">
        <v>66242</v>
      </c>
      <c r="C75" s="4" t="s">
        <v>38</v>
      </c>
      <c r="D75" s="4" t="str">
        <f t="shared" si="0"/>
        <v>Finance</v>
      </c>
      <c r="E75" s="4" t="str">
        <f t="shared" si="1"/>
        <v>Manager</v>
      </c>
      <c r="F75" s="13">
        <v>748</v>
      </c>
      <c r="G75" s="13">
        <v>3</v>
      </c>
      <c r="H75" s="13">
        <v>5</v>
      </c>
      <c r="I75" s="2">
        <v>31861</v>
      </c>
      <c r="J75" s="15">
        <v>601028</v>
      </c>
      <c r="K75" s="4" t="s">
        <v>14</v>
      </c>
      <c r="L75" s="27">
        <f t="shared" si="2"/>
        <v>1987</v>
      </c>
      <c r="M75" s="27">
        <f t="shared" si="3"/>
        <v>11</v>
      </c>
      <c r="N75" s="27">
        <f t="shared" ca="1" si="5"/>
        <v>39</v>
      </c>
      <c r="O75" s="27" t="str" cm="1">
        <f t="array" ref="O75">_xlfn.IFS($F75&gt;=750,"Excellent",$F75&gt;=700,"Good",$F75&gt;=650,"Moderate",
$F75&lt;650,"Risky"
)</f>
        <v>Good</v>
      </c>
      <c r="P75" s="27" t="str" cm="1">
        <f t="array" ref="P75">_xlfn.IFS(
AND(F75&gt;=750,H75&lt;=2),"Low Risk",
AND(F75&gt;=700,H75&lt;=5),"Medium Risk",
TRUE,"High Risk"
)</f>
        <v>Medium Risk</v>
      </c>
      <c r="Q75" s="5"/>
      <c r="R75" s="5"/>
      <c r="S75" s="5"/>
      <c r="T75" s="5"/>
      <c r="U75" s="5"/>
      <c r="V75" s="5"/>
      <c r="W75" s="5"/>
      <c r="X75" s="5"/>
      <c r="Y75" s="5"/>
    </row>
    <row r="76" spans="1:25" ht="15.75" customHeight="1" x14ac:dyDescent="0.25">
      <c r="A76" s="2">
        <v>43868</v>
      </c>
      <c r="B76" s="3">
        <v>74992</v>
      </c>
      <c r="C76" s="4" t="s">
        <v>31</v>
      </c>
      <c r="D76" s="4" t="str">
        <f t="shared" si="0"/>
        <v>Finance</v>
      </c>
      <c r="E76" s="4" t="str">
        <f t="shared" si="1"/>
        <v>Intern</v>
      </c>
      <c r="F76" s="13">
        <v>731</v>
      </c>
      <c r="G76" s="13">
        <v>1</v>
      </c>
      <c r="H76" s="13">
        <v>5</v>
      </c>
      <c r="I76" s="2">
        <v>29558</v>
      </c>
      <c r="J76" s="15">
        <v>558284</v>
      </c>
      <c r="K76" s="4" t="s">
        <v>18</v>
      </c>
      <c r="L76" s="27">
        <f t="shared" si="2"/>
        <v>1980</v>
      </c>
      <c r="M76" s="27">
        <f t="shared" si="3"/>
        <v>2</v>
      </c>
      <c r="N76" s="27">
        <f t="shared" ca="1" si="5"/>
        <v>46</v>
      </c>
      <c r="O76" s="27" t="str" cm="1">
        <f t="array" ref="O76">_xlfn.IFS($F76&gt;=750,"Excellent",$F76&gt;=700,"Good",$F76&gt;=650,"Moderate",
$F76&lt;650,"Risky"
)</f>
        <v>Good</v>
      </c>
      <c r="P76" s="27" t="str" cm="1">
        <f t="array" ref="P76">_xlfn.IFS(
AND(F76&gt;=750,H76&lt;=2),"Low Risk",
AND(F76&gt;=700,H76&lt;=5),"Medium Risk",
TRUE,"High Risk"
)</f>
        <v>Medium Risk</v>
      </c>
      <c r="Q76" s="5"/>
      <c r="R76" s="5"/>
      <c r="S76" s="5"/>
      <c r="T76" s="5"/>
      <c r="U76" s="5"/>
      <c r="V76" s="5"/>
      <c r="W76" s="5"/>
      <c r="X76" s="5"/>
      <c r="Y76" s="5"/>
    </row>
    <row r="77" spans="1:25" ht="15.75" customHeight="1" x14ac:dyDescent="0.25">
      <c r="A77" s="2">
        <v>43879</v>
      </c>
      <c r="B77" s="3">
        <v>48915</v>
      </c>
      <c r="C77" s="4" t="s">
        <v>32</v>
      </c>
      <c r="D77" s="4" t="str">
        <f t="shared" si="0"/>
        <v>Finance</v>
      </c>
      <c r="E77" s="4" t="str">
        <f t="shared" si="1"/>
        <v>Executive</v>
      </c>
      <c r="F77" s="13">
        <v>773</v>
      </c>
      <c r="G77" s="13">
        <v>4</v>
      </c>
      <c r="H77" s="13">
        <v>3</v>
      </c>
      <c r="I77" s="2">
        <v>33453</v>
      </c>
      <c r="J77" s="15">
        <v>597560</v>
      </c>
      <c r="K77" s="4" t="s">
        <v>21</v>
      </c>
      <c r="L77" s="27">
        <f t="shared" si="2"/>
        <v>1991</v>
      </c>
      <c r="M77" s="27">
        <f t="shared" si="3"/>
        <v>2</v>
      </c>
      <c r="N77" s="27">
        <f t="shared" ca="1" si="5"/>
        <v>35</v>
      </c>
      <c r="O77" s="27" t="str" cm="1">
        <f t="array" ref="O77">_xlfn.IFS($F77&gt;=750,"Excellent",$F77&gt;=700,"Good",$F77&gt;=650,"Moderate",
$F77&lt;650,"Risky"
)</f>
        <v>Excellent</v>
      </c>
      <c r="P77" s="27" t="str" cm="1">
        <f t="array" ref="P77">_xlfn.IFS(
AND(F77&gt;=750,H77&lt;=2),"Low Risk",
AND(F77&gt;=700,H77&lt;=5),"Medium Risk",
TRUE,"High Risk"
)</f>
        <v>Medium Risk</v>
      </c>
      <c r="Q77" s="5"/>
      <c r="R77" s="5"/>
      <c r="S77" s="5"/>
      <c r="T77" s="5"/>
      <c r="U77" s="5"/>
      <c r="V77" s="5"/>
      <c r="W77" s="5"/>
      <c r="X77" s="5"/>
      <c r="Y77" s="5"/>
    </row>
    <row r="78" spans="1:25" ht="15.75" customHeight="1" x14ac:dyDescent="0.25">
      <c r="A78" s="2">
        <v>44100</v>
      </c>
      <c r="B78" s="3">
        <v>83579</v>
      </c>
      <c r="C78" s="4" t="s">
        <v>22</v>
      </c>
      <c r="D78" s="4" t="str">
        <f t="shared" si="0"/>
        <v>Strategy</v>
      </c>
      <c r="E78" s="4" t="str">
        <f t="shared" si="1"/>
        <v>Executive</v>
      </c>
      <c r="F78" s="13">
        <v>734</v>
      </c>
      <c r="G78" s="13">
        <v>2</v>
      </c>
      <c r="H78" s="13">
        <v>5</v>
      </c>
      <c r="I78" s="2">
        <v>30420</v>
      </c>
      <c r="J78" s="15">
        <v>619497</v>
      </c>
      <c r="K78" s="4" t="s">
        <v>21</v>
      </c>
      <c r="L78" s="27">
        <f t="shared" si="2"/>
        <v>1983</v>
      </c>
      <c r="M78" s="27">
        <f t="shared" si="3"/>
        <v>9</v>
      </c>
      <c r="N78" s="27">
        <f t="shared" ca="1" si="5"/>
        <v>43</v>
      </c>
      <c r="O78" s="27" t="str" cm="1">
        <f t="array" ref="O78">_xlfn.IFS($F78&gt;=750,"Excellent",$F78&gt;=700,"Good",$F78&gt;=650,"Moderate",
$F78&lt;650,"Risky"
)</f>
        <v>Good</v>
      </c>
      <c r="P78" s="27" t="str" cm="1">
        <f t="array" ref="P78">_xlfn.IFS(
AND(F78&gt;=750,H78&lt;=2),"Low Risk",
AND(F78&gt;=700,H78&lt;=5),"Medium Risk",
TRUE,"High Risk"
)</f>
        <v>Medium Risk</v>
      </c>
      <c r="Q78" s="5"/>
      <c r="R78" s="5"/>
      <c r="S78" s="5"/>
      <c r="T78" s="5"/>
      <c r="U78" s="5"/>
      <c r="V78" s="5"/>
      <c r="W78" s="5"/>
      <c r="X78" s="5"/>
      <c r="Y78" s="5"/>
    </row>
    <row r="79" spans="1:25" ht="15.75" customHeight="1" x14ac:dyDescent="0.25">
      <c r="A79" s="2">
        <v>44088</v>
      </c>
      <c r="B79" s="3">
        <v>48472</v>
      </c>
      <c r="C79" s="4" t="s">
        <v>38</v>
      </c>
      <c r="D79" s="4" t="str">
        <f t="shared" si="0"/>
        <v>Finance</v>
      </c>
      <c r="E79" s="4" t="str">
        <f t="shared" si="1"/>
        <v>Manager</v>
      </c>
      <c r="F79" s="13">
        <v>771</v>
      </c>
      <c r="G79" s="13">
        <v>1</v>
      </c>
      <c r="H79" s="13">
        <v>10</v>
      </c>
      <c r="I79" s="2">
        <v>33113</v>
      </c>
      <c r="J79" s="15">
        <v>662102</v>
      </c>
      <c r="K79" s="4" t="s">
        <v>21</v>
      </c>
      <c r="L79" s="27">
        <f t="shared" si="2"/>
        <v>1990</v>
      </c>
      <c r="M79" s="27">
        <f t="shared" si="3"/>
        <v>9</v>
      </c>
      <c r="N79" s="27">
        <f t="shared" ca="1" si="5"/>
        <v>36</v>
      </c>
      <c r="O79" s="27" t="str" cm="1">
        <f t="array" ref="O79">_xlfn.IFS($F79&gt;=750,"Excellent",$F79&gt;=700,"Good",$F79&gt;=650,"Moderate",
$F79&lt;650,"Risky"
)</f>
        <v>Excellent</v>
      </c>
      <c r="P79" s="27" t="str" cm="1">
        <f t="array" ref="P79">_xlfn.IFS(
AND(F79&gt;=750,H79&lt;=2),"Low Risk",
AND(F79&gt;=700,H79&lt;=5),"Medium Risk",
TRUE,"High Risk"
)</f>
        <v>High Risk</v>
      </c>
      <c r="Q79" s="5"/>
      <c r="R79" s="5"/>
      <c r="S79" s="5"/>
      <c r="T79" s="5"/>
      <c r="U79" s="5"/>
      <c r="V79" s="5"/>
      <c r="W79" s="5"/>
      <c r="X79" s="5"/>
      <c r="Y79" s="5"/>
    </row>
    <row r="80" spans="1:25" ht="15.75" customHeight="1" x14ac:dyDescent="0.25">
      <c r="A80" s="2">
        <v>44046</v>
      </c>
      <c r="B80" s="3">
        <v>19947</v>
      </c>
      <c r="C80" s="4" t="s">
        <v>37</v>
      </c>
      <c r="D80" s="4" t="str">
        <f t="shared" si="0"/>
        <v>Strategy</v>
      </c>
      <c r="E80" s="4" t="str">
        <f t="shared" si="1"/>
        <v>Director</v>
      </c>
      <c r="F80" s="13">
        <v>746</v>
      </c>
      <c r="G80" s="13">
        <v>2</v>
      </c>
      <c r="H80" s="13">
        <v>9</v>
      </c>
      <c r="I80" s="2">
        <v>30024</v>
      </c>
      <c r="J80" s="15">
        <v>709243</v>
      </c>
      <c r="K80" s="4" t="s">
        <v>14</v>
      </c>
      <c r="L80" s="27">
        <f t="shared" si="2"/>
        <v>1982</v>
      </c>
      <c r="M80" s="27">
        <f t="shared" si="3"/>
        <v>8</v>
      </c>
      <c r="N80" s="27">
        <f t="shared" ca="1" si="5"/>
        <v>44</v>
      </c>
      <c r="O80" s="27" t="str" cm="1">
        <f t="array" ref="O80">_xlfn.IFS($F80&gt;=750,"Excellent",$F80&gt;=700,"Good",$F80&gt;=650,"Moderate",
$F80&lt;650,"Risky"
)</f>
        <v>Good</v>
      </c>
      <c r="P80" s="27" t="str" cm="1">
        <f t="array" ref="P80">_xlfn.IFS(
AND(F80&gt;=750,H80&lt;=2),"Low Risk",
AND(F80&gt;=700,H80&lt;=5),"Medium Risk",
TRUE,"High Risk"
)</f>
        <v>High Risk</v>
      </c>
      <c r="Q80" s="5"/>
      <c r="R80" s="5"/>
      <c r="S80" s="5"/>
      <c r="T80" s="5"/>
      <c r="U80" s="5"/>
      <c r="V80" s="5"/>
      <c r="W80" s="5"/>
      <c r="X80" s="5"/>
      <c r="Y80" s="5"/>
    </row>
    <row r="81" spans="1:25" ht="15.75" customHeight="1" x14ac:dyDescent="0.25">
      <c r="A81" s="2">
        <v>43872</v>
      </c>
      <c r="B81" s="3">
        <v>10383</v>
      </c>
      <c r="C81" s="4" t="s">
        <v>29</v>
      </c>
      <c r="D81" s="4" t="str">
        <f t="shared" si="0"/>
        <v>Sales</v>
      </c>
      <c r="E81" s="4" t="str">
        <f t="shared" si="1"/>
        <v>Director</v>
      </c>
      <c r="F81" s="13">
        <v>716</v>
      </c>
      <c r="G81" s="13">
        <v>1</v>
      </c>
      <c r="H81" s="13">
        <v>2</v>
      </c>
      <c r="I81" s="2">
        <v>30121</v>
      </c>
      <c r="J81" s="15">
        <v>877440</v>
      </c>
      <c r="K81" s="4" t="s">
        <v>18</v>
      </c>
      <c r="L81" s="27">
        <f t="shared" si="2"/>
        <v>1982</v>
      </c>
      <c r="M81" s="27">
        <f t="shared" si="3"/>
        <v>2</v>
      </c>
      <c r="N81" s="27">
        <f t="shared" ca="1" si="5"/>
        <v>44</v>
      </c>
      <c r="O81" s="27" t="str" cm="1">
        <f t="array" ref="O81">_xlfn.IFS($F81&gt;=750,"Excellent",$F81&gt;=700,"Good",$F81&gt;=650,"Moderate",
$F81&lt;650,"Risky"
)</f>
        <v>Good</v>
      </c>
      <c r="P81" s="27" t="str" cm="1">
        <f t="array" ref="P81">_xlfn.IFS(
AND(F81&gt;=750,H81&lt;=2),"Low Risk",
AND(F81&gt;=700,H81&lt;=5),"Medium Risk",
TRUE,"High Risk"
)</f>
        <v>Medium Risk</v>
      </c>
      <c r="Q81" s="5"/>
      <c r="R81" s="5"/>
      <c r="S81" s="5"/>
      <c r="T81" s="5"/>
      <c r="U81" s="5"/>
      <c r="V81" s="5"/>
      <c r="W81" s="5"/>
      <c r="X81" s="5"/>
      <c r="Y81" s="5"/>
    </row>
    <row r="82" spans="1:25" ht="15.75" customHeight="1" x14ac:dyDescent="0.25">
      <c r="A82" s="2">
        <v>43880</v>
      </c>
      <c r="B82" s="3">
        <v>62651</v>
      </c>
      <c r="C82" s="4" t="s">
        <v>17</v>
      </c>
      <c r="D82" s="4" t="str">
        <f t="shared" si="0"/>
        <v>Growth</v>
      </c>
      <c r="E82" s="4" t="str">
        <f t="shared" si="1"/>
        <v>Manager</v>
      </c>
      <c r="F82" s="13">
        <v>764</v>
      </c>
      <c r="G82" s="13">
        <v>1</v>
      </c>
      <c r="H82" s="13">
        <v>4</v>
      </c>
      <c r="I82" s="2">
        <v>33008</v>
      </c>
      <c r="J82" s="15">
        <v>647124</v>
      </c>
      <c r="K82" s="4" t="s">
        <v>21</v>
      </c>
      <c r="L82" s="27">
        <f t="shared" si="2"/>
        <v>1990</v>
      </c>
      <c r="M82" s="27">
        <f t="shared" si="3"/>
        <v>2</v>
      </c>
      <c r="N82" s="27">
        <f t="shared" ca="1" si="5"/>
        <v>36</v>
      </c>
      <c r="O82" s="27" t="str" cm="1">
        <f t="array" ref="O82">_xlfn.IFS($F82&gt;=750,"Excellent",$F82&gt;=700,"Good",$F82&gt;=650,"Moderate",
$F82&lt;650,"Risky"
)</f>
        <v>Excellent</v>
      </c>
      <c r="P82" s="27" t="str" cm="1">
        <f t="array" ref="P82">_xlfn.IFS(
AND(F82&gt;=750,H82&lt;=2),"Low Risk",
AND(F82&gt;=700,H82&lt;=5),"Medium Risk",
TRUE,"High Risk"
)</f>
        <v>Medium Risk</v>
      </c>
      <c r="Q82" s="5"/>
      <c r="R82" s="5"/>
      <c r="S82" s="5"/>
      <c r="T82" s="5"/>
      <c r="U82" s="5"/>
      <c r="V82" s="5"/>
      <c r="W82" s="5"/>
      <c r="X82" s="5"/>
      <c r="Y82" s="5"/>
    </row>
    <row r="83" spans="1:25" ht="15.75" customHeight="1" x14ac:dyDescent="0.25">
      <c r="A83" s="2">
        <v>44067</v>
      </c>
      <c r="B83" s="3">
        <v>55660</v>
      </c>
      <c r="C83" s="4" t="s">
        <v>23</v>
      </c>
      <c r="D83" s="4" t="str">
        <f t="shared" si="0"/>
        <v>Marketing</v>
      </c>
      <c r="E83" s="4" t="str">
        <f t="shared" si="1"/>
        <v>Intern</v>
      </c>
      <c r="F83" s="13">
        <v>748</v>
      </c>
      <c r="G83" s="13">
        <v>3</v>
      </c>
      <c r="H83" s="13">
        <v>10</v>
      </c>
      <c r="I83" s="2">
        <v>32145</v>
      </c>
      <c r="J83" s="15">
        <v>664233</v>
      </c>
      <c r="K83" s="4" t="s">
        <v>21</v>
      </c>
      <c r="L83" s="27">
        <f t="shared" si="2"/>
        <v>1988</v>
      </c>
      <c r="M83" s="27">
        <f t="shared" si="3"/>
        <v>8</v>
      </c>
      <c r="N83" s="27">
        <f t="shared" ca="1" si="5"/>
        <v>38</v>
      </c>
      <c r="O83" s="27" t="str" cm="1">
        <f t="array" ref="O83">_xlfn.IFS($F83&gt;=750,"Excellent",$F83&gt;=700,"Good",$F83&gt;=650,"Moderate",
$F83&lt;650,"Risky"
)</f>
        <v>Good</v>
      </c>
      <c r="P83" s="27" t="str" cm="1">
        <f t="array" ref="P83">_xlfn.IFS(
AND(F83&gt;=750,H83&lt;=2),"Low Risk",
AND(F83&gt;=700,H83&lt;=5),"Medium Risk",
TRUE,"High Risk"
)</f>
        <v>High Risk</v>
      </c>
      <c r="Q83" s="5"/>
      <c r="R83" s="5"/>
      <c r="S83" s="5"/>
      <c r="T83" s="5"/>
      <c r="U83" s="5"/>
      <c r="V83" s="5"/>
      <c r="W83" s="5"/>
      <c r="X83" s="5"/>
      <c r="Y83" s="5"/>
    </row>
    <row r="84" spans="1:25" ht="15.75" customHeight="1" x14ac:dyDescent="0.25">
      <c r="A84" s="2">
        <v>43963</v>
      </c>
      <c r="B84" s="3">
        <v>89724</v>
      </c>
      <c r="C84" s="4" t="s">
        <v>30</v>
      </c>
      <c r="D84" s="4" t="str">
        <f t="shared" si="0"/>
        <v>Operation</v>
      </c>
      <c r="E84" s="4" t="str">
        <f t="shared" si="1"/>
        <v>Director</v>
      </c>
      <c r="F84" s="13">
        <v>715</v>
      </c>
      <c r="G84" s="13">
        <v>2</v>
      </c>
      <c r="H84" s="13">
        <v>2</v>
      </c>
      <c r="I84" s="2">
        <v>29727</v>
      </c>
      <c r="J84" s="15">
        <v>846857</v>
      </c>
      <c r="K84" s="4" t="s">
        <v>21</v>
      </c>
      <c r="L84" s="27">
        <f t="shared" si="2"/>
        <v>1981</v>
      </c>
      <c r="M84" s="27">
        <f t="shared" si="3"/>
        <v>5</v>
      </c>
      <c r="N84" s="27">
        <f t="shared" ca="1" si="5"/>
        <v>45</v>
      </c>
      <c r="O84" s="27" t="str" cm="1">
        <f t="array" ref="O84">_xlfn.IFS($F84&gt;=750,"Excellent",$F84&gt;=700,"Good",$F84&gt;=650,"Moderate",
$F84&lt;650,"Risky"
)</f>
        <v>Good</v>
      </c>
      <c r="P84" s="27" t="str" cm="1">
        <f t="array" ref="P84">_xlfn.IFS(
AND(F84&gt;=750,H84&lt;=2),"Low Risk",
AND(F84&gt;=700,H84&lt;=5),"Medium Risk",
TRUE,"High Risk"
)</f>
        <v>Medium Risk</v>
      </c>
      <c r="Q84" s="5"/>
      <c r="R84" s="5"/>
      <c r="S84" s="5"/>
      <c r="T84" s="5"/>
      <c r="U84" s="5"/>
      <c r="V84" s="5"/>
      <c r="W84" s="5"/>
      <c r="X84" s="5"/>
      <c r="Y84" s="5"/>
    </row>
    <row r="85" spans="1:25" ht="15.75" customHeight="1" x14ac:dyDescent="0.25">
      <c r="A85" s="2">
        <v>43998</v>
      </c>
      <c r="B85" s="3">
        <v>69086</v>
      </c>
      <c r="C85" s="4" t="s">
        <v>28</v>
      </c>
      <c r="D85" s="4" t="str">
        <f t="shared" si="0"/>
        <v>Growth</v>
      </c>
      <c r="E85" s="4" t="str">
        <f t="shared" si="1"/>
        <v>Director</v>
      </c>
      <c r="F85" s="13">
        <v>716</v>
      </c>
      <c r="G85" s="13">
        <v>2</v>
      </c>
      <c r="H85" s="13">
        <v>6</v>
      </c>
      <c r="I85" s="2">
        <v>29521</v>
      </c>
      <c r="J85" s="15">
        <v>901072</v>
      </c>
      <c r="K85" s="4" t="s">
        <v>18</v>
      </c>
      <c r="L85" s="27">
        <f t="shared" si="2"/>
        <v>1980</v>
      </c>
      <c r="M85" s="27">
        <f t="shared" si="3"/>
        <v>6</v>
      </c>
      <c r="N85" s="27">
        <f t="shared" ca="1" si="5"/>
        <v>46</v>
      </c>
      <c r="O85" s="27" t="str" cm="1">
        <f t="array" ref="O85">_xlfn.IFS($F85&gt;=750,"Excellent",$F85&gt;=700,"Good",$F85&gt;=650,"Moderate",
$F85&lt;650,"Risky"
)</f>
        <v>Good</v>
      </c>
      <c r="P85" s="27" t="str" cm="1">
        <f t="array" ref="P85">_xlfn.IFS(
AND(F85&gt;=750,H85&lt;=2),"Low Risk",
AND(F85&gt;=700,H85&lt;=5),"Medium Risk",
TRUE,"High Risk"
)</f>
        <v>High Risk</v>
      </c>
      <c r="Q85" s="5"/>
      <c r="R85" s="5"/>
      <c r="S85" s="5"/>
      <c r="T85" s="5"/>
      <c r="U85" s="5"/>
      <c r="V85" s="5"/>
      <c r="W85" s="5"/>
      <c r="X85" s="5"/>
      <c r="Y85" s="5"/>
    </row>
    <row r="86" spans="1:25" ht="15.75" customHeight="1" x14ac:dyDescent="0.25">
      <c r="A86" s="2">
        <v>44102</v>
      </c>
      <c r="B86" s="3">
        <v>69952</v>
      </c>
      <c r="C86" s="4" t="s">
        <v>22</v>
      </c>
      <c r="D86" s="4" t="str">
        <f t="shared" si="0"/>
        <v>Strategy</v>
      </c>
      <c r="E86" s="4" t="str">
        <f t="shared" si="1"/>
        <v>Executive</v>
      </c>
      <c r="F86" s="13">
        <v>744</v>
      </c>
      <c r="G86" s="13">
        <v>4</v>
      </c>
      <c r="H86" s="13">
        <v>4</v>
      </c>
      <c r="I86" s="2">
        <v>29888</v>
      </c>
      <c r="J86" s="15">
        <v>545673</v>
      </c>
      <c r="K86" s="4" t="s">
        <v>18</v>
      </c>
      <c r="L86" s="27">
        <f t="shared" si="2"/>
        <v>1981</v>
      </c>
      <c r="M86" s="27">
        <f t="shared" si="3"/>
        <v>9</v>
      </c>
      <c r="N86" s="27">
        <f t="shared" ca="1" si="5"/>
        <v>45</v>
      </c>
      <c r="O86" s="27" t="str" cm="1">
        <f t="array" ref="O86">_xlfn.IFS($F86&gt;=750,"Excellent",$F86&gt;=700,"Good",$F86&gt;=650,"Moderate",
$F86&lt;650,"Risky"
)</f>
        <v>Good</v>
      </c>
      <c r="P86" s="27" t="str" cm="1">
        <f t="array" ref="P86">_xlfn.IFS(
AND(F86&gt;=750,H86&lt;=2),"Low Risk",
AND(F86&gt;=700,H86&lt;=5),"Medium Risk",
TRUE,"High Risk"
)</f>
        <v>Medium Risk</v>
      </c>
      <c r="Q86" s="5"/>
      <c r="R86" s="5"/>
      <c r="S86" s="5"/>
      <c r="T86" s="5"/>
      <c r="U86" s="5"/>
      <c r="V86" s="5"/>
      <c r="W86" s="5"/>
      <c r="X86" s="5"/>
      <c r="Y86" s="5"/>
    </row>
    <row r="87" spans="1:25" ht="15.75" customHeight="1" x14ac:dyDescent="0.25">
      <c r="A87" s="2">
        <v>44029</v>
      </c>
      <c r="B87" s="3">
        <v>45582</v>
      </c>
      <c r="C87" s="4" t="s">
        <v>37</v>
      </c>
      <c r="D87" s="4" t="str">
        <f t="shared" si="0"/>
        <v>Strategy</v>
      </c>
      <c r="E87" s="4" t="str">
        <f t="shared" si="1"/>
        <v>Director</v>
      </c>
      <c r="F87" s="13">
        <v>768</v>
      </c>
      <c r="G87" s="13">
        <v>1</v>
      </c>
      <c r="H87" s="13">
        <v>5</v>
      </c>
      <c r="I87" s="2">
        <v>30479</v>
      </c>
      <c r="J87" s="15">
        <v>845330</v>
      </c>
      <c r="K87" s="4" t="s">
        <v>14</v>
      </c>
      <c r="L87" s="27">
        <f t="shared" si="2"/>
        <v>1983</v>
      </c>
      <c r="M87" s="27">
        <f t="shared" si="3"/>
        <v>7</v>
      </c>
      <c r="N87" s="27">
        <f t="shared" ca="1" si="5"/>
        <v>43</v>
      </c>
      <c r="O87" s="27" t="str" cm="1">
        <f t="array" ref="O87">_xlfn.IFS($F87&gt;=750,"Excellent",$F87&gt;=700,"Good",$F87&gt;=650,"Moderate",
$F87&lt;650,"Risky"
)</f>
        <v>Excellent</v>
      </c>
      <c r="P87" s="27" t="str" cm="1">
        <f t="array" ref="P87">_xlfn.IFS(
AND(F87&gt;=750,H87&lt;=2),"Low Risk",
AND(F87&gt;=700,H87&lt;=5),"Medium Risk",
TRUE,"High Risk"
)</f>
        <v>Medium Risk</v>
      </c>
      <c r="Q87" s="5"/>
      <c r="R87" s="5"/>
      <c r="S87" s="5"/>
      <c r="T87" s="5"/>
      <c r="U87" s="5"/>
      <c r="V87" s="5"/>
      <c r="W87" s="5"/>
      <c r="X87" s="5"/>
      <c r="Y87" s="5"/>
    </row>
    <row r="88" spans="1:25" ht="15.75" customHeight="1" x14ac:dyDescent="0.25">
      <c r="A88" s="2">
        <v>43922</v>
      </c>
      <c r="B88" s="3">
        <v>17457</v>
      </c>
      <c r="C88" s="4" t="s">
        <v>24</v>
      </c>
      <c r="D88" s="4" t="str">
        <f t="shared" si="0"/>
        <v>Strategy</v>
      </c>
      <c r="E88" s="4" t="str">
        <f t="shared" si="1"/>
        <v>Intern</v>
      </c>
      <c r="F88" s="13">
        <v>708</v>
      </c>
      <c r="G88" s="13">
        <v>4</v>
      </c>
      <c r="H88" s="13">
        <v>8</v>
      </c>
      <c r="I88" s="2">
        <v>30175</v>
      </c>
      <c r="J88" s="15">
        <v>958340</v>
      </c>
      <c r="K88" s="4" t="s">
        <v>18</v>
      </c>
      <c r="L88" s="27">
        <f t="shared" si="2"/>
        <v>1982</v>
      </c>
      <c r="M88" s="27">
        <f t="shared" si="3"/>
        <v>4</v>
      </c>
      <c r="N88" s="27">
        <f t="shared" ca="1" si="5"/>
        <v>44</v>
      </c>
      <c r="O88" s="27" t="str" cm="1">
        <f t="array" ref="O88">_xlfn.IFS($F88&gt;=750,"Excellent",$F88&gt;=700,"Good",$F88&gt;=650,"Moderate",
$F88&lt;650,"Risky"
)</f>
        <v>Good</v>
      </c>
      <c r="P88" s="27" t="str" cm="1">
        <f t="array" ref="P88">_xlfn.IFS(
AND(F88&gt;=750,H88&lt;=2),"Low Risk",
AND(F88&gt;=700,H88&lt;=5),"Medium Risk",
TRUE,"High Risk"
)</f>
        <v>High Risk</v>
      </c>
      <c r="Q88" s="5"/>
      <c r="R88" s="5"/>
      <c r="S88" s="5"/>
      <c r="T88" s="5"/>
      <c r="U88" s="5"/>
      <c r="V88" s="5"/>
      <c r="W88" s="5"/>
      <c r="X88" s="5"/>
      <c r="Y88" s="5"/>
    </row>
    <row r="89" spans="1:25" ht="15.75" customHeight="1" x14ac:dyDescent="0.25">
      <c r="A89" s="2">
        <v>43924</v>
      </c>
      <c r="B89" s="3">
        <v>56499</v>
      </c>
      <c r="C89" s="4" t="s">
        <v>15</v>
      </c>
      <c r="D89" s="4" t="str">
        <f t="shared" si="0"/>
        <v>Operation</v>
      </c>
      <c r="E89" s="4" t="str">
        <f t="shared" si="1"/>
        <v>Executive</v>
      </c>
      <c r="F89" s="13">
        <v>720</v>
      </c>
      <c r="G89" s="13">
        <v>3</v>
      </c>
      <c r="H89" s="13">
        <v>5</v>
      </c>
      <c r="I89" s="2">
        <v>33654</v>
      </c>
      <c r="J89" s="15">
        <v>528167</v>
      </c>
      <c r="K89" s="4" t="s">
        <v>18</v>
      </c>
      <c r="L89" s="27">
        <f t="shared" si="2"/>
        <v>1992</v>
      </c>
      <c r="M89" s="27">
        <f t="shared" si="3"/>
        <v>4</v>
      </c>
      <c r="N89" s="27">
        <f t="shared" ca="1" si="5"/>
        <v>34</v>
      </c>
      <c r="O89" s="27" t="str" cm="1">
        <f t="array" ref="O89">_xlfn.IFS($F89&gt;=750,"Excellent",$F89&gt;=700,"Good",$F89&gt;=650,"Moderate",
$F89&lt;650,"Risky"
)</f>
        <v>Good</v>
      </c>
      <c r="P89" s="27" t="str" cm="1">
        <f t="array" ref="P89">_xlfn.IFS(
AND(F89&gt;=750,H89&lt;=2),"Low Risk",
AND(F89&gt;=700,H89&lt;=5),"Medium Risk",
TRUE,"High Risk"
)</f>
        <v>Medium Risk</v>
      </c>
      <c r="Q89" s="5"/>
      <c r="R89" s="5"/>
      <c r="S89" s="5"/>
      <c r="T89" s="5"/>
      <c r="U89" s="5"/>
      <c r="V89" s="5"/>
      <c r="W89" s="5"/>
      <c r="X89" s="5"/>
      <c r="Y89" s="5"/>
    </row>
    <row r="90" spans="1:25" ht="15.75" customHeight="1" x14ac:dyDescent="0.25">
      <c r="A90" s="2">
        <v>43860</v>
      </c>
      <c r="B90" s="3">
        <v>88555</v>
      </c>
      <c r="C90" s="4" t="s">
        <v>19</v>
      </c>
      <c r="D90" s="4" t="str">
        <f t="shared" si="0"/>
        <v>Marketing</v>
      </c>
      <c r="E90" s="4" t="str">
        <f t="shared" si="1"/>
        <v>Manager</v>
      </c>
      <c r="F90" s="13">
        <v>782</v>
      </c>
      <c r="G90" s="13">
        <v>4</v>
      </c>
      <c r="H90" s="13">
        <v>4</v>
      </c>
      <c r="I90" s="2">
        <v>33911</v>
      </c>
      <c r="J90" s="15">
        <v>994288</v>
      </c>
      <c r="K90" s="4" t="s">
        <v>21</v>
      </c>
      <c r="L90" s="27">
        <f t="shared" si="2"/>
        <v>1992</v>
      </c>
      <c r="M90" s="27">
        <f t="shared" si="3"/>
        <v>1</v>
      </c>
      <c r="N90" s="27">
        <f t="shared" ca="1" si="5"/>
        <v>34</v>
      </c>
      <c r="O90" s="27" t="str" cm="1">
        <f t="array" ref="O90">_xlfn.IFS($F90&gt;=750,"Excellent",$F90&gt;=700,"Good",$F90&gt;=650,"Moderate",
$F90&lt;650,"Risky"
)</f>
        <v>Excellent</v>
      </c>
      <c r="P90" s="27" t="str" cm="1">
        <f t="array" ref="P90">_xlfn.IFS(
AND(F90&gt;=750,H90&lt;=2),"Low Risk",
AND(F90&gt;=700,H90&lt;=5),"Medium Risk",
TRUE,"High Risk"
)</f>
        <v>Medium Risk</v>
      </c>
      <c r="Q90" s="5"/>
      <c r="R90" s="5"/>
      <c r="S90" s="5"/>
      <c r="T90" s="5"/>
      <c r="U90" s="5"/>
      <c r="V90" s="5"/>
      <c r="W90" s="5"/>
      <c r="X90" s="5"/>
      <c r="Y90" s="5"/>
    </row>
    <row r="91" spans="1:25" ht="15.75" customHeight="1" x14ac:dyDescent="0.25">
      <c r="A91" s="2">
        <v>44038</v>
      </c>
      <c r="B91" s="3">
        <v>59300</v>
      </c>
      <c r="C91" s="4" t="s">
        <v>15</v>
      </c>
      <c r="D91" s="4" t="str">
        <f t="shared" si="0"/>
        <v>Operation</v>
      </c>
      <c r="E91" s="4" t="str">
        <f t="shared" si="1"/>
        <v>Executive</v>
      </c>
      <c r="F91" s="13">
        <v>719</v>
      </c>
      <c r="G91" s="13">
        <v>5</v>
      </c>
      <c r="H91" s="13">
        <v>2</v>
      </c>
      <c r="I91" s="2">
        <v>34387</v>
      </c>
      <c r="J91" s="15">
        <v>748452</v>
      </c>
      <c r="K91" s="4" t="s">
        <v>14</v>
      </c>
      <c r="L91" s="27">
        <f t="shared" si="2"/>
        <v>1994</v>
      </c>
      <c r="M91" s="27">
        <f t="shared" si="3"/>
        <v>7</v>
      </c>
      <c r="N91" s="27">
        <f t="shared" ca="1" si="5"/>
        <v>32</v>
      </c>
      <c r="O91" s="27" t="str" cm="1">
        <f t="array" ref="O91">_xlfn.IFS($F91&gt;=750,"Excellent",$F91&gt;=700,"Good",$F91&gt;=650,"Moderate",
$F91&lt;650,"Risky"
)</f>
        <v>Good</v>
      </c>
      <c r="P91" s="27" t="str" cm="1">
        <f t="array" ref="P91">_xlfn.IFS(
AND(F91&gt;=750,H91&lt;=2),"Low Risk",
AND(F91&gt;=700,H91&lt;=5),"Medium Risk",
TRUE,"High Risk"
)</f>
        <v>Medium Risk</v>
      </c>
      <c r="Q91" s="5"/>
      <c r="R91" s="5"/>
      <c r="S91" s="5"/>
      <c r="T91" s="5"/>
      <c r="U91" s="5"/>
      <c r="V91" s="5"/>
      <c r="W91" s="5"/>
      <c r="X91" s="5"/>
      <c r="Y91" s="5"/>
    </row>
    <row r="92" spans="1:25" ht="15.75" customHeight="1" x14ac:dyDescent="0.25">
      <c r="A92" s="2">
        <v>43838</v>
      </c>
      <c r="B92" s="3">
        <v>32811</v>
      </c>
      <c r="C92" s="4" t="s">
        <v>24</v>
      </c>
      <c r="D92" s="4" t="str">
        <f t="shared" si="0"/>
        <v>Strategy</v>
      </c>
      <c r="E92" s="4" t="str">
        <f t="shared" si="1"/>
        <v>Intern</v>
      </c>
      <c r="F92" s="13">
        <v>744</v>
      </c>
      <c r="G92" s="13">
        <v>1</v>
      </c>
      <c r="H92" s="13">
        <v>2</v>
      </c>
      <c r="I92" s="2">
        <v>32215</v>
      </c>
      <c r="J92" s="15">
        <v>810772</v>
      </c>
      <c r="K92" s="4" t="s">
        <v>14</v>
      </c>
      <c r="L92" s="27">
        <f t="shared" si="2"/>
        <v>1988</v>
      </c>
      <c r="M92" s="27">
        <f t="shared" si="3"/>
        <v>1</v>
      </c>
      <c r="N92" s="27">
        <f t="shared" ca="1" si="5"/>
        <v>38</v>
      </c>
      <c r="O92" s="27" t="str" cm="1">
        <f t="array" ref="O92">_xlfn.IFS($F92&gt;=750,"Excellent",$F92&gt;=700,"Good",$F92&gt;=650,"Moderate",
$F92&lt;650,"Risky"
)</f>
        <v>Good</v>
      </c>
      <c r="P92" s="27" t="str" cm="1">
        <f t="array" ref="P92">_xlfn.IFS(
AND(F92&gt;=750,H92&lt;=2),"Low Risk",
AND(F92&gt;=700,H92&lt;=5),"Medium Risk",
TRUE,"High Risk"
)</f>
        <v>Medium Risk</v>
      </c>
      <c r="Q92" s="5"/>
      <c r="R92" s="5"/>
      <c r="S92" s="5"/>
      <c r="T92" s="5"/>
      <c r="U92" s="5"/>
      <c r="V92" s="5"/>
      <c r="W92" s="5"/>
      <c r="X92" s="5"/>
      <c r="Y92" s="5"/>
    </row>
    <row r="93" spans="1:25" ht="15.75" customHeight="1" x14ac:dyDescent="0.25">
      <c r="A93" s="2">
        <v>43857</v>
      </c>
      <c r="B93" s="3">
        <v>57864</v>
      </c>
      <c r="C93" s="4" t="s">
        <v>31</v>
      </c>
      <c r="D93" s="4" t="str">
        <f t="shared" si="0"/>
        <v>Finance</v>
      </c>
      <c r="E93" s="4" t="str">
        <f t="shared" si="1"/>
        <v>Intern</v>
      </c>
      <c r="F93" s="13">
        <v>722</v>
      </c>
      <c r="G93" s="13">
        <v>2</v>
      </c>
      <c r="H93" s="13">
        <v>10</v>
      </c>
      <c r="I93" s="2">
        <v>31933</v>
      </c>
      <c r="J93" s="15">
        <v>869126</v>
      </c>
      <c r="K93" s="4" t="s">
        <v>18</v>
      </c>
      <c r="L93" s="27">
        <f t="shared" si="2"/>
        <v>1987</v>
      </c>
      <c r="M93" s="27">
        <f t="shared" si="3"/>
        <v>1</v>
      </c>
      <c r="N93" s="27">
        <f t="shared" ca="1" si="5"/>
        <v>39</v>
      </c>
      <c r="O93" s="27" t="str" cm="1">
        <f t="array" ref="O93">_xlfn.IFS($F93&gt;=750,"Excellent",$F93&gt;=700,"Good",$F93&gt;=650,"Moderate",
$F93&lt;650,"Risky"
)</f>
        <v>Good</v>
      </c>
      <c r="P93" s="27" t="str" cm="1">
        <f t="array" ref="P93">_xlfn.IFS(
AND(F93&gt;=750,H93&lt;=2),"Low Risk",
AND(F93&gt;=700,H93&lt;=5),"Medium Risk",
TRUE,"High Risk"
)</f>
        <v>High Risk</v>
      </c>
      <c r="Q93" s="5"/>
      <c r="R93" s="5"/>
      <c r="S93" s="5"/>
      <c r="T93" s="5"/>
      <c r="U93" s="5"/>
      <c r="V93" s="5"/>
      <c r="W93" s="5"/>
      <c r="X93" s="5"/>
      <c r="Y93" s="5"/>
    </row>
    <row r="94" spans="1:25" ht="15.75" customHeight="1" x14ac:dyDescent="0.25">
      <c r="A94" s="2">
        <v>44129</v>
      </c>
      <c r="B94" s="3">
        <v>42296</v>
      </c>
      <c r="C94" s="4" t="s">
        <v>34</v>
      </c>
      <c r="D94" s="4" t="str">
        <f t="shared" si="0"/>
        <v>Finance</v>
      </c>
      <c r="E94" s="4" t="str">
        <f t="shared" si="1"/>
        <v>Director</v>
      </c>
      <c r="F94" s="13">
        <v>779</v>
      </c>
      <c r="G94" s="13">
        <v>4</v>
      </c>
      <c r="H94" s="13">
        <v>9</v>
      </c>
      <c r="I94" s="2">
        <v>34529</v>
      </c>
      <c r="J94" s="15">
        <v>949497</v>
      </c>
      <c r="K94" s="4" t="s">
        <v>18</v>
      </c>
      <c r="L94" s="27">
        <f t="shared" si="2"/>
        <v>1994</v>
      </c>
      <c r="M94" s="27">
        <f t="shared" si="3"/>
        <v>10</v>
      </c>
      <c r="N94" s="27">
        <f t="shared" ca="1" si="5"/>
        <v>32</v>
      </c>
      <c r="O94" s="27" t="str" cm="1">
        <f t="array" ref="O94">_xlfn.IFS($F94&gt;=750,"Excellent",$F94&gt;=700,"Good",$F94&gt;=650,"Moderate",
$F94&lt;650,"Risky"
)</f>
        <v>Excellent</v>
      </c>
      <c r="P94" s="27" t="str" cm="1">
        <f t="array" ref="P94">_xlfn.IFS(
AND(F94&gt;=750,H94&lt;=2),"Low Risk",
AND(F94&gt;=700,H94&lt;=5),"Medium Risk",
TRUE,"High Risk"
)</f>
        <v>High Risk</v>
      </c>
      <c r="Q94" s="5"/>
      <c r="R94" s="5"/>
      <c r="S94" s="5"/>
      <c r="T94" s="5"/>
      <c r="U94" s="5"/>
      <c r="V94" s="5"/>
      <c r="W94" s="5"/>
      <c r="X94" s="5"/>
      <c r="Y94" s="5"/>
    </row>
    <row r="95" spans="1:25" ht="15.75" customHeight="1" x14ac:dyDescent="0.25">
      <c r="A95" s="2">
        <v>43985</v>
      </c>
      <c r="B95" s="3">
        <v>36555</v>
      </c>
      <c r="C95" s="4" t="s">
        <v>35</v>
      </c>
      <c r="D95" s="4" t="str">
        <f t="shared" si="0"/>
        <v>Growth</v>
      </c>
      <c r="E95" s="4" t="str">
        <f t="shared" si="1"/>
        <v>Intern</v>
      </c>
      <c r="F95" s="13">
        <v>729</v>
      </c>
      <c r="G95" s="13">
        <v>4</v>
      </c>
      <c r="H95" s="13">
        <v>3</v>
      </c>
      <c r="I95" s="2">
        <v>31859</v>
      </c>
      <c r="J95" s="15">
        <v>532713</v>
      </c>
      <c r="K95" s="4" t="s">
        <v>21</v>
      </c>
      <c r="L95" s="27">
        <f t="shared" si="2"/>
        <v>1987</v>
      </c>
      <c r="M95" s="27">
        <f t="shared" si="3"/>
        <v>6</v>
      </c>
      <c r="N95" s="27">
        <f t="shared" ca="1" si="5"/>
        <v>39</v>
      </c>
      <c r="O95" s="27" t="str" cm="1">
        <f t="array" ref="O95">_xlfn.IFS($F95&gt;=750,"Excellent",$F95&gt;=700,"Good",$F95&gt;=650,"Moderate",
$F95&lt;650,"Risky"
)</f>
        <v>Good</v>
      </c>
      <c r="P95" s="27" t="str" cm="1">
        <f t="array" ref="P95">_xlfn.IFS(
AND(F95&gt;=750,H95&lt;=2),"Low Risk",
AND(F95&gt;=700,H95&lt;=5),"Medium Risk",
TRUE,"High Risk"
)</f>
        <v>Medium Risk</v>
      </c>
      <c r="Q95" s="5"/>
      <c r="R95" s="5"/>
      <c r="S95" s="5"/>
      <c r="T95" s="5"/>
      <c r="U95" s="5"/>
      <c r="V95" s="5"/>
      <c r="W95" s="5"/>
      <c r="X95" s="5"/>
      <c r="Y95" s="5"/>
    </row>
    <row r="96" spans="1:25" ht="15.75" customHeight="1" x14ac:dyDescent="0.25">
      <c r="A96" s="2">
        <v>44036</v>
      </c>
      <c r="B96" s="3">
        <v>54605</v>
      </c>
      <c r="C96" s="4" t="s">
        <v>29</v>
      </c>
      <c r="D96" s="4" t="str">
        <f t="shared" si="0"/>
        <v>Sales</v>
      </c>
      <c r="E96" s="4" t="str">
        <f t="shared" si="1"/>
        <v>Director</v>
      </c>
      <c r="F96" s="13">
        <v>722</v>
      </c>
      <c r="G96" s="13">
        <v>1</v>
      </c>
      <c r="H96" s="13">
        <v>4</v>
      </c>
      <c r="I96" s="2">
        <v>29244</v>
      </c>
      <c r="J96" s="15">
        <v>535651</v>
      </c>
      <c r="K96" s="4" t="s">
        <v>14</v>
      </c>
      <c r="L96" s="27">
        <f t="shared" si="2"/>
        <v>1980</v>
      </c>
      <c r="M96" s="27">
        <f t="shared" si="3"/>
        <v>7</v>
      </c>
      <c r="N96" s="27">
        <f t="shared" ca="1" si="5"/>
        <v>46</v>
      </c>
      <c r="O96" s="27" t="str" cm="1">
        <f t="array" ref="O96">_xlfn.IFS($F96&gt;=750,"Excellent",$F96&gt;=700,"Good",$F96&gt;=650,"Moderate",
$F96&lt;650,"Risky"
)</f>
        <v>Good</v>
      </c>
      <c r="P96" s="27" t="str" cm="1">
        <f t="array" ref="P96">_xlfn.IFS(
AND(F96&gt;=750,H96&lt;=2),"Low Risk",
AND(F96&gt;=700,H96&lt;=5),"Medium Risk",
TRUE,"High Risk"
)</f>
        <v>Medium Risk</v>
      </c>
      <c r="Q96" s="5"/>
      <c r="R96" s="5"/>
      <c r="S96" s="5"/>
      <c r="T96" s="5"/>
      <c r="U96" s="5"/>
      <c r="V96" s="5"/>
      <c r="W96" s="5"/>
      <c r="X96" s="5"/>
      <c r="Y96" s="5"/>
    </row>
    <row r="97" spans="1:25" ht="15.75" customHeight="1" x14ac:dyDescent="0.25">
      <c r="A97" s="2">
        <v>44101</v>
      </c>
      <c r="B97" s="3">
        <v>49521</v>
      </c>
      <c r="C97" s="4" t="s">
        <v>25</v>
      </c>
      <c r="D97" s="4" t="str">
        <f t="shared" si="0"/>
        <v>Sales</v>
      </c>
      <c r="E97" s="4" t="str">
        <f t="shared" si="1"/>
        <v>Manager</v>
      </c>
      <c r="F97" s="13">
        <v>708</v>
      </c>
      <c r="G97" s="13">
        <v>5</v>
      </c>
      <c r="H97" s="13">
        <v>7</v>
      </c>
      <c r="I97" s="2">
        <v>33877</v>
      </c>
      <c r="J97" s="15">
        <v>884550</v>
      </c>
      <c r="K97" s="4" t="s">
        <v>18</v>
      </c>
      <c r="L97" s="27">
        <f t="shared" si="2"/>
        <v>1992</v>
      </c>
      <c r="M97" s="27">
        <f t="shared" si="3"/>
        <v>9</v>
      </c>
      <c r="N97" s="27">
        <f t="shared" ca="1" si="5"/>
        <v>34</v>
      </c>
      <c r="O97" s="27" t="str" cm="1">
        <f t="array" ref="O97">_xlfn.IFS($F97&gt;=750,"Excellent",$F97&gt;=700,"Good",$F97&gt;=650,"Moderate",
$F97&lt;650,"Risky"
)</f>
        <v>Good</v>
      </c>
      <c r="P97" s="27" t="str" cm="1">
        <f t="array" ref="P97">_xlfn.IFS(
AND(F97&gt;=750,H97&lt;=2),"Low Risk",
AND(F97&gt;=700,H97&lt;=5),"Medium Risk",
TRUE,"High Risk"
)</f>
        <v>High Risk</v>
      </c>
      <c r="Q97" s="5"/>
      <c r="R97" s="5"/>
      <c r="S97" s="5"/>
      <c r="T97" s="5"/>
      <c r="U97" s="5"/>
      <c r="V97" s="5"/>
      <c r="W97" s="5"/>
      <c r="X97" s="5"/>
      <c r="Y97" s="5"/>
    </row>
    <row r="98" spans="1:25" ht="15.75" customHeight="1" x14ac:dyDescent="0.25">
      <c r="A98" s="2">
        <v>43937</v>
      </c>
      <c r="B98" s="3">
        <v>54156</v>
      </c>
      <c r="C98" s="4" t="s">
        <v>26</v>
      </c>
      <c r="D98" s="4" t="str">
        <f t="shared" si="0"/>
        <v>Strategy</v>
      </c>
      <c r="E98" s="4" t="str">
        <f t="shared" si="1"/>
        <v>Manager</v>
      </c>
      <c r="F98" s="13">
        <v>774</v>
      </c>
      <c r="G98" s="13">
        <v>5</v>
      </c>
      <c r="H98" s="13">
        <v>2</v>
      </c>
      <c r="I98" s="2">
        <v>29772</v>
      </c>
      <c r="J98" s="15">
        <v>513087</v>
      </c>
      <c r="K98" s="4" t="s">
        <v>21</v>
      </c>
      <c r="L98" s="27">
        <f t="shared" si="2"/>
        <v>1981</v>
      </c>
      <c r="M98" s="27">
        <f t="shared" si="3"/>
        <v>4</v>
      </c>
      <c r="N98" s="27">
        <f t="shared" ca="1" si="5"/>
        <v>45</v>
      </c>
      <c r="O98" s="27" t="str" cm="1">
        <f t="array" ref="O98">_xlfn.IFS($F98&gt;=750,"Excellent",$F98&gt;=700,"Good",$F98&gt;=650,"Moderate",
$F98&lt;650,"Risky"
)</f>
        <v>Excellent</v>
      </c>
      <c r="P98" s="27" t="str" cm="1">
        <f t="array" ref="P98">_xlfn.IFS(
AND(F98&gt;=750,H98&lt;=2),"Low Risk",
AND(F98&gt;=700,H98&lt;=5),"Medium Risk",
TRUE,"High Risk"
)</f>
        <v>Low Risk</v>
      </c>
      <c r="Q98" s="5"/>
      <c r="R98" s="5"/>
      <c r="S98" s="5"/>
      <c r="T98" s="5"/>
      <c r="U98" s="5"/>
      <c r="V98" s="5"/>
      <c r="W98" s="5"/>
      <c r="X98" s="5"/>
      <c r="Y98" s="5"/>
    </row>
    <row r="99" spans="1:25" ht="15.75" customHeight="1" x14ac:dyDescent="0.25">
      <c r="A99" s="2">
        <v>44077</v>
      </c>
      <c r="B99" s="3">
        <v>10717</v>
      </c>
      <c r="C99" s="4" t="s">
        <v>13</v>
      </c>
      <c r="D99" s="4" t="str">
        <f t="shared" si="0"/>
        <v>Marketing</v>
      </c>
      <c r="E99" s="4" t="str">
        <f t="shared" si="1"/>
        <v>Director</v>
      </c>
      <c r="F99" s="13">
        <v>745</v>
      </c>
      <c r="G99" s="13">
        <v>5</v>
      </c>
      <c r="H99" s="13">
        <v>6</v>
      </c>
      <c r="I99" s="2">
        <v>32727</v>
      </c>
      <c r="J99" s="15">
        <v>690906</v>
      </c>
      <c r="K99" s="4" t="s">
        <v>21</v>
      </c>
      <c r="L99" s="27">
        <f t="shared" si="2"/>
        <v>1989</v>
      </c>
      <c r="M99" s="27">
        <f t="shared" si="3"/>
        <v>9</v>
      </c>
      <c r="N99" s="27">
        <f t="shared" ca="1" si="5"/>
        <v>37</v>
      </c>
      <c r="O99" s="27" t="str" cm="1">
        <f t="array" ref="O99">_xlfn.IFS($F99&gt;=750,"Excellent",$F99&gt;=700,"Good",$F99&gt;=650,"Moderate",
$F99&lt;650,"Risky"
)</f>
        <v>Good</v>
      </c>
      <c r="P99" s="27" t="str" cm="1">
        <f t="array" ref="P99">_xlfn.IFS(
AND(F99&gt;=750,H99&lt;=2),"Low Risk",
AND(F99&gt;=700,H99&lt;=5),"Medium Risk",
TRUE,"High Risk"
)</f>
        <v>High Risk</v>
      </c>
      <c r="Q99" s="5"/>
      <c r="R99" s="5"/>
      <c r="S99" s="5"/>
      <c r="T99" s="5"/>
      <c r="U99" s="5"/>
      <c r="V99" s="5"/>
      <c r="W99" s="5"/>
      <c r="X99" s="5"/>
      <c r="Y99" s="5"/>
    </row>
    <row r="100" spans="1:25" ht="15.75" customHeight="1" x14ac:dyDescent="0.25">
      <c r="A100" s="2">
        <v>43894</v>
      </c>
      <c r="B100" s="3">
        <v>97072</v>
      </c>
      <c r="C100" s="4" t="s">
        <v>32</v>
      </c>
      <c r="D100" s="4" t="str">
        <f t="shared" si="0"/>
        <v>Finance</v>
      </c>
      <c r="E100" s="4" t="str">
        <f t="shared" si="1"/>
        <v>Executive</v>
      </c>
      <c r="F100" s="13">
        <v>745</v>
      </c>
      <c r="G100" s="13">
        <v>4</v>
      </c>
      <c r="H100" s="13">
        <v>3</v>
      </c>
      <c r="I100" s="2">
        <v>29702</v>
      </c>
      <c r="J100" s="15">
        <v>636392</v>
      </c>
      <c r="K100" s="4" t="s">
        <v>18</v>
      </c>
      <c r="L100" s="27">
        <f t="shared" si="2"/>
        <v>1981</v>
      </c>
      <c r="M100" s="27">
        <f t="shared" si="3"/>
        <v>3</v>
      </c>
      <c r="N100" s="27">
        <f t="shared" ca="1" si="5"/>
        <v>45</v>
      </c>
      <c r="O100" s="27" t="str" cm="1">
        <f t="array" ref="O100">_xlfn.IFS($F100&gt;=750,"Excellent",$F100&gt;=700,"Good",$F100&gt;=650,"Moderate",
$F100&lt;650,"Risky"
)</f>
        <v>Good</v>
      </c>
      <c r="P100" s="27" t="str" cm="1">
        <f t="array" ref="P100">_xlfn.IFS(
AND(F100&gt;=750,H100&lt;=2),"Low Risk",
AND(F100&gt;=700,H100&lt;=5),"Medium Risk",
TRUE,"High Risk"
)</f>
        <v>Medium Risk</v>
      </c>
      <c r="Q100" s="5"/>
      <c r="R100" s="5"/>
      <c r="S100" s="5"/>
      <c r="T100" s="5"/>
      <c r="U100" s="5"/>
      <c r="V100" s="5"/>
      <c r="W100" s="5"/>
      <c r="X100" s="5"/>
      <c r="Y100" s="5"/>
    </row>
    <row r="101" spans="1:25" ht="15.75" customHeight="1" x14ac:dyDescent="0.25">
      <c r="A101" s="2">
        <v>44084</v>
      </c>
      <c r="B101" s="3">
        <v>46597</v>
      </c>
      <c r="C101" s="4" t="s">
        <v>34</v>
      </c>
      <c r="D101" s="4" t="str">
        <f t="shared" si="0"/>
        <v>Finance</v>
      </c>
      <c r="E101" s="4" t="str">
        <f t="shared" si="1"/>
        <v>Director</v>
      </c>
      <c r="F101" s="13">
        <v>769</v>
      </c>
      <c r="G101" s="13">
        <v>1</v>
      </c>
      <c r="H101" s="13">
        <v>10</v>
      </c>
      <c r="I101" s="2">
        <v>34190</v>
      </c>
      <c r="J101" s="15">
        <v>965467</v>
      </c>
      <c r="K101" s="4" t="s">
        <v>18</v>
      </c>
      <c r="L101" s="27">
        <f t="shared" si="2"/>
        <v>1993</v>
      </c>
      <c r="M101" s="27">
        <f t="shared" si="3"/>
        <v>9</v>
      </c>
      <c r="N101" s="27">
        <f t="shared" ca="1" si="5"/>
        <v>33</v>
      </c>
      <c r="O101" s="27" t="str" cm="1">
        <f t="array" ref="O101">_xlfn.IFS($F101&gt;=750,"Excellent",$F101&gt;=700,"Good",$F101&gt;=650,"Moderate",
$F101&lt;650,"Risky"
)</f>
        <v>Excellent</v>
      </c>
      <c r="P101" s="27" t="str" cm="1">
        <f t="array" ref="P101">_xlfn.IFS(
AND(F101&gt;=750,H101&lt;=2),"Low Risk",
AND(F101&gt;=700,H101&lt;=5),"Medium Risk",
TRUE,"High Risk"
)</f>
        <v>High Risk</v>
      </c>
      <c r="Q101" s="5"/>
      <c r="R101" s="5"/>
      <c r="S101" s="5"/>
      <c r="T101" s="5"/>
      <c r="U101" s="5"/>
      <c r="V101" s="5"/>
      <c r="W101" s="5"/>
      <c r="X101" s="5"/>
      <c r="Y101" s="5"/>
    </row>
    <row r="102" spans="1:25" ht="15.75" customHeight="1" x14ac:dyDescent="0.25">
      <c r="A102" s="2">
        <v>43835</v>
      </c>
      <c r="B102" s="3">
        <v>66429</v>
      </c>
      <c r="C102" s="4" t="s">
        <v>33</v>
      </c>
      <c r="D102" s="4" t="str">
        <f t="shared" si="0"/>
        <v>Sales</v>
      </c>
      <c r="E102" s="4" t="str">
        <f t="shared" si="1"/>
        <v>Executive</v>
      </c>
      <c r="F102" s="13">
        <v>795</v>
      </c>
      <c r="G102" s="13">
        <v>4</v>
      </c>
      <c r="H102" s="13">
        <v>5</v>
      </c>
      <c r="I102" s="2">
        <v>33023</v>
      </c>
      <c r="J102" s="15">
        <v>818286</v>
      </c>
      <c r="K102" s="4" t="s">
        <v>14</v>
      </c>
      <c r="L102" s="27">
        <f t="shared" si="2"/>
        <v>1990</v>
      </c>
      <c r="M102" s="27">
        <f t="shared" si="3"/>
        <v>1</v>
      </c>
      <c r="N102" s="27">
        <f t="shared" ca="1" si="5"/>
        <v>36</v>
      </c>
      <c r="O102" s="27" t="str" cm="1">
        <f t="array" ref="O102">_xlfn.IFS($F102&gt;=750,"Excellent",$F102&gt;=700,"Good",$F102&gt;=650,"Moderate",
$F102&lt;650,"Risky"
)</f>
        <v>Excellent</v>
      </c>
      <c r="P102" s="27" t="str" cm="1">
        <f t="array" ref="P102">_xlfn.IFS(
AND(F102&gt;=750,H102&lt;=2),"Low Risk",
AND(F102&gt;=700,H102&lt;=5),"Medium Risk",
TRUE,"High Risk"
)</f>
        <v>Medium Risk</v>
      </c>
      <c r="Q102" s="5"/>
      <c r="R102" s="5"/>
      <c r="S102" s="5"/>
      <c r="T102" s="5"/>
      <c r="U102" s="5"/>
      <c r="V102" s="5"/>
      <c r="W102" s="5"/>
      <c r="X102" s="5"/>
      <c r="Y102" s="5"/>
    </row>
    <row r="103" spans="1:25" ht="15.75" customHeight="1" x14ac:dyDescent="0.25">
      <c r="A103" s="2">
        <v>44030</v>
      </c>
      <c r="B103" s="3">
        <v>28804</v>
      </c>
      <c r="C103" s="4" t="s">
        <v>30</v>
      </c>
      <c r="D103" s="4" t="str">
        <f t="shared" si="0"/>
        <v>Operation</v>
      </c>
      <c r="E103" s="4" t="str">
        <f t="shared" si="1"/>
        <v>Director</v>
      </c>
      <c r="F103" s="13">
        <v>706</v>
      </c>
      <c r="G103" s="13">
        <v>1</v>
      </c>
      <c r="H103" s="13">
        <v>6</v>
      </c>
      <c r="I103" s="2">
        <v>33747</v>
      </c>
      <c r="J103" s="15">
        <v>820800</v>
      </c>
      <c r="K103" s="4" t="s">
        <v>18</v>
      </c>
      <c r="L103" s="27">
        <f t="shared" si="2"/>
        <v>1992</v>
      </c>
      <c r="M103" s="27">
        <f t="shared" si="3"/>
        <v>7</v>
      </c>
      <c r="N103" s="27">
        <f t="shared" ca="1" si="5"/>
        <v>34</v>
      </c>
      <c r="O103" s="27" t="str" cm="1">
        <f t="array" ref="O103">_xlfn.IFS($F103&gt;=750,"Excellent",$F103&gt;=700,"Good",$F103&gt;=650,"Moderate",
$F103&lt;650,"Risky"
)</f>
        <v>Good</v>
      </c>
      <c r="P103" s="27" t="str" cm="1">
        <f t="array" ref="P103">_xlfn.IFS(
AND(F103&gt;=750,H103&lt;=2),"Low Risk",
AND(F103&gt;=700,H103&lt;=5),"Medium Risk",
TRUE,"High Risk"
)</f>
        <v>High Risk</v>
      </c>
      <c r="Q103" s="5"/>
      <c r="R103" s="5"/>
      <c r="S103" s="5"/>
      <c r="T103" s="5"/>
      <c r="U103" s="5"/>
      <c r="V103" s="5"/>
      <c r="W103" s="5"/>
      <c r="X103" s="5"/>
      <c r="Y103" s="5"/>
    </row>
    <row r="104" spans="1:25" ht="15.75" customHeight="1" x14ac:dyDescent="0.25">
      <c r="A104" s="2">
        <v>44018</v>
      </c>
      <c r="B104" s="3">
        <v>48253</v>
      </c>
      <c r="C104" s="4" t="s">
        <v>33</v>
      </c>
      <c r="D104" s="4" t="str">
        <f t="shared" si="0"/>
        <v>Sales</v>
      </c>
      <c r="E104" s="4" t="str">
        <f t="shared" si="1"/>
        <v>Executive</v>
      </c>
      <c r="F104" s="13">
        <v>761</v>
      </c>
      <c r="G104" s="13">
        <v>1</v>
      </c>
      <c r="H104" s="13">
        <v>6</v>
      </c>
      <c r="I104" s="2">
        <v>30938</v>
      </c>
      <c r="J104" s="15">
        <v>541102</v>
      </c>
      <c r="K104" s="4" t="s">
        <v>14</v>
      </c>
      <c r="L104" s="27">
        <f t="shared" si="2"/>
        <v>1984</v>
      </c>
      <c r="M104" s="27">
        <f t="shared" si="3"/>
        <v>7</v>
      </c>
      <c r="N104" s="27">
        <f t="shared" ca="1" si="5"/>
        <v>42</v>
      </c>
      <c r="O104" s="27" t="str" cm="1">
        <f t="array" ref="O104">_xlfn.IFS($F104&gt;=750,"Excellent",$F104&gt;=700,"Good",$F104&gt;=650,"Moderate",
$F104&lt;650,"Risky"
)</f>
        <v>Excellent</v>
      </c>
      <c r="P104" s="27" t="str" cm="1">
        <f t="array" ref="P104">_xlfn.IFS(
AND(F104&gt;=750,H104&lt;=2),"Low Risk",
AND(F104&gt;=700,H104&lt;=5),"Medium Risk",
TRUE,"High Risk"
)</f>
        <v>High Risk</v>
      </c>
      <c r="Q104" s="5"/>
      <c r="R104" s="5"/>
      <c r="S104" s="5"/>
      <c r="T104" s="5"/>
      <c r="U104" s="5"/>
      <c r="V104" s="5"/>
      <c r="W104" s="5"/>
      <c r="X104" s="5"/>
      <c r="Y104" s="5"/>
    </row>
    <row r="105" spans="1:25" ht="15.75" customHeight="1" x14ac:dyDescent="0.25">
      <c r="A105" s="2">
        <v>43958</v>
      </c>
      <c r="B105" s="3">
        <v>58888</v>
      </c>
      <c r="C105" s="4" t="s">
        <v>37</v>
      </c>
      <c r="D105" s="4" t="str">
        <f t="shared" si="0"/>
        <v>Strategy</v>
      </c>
      <c r="E105" s="4" t="str">
        <f t="shared" si="1"/>
        <v>Director</v>
      </c>
      <c r="F105" s="13">
        <v>753</v>
      </c>
      <c r="G105" s="13">
        <v>1</v>
      </c>
      <c r="H105" s="13">
        <v>1</v>
      </c>
      <c r="I105" s="2">
        <v>34191</v>
      </c>
      <c r="J105" s="15">
        <v>760241</v>
      </c>
      <c r="K105" s="4" t="s">
        <v>21</v>
      </c>
      <c r="L105" s="27">
        <f t="shared" si="2"/>
        <v>1993</v>
      </c>
      <c r="M105" s="27">
        <f t="shared" si="3"/>
        <v>5</v>
      </c>
      <c r="N105" s="27">
        <f t="shared" ca="1" si="5"/>
        <v>33</v>
      </c>
      <c r="O105" s="27" t="str" cm="1">
        <f t="array" ref="O105">_xlfn.IFS($F105&gt;=750,"Excellent",$F105&gt;=700,"Good",$F105&gt;=650,"Moderate",
$F105&lt;650,"Risky"
)</f>
        <v>Excellent</v>
      </c>
      <c r="P105" s="27" t="str" cm="1">
        <f t="array" ref="P105">_xlfn.IFS(
AND(F105&gt;=750,H105&lt;=2),"Low Risk",
AND(F105&gt;=700,H105&lt;=5),"Medium Risk",
TRUE,"High Risk"
)</f>
        <v>Low Risk</v>
      </c>
      <c r="Q105" s="5"/>
      <c r="R105" s="5"/>
      <c r="S105" s="5"/>
      <c r="T105" s="5"/>
      <c r="U105" s="5"/>
      <c r="V105" s="5"/>
      <c r="W105" s="5"/>
      <c r="X105" s="5"/>
      <c r="Y105" s="5"/>
    </row>
    <row r="106" spans="1:25" ht="15.75" customHeight="1" x14ac:dyDescent="0.25">
      <c r="A106" s="2">
        <v>44014</v>
      </c>
      <c r="B106" s="3">
        <v>99278</v>
      </c>
      <c r="C106" s="4" t="s">
        <v>35</v>
      </c>
      <c r="D106" s="4" t="str">
        <f t="shared" si="0"/>
        <v>Growth</v>
      </c>
      <c r="E106" s="4" t="str">
        <f t="shared" si="1"/>
        <v>Intern</v>
      </c>
      <c r="F106" s="13">
        <v>771</v>
      </c>
      <c r="G106" s="13">
        <v>3</v>
      </c>
      <c r="H106" s="13">
        <v>3</v>
      </c>
      <c r="I106" s="2">
        <v>34279</v>
      </c>
      <c r="J106" s="15">
        <v>973518</v>
      </c>
      <c r="K106" s="4" t="s">
        <v>18</v>
      </c>
      <c r="L106" s="27">
        <f t="shared" si="2"/>
        <v>1993</v>
      </c>
      <c r="M106" s="27">
        <f t="shared" si="3"/>
        <v>7</v>
      </c>
      <c r="N106" s="27">
        <f t="shared" ca="1" si="5"/>
        <v>33</v>
      </c>
      <c r="O106" s="27" t="str" cm="1">
        <f t="array" ref="O106">_xlfn.IFS($F106&gt;=750,"Excellent",$F106&gt;=700,"Good",$F106&gt;=650,"Moderate",
$F106&lt;650,"Risky"
)</f>
        <v>Excellent</v>
      </c>
      <c r="P106" s="27" t="str" cm="1">
        <f t="array" ref="P106">_xlfn.IFS(
AND(F106&gt;=750,H106&lt;=2),"Low Risk",
AND(F106&gt;=700,H106&lt;=5),"Medium Risk",
TRUE,"High Risk"
)</f>
        <v>Medium Risk</v>
      </c>
      <c r="Q106" s="5"/>
      <c r="R106" s="5"/>
      <c r="S106" s="5"/>
      <c r="T106" s="5"/>
      <c r="U106" s="5"/>
      <c r="V106" s="5"/>
      <c r="W106" s="5"/>
      <c r="X106" s="5"/>
      <c r="Y106" s="5"/>
    </row>
    <row r="107" spans="1:25" ht="15.75" customHeight="1" x14ac:dyDescent="0.25">
      <c r="A107" s="2">
        <v>43959</v>
      </c>
      <c r="B107" s="3">
        <v>67882</v>
      </c>
      <c r="C107" s="4" t="s">
        <v>22</v>
      </c>
      <c r="D107" s="4" t="str">
        <f t="shared" si="0"/>
        <v>Strategy</v>
      </c>
      <c r="E107" s="4" t="str">
        <f t="shared" si="1"/>
        <v>Executive</v>
      </c>
      <c r="F107" s="13">
        <v>762</v>
      </c>
      <c r="G107" s="13">
        <v>3</v>
      </c>
      <c r="H107" s="13">
        <v>6</v>
      </c>
      <c r="I107" s="2">
        <v>31350</v>
      </c>
      <c r="J107" s="15">
        <v>916078</v>
      </c>
      <c r="K107" s="4" t="s">
        <v>21</v>
      </c>
      <c r="L107" s="27">
        <f t="shared" si="2"/>
        <v>1985</v>
      </c>
      <c r="M107" s="27">
        <f t="shared" si="3"/>
        <v>5</v>
      </c>
      <c r="N107" s="27">
        <f t="shared" ca="1" si="5"/>
        <v>41</v>
      </c>
      <c r="O107" s="27" t="str" cm="1">
        <f t="array" ref="O107">_xlfn.IFS($F107&gt;=750,"Excellent",$F107&gt;=700,"Good",$F107&gt;=650,"Moderate",
$F107&lt;650,"Risky"
)</f>
        <v>Excellent</v>
      </c>
      <c r="P107" s="27" t="str" cm="1">
        <f t="array" ref="P107">_xlfn.IFS(
AND(F107&gt;=750,H107&lt;=2),"Low Risk",
AND(F107&gt;=700,H107&lt;=5),"Medium Risk",
TRUE,"High Risk"
)</f>
        <v>High Risk</v>
      </c>
      <c r="Q107" s="5"/>
      <c r="R107" s="5"/>
      <c r="S107" s="5"/>
      <c r="T107" s="5"/>
      <c r="U107" s="5"/>
      <c r="V107" s="5"/>
      <c r="W107" s="5"/>
      <c r="X107" s="5"/>
      <c r="Y107" s="5"/>
    </row>
    <row r="108" spans="1:25" ht="15.75" customHeight="1" x14ac:dyDescent="0.25">
      <c r="A108" s="2">
        <v>43968</v>
      </c>
      <c r="B108" s="3">
        <v>12249</v>
      </c>
      <c r="C108" s="4" t="s">
        <v>25</v>
      </c>
      <c r="D108" s="4" t="str">
        <f t="shared" si="0"/>
        <v>Sales</v>
      </c>
      <c r="E108" s="4" t="str">
        <f t="shared" si="1"/>
        <v>Manager</v>
      </c>
      <c r="F108" s="13">
        <v>722</v>
      </c>
      <c r="G108" s="13">
        <v>1</v>
      </c>
      <c r="H108" s="13">
        <v>4</v>
      </c>
      <c r="I108" s="2">
        <v>32123</v>
      </c>
      <c r="J108" s="15">
        <v>518896</v>
      </c>
      <c r="K108" s="4" t="s">
        <v>21</v>
      </c>
      <c r="L108" s="27">
        <f t="shared" si="2"/>
        <v>1987</v>
      </c>
      <c r="M108" s="27">
        <f t="shared" si="3"/>
        <v>5</v>
      </c>
      <c r="N108" s="27">
        <f t="shared" ca="1" si="5"/>
        <v>39</v>
      </c>
      <c r="O108" s="27" t="str" cm="1">
        <f t="array" ref="O108">_xlfn.IFS($F108&gt;=750,"Excellent",$F108&gt;=700,"Good",$F108&gt;=650,"Moderate",
$F108&lt;650,"Risky"
)</f>
        <v>Good</v>
      </c>
      <c r="P108" s="27" t="str" cm="1">
        <f t="array" ref="P108">_xlfn.IFS(
AND(F108&gt;=750,H108&lt;=2),"Low Risk",
AND(F108&gt;=700,H108&lt;=5),"Medium Risk",
TRUE,"High Risk"
)</f>
        <v>Medium Risk</v>
      </c>
      <c r="Q108" s="5"/>
      <c r="R108" s="5"/>
      <c r="S108" s="5"/>
      <c r="T108" s="5"/>
      <c r="U108" s="5"/>
      <c r="V108" s="5"/>
      <c r="W108" s="5"/>
      <c r="X108" s="5"/>
      <c r="Y108" s="5"/>
    </row>
    <row r="109" spans="1:25" ht="15.75" customHeight="1" x14ac:dyDescent="0.25">
      <c r="A109" s="2">
        <v>44051</v>
      </c>
      <c r="B109" s="3">
        <v>29846</v>
      </c>
      <c r="C109" s="4" t="s">
        <v>29</v>
      </c>
      <c r="D109" s="4" t="str">
        <f t="shared" si="0"/>
        <v>Sales</v>
      </c>
      <c r="E109" s="4" t="str">
        <f t="shared" si="1"/>
        <v>Director</v>
      </c>
      <c r="F109" s="13">
        <v>771</v>
      </c>
      <c r="G109" s="13">
        <v>4</v>
      </c>
      <c r="H109" s="13">
        <v>8</v>
      </c>
      <c r="I109" s="2">
        <v>30954</v>
      </c>
      <c r="J109" s="15">
        <v>789241</v>
      </c>
      <c r="K109" s="4" t="s">
        <v>21</v>
      </c>
      <c r="L109" s="27">
        <f t="shared" si="2"/>
        <v>1984</v>
      </c>
      <c r="M109" s="27">
        <f t="shared" si="3"/>
        <v>8</v>
      </c>
      <c r="N109" s="27">
        <f t="shared" ca="1" si="5"/>
        <v>42</v>
      </c>
      <c r="O109" s="27" t="str" cm="1">
        <f t="array" ref="O109">_xlfn.IFS($F109&gt;=750,"Excellent",$F109&gt;=700,"Good",$F109&gt;=650,"Moderate",
$F109&lt;650,"Risky"
)</f>
        <v>Excellent</v>
      </c>
      <c r="P109" s="27" t="str" cm="1">
        <f t="array" ref="P109">_xlfn.IFS(
AND(F109&gt;=750,H109&lt;=2),"Low Risk",
AND(F109&gt;=700,H109&lt;=5),"Medium Risk",
TRUE,"High Risk"
)</f>
        <v>High Risk</v>
      </c>
      <c r="Q109" s="5"/>
      <c r="R109" s="5"/>
      <c r="S109" s="5"/>
      <c r="T109" s="5"/>
      <c r="U109" s="5"/>
      <c r="V109" s="5"/>
      <c r="W109" s="5"/>
      <c r="X109" s="5"/>
      <c r="Y109" s="5"/>
    </row>
    <row r="110" spans="1:25" ht="15.75" customHeight="1" x14ac:dyDescent="0.25">
      <c r="A110" s="2">
        <v>43889</v>
      </c>
      <c r="B110" s="3">
        <v>63308</v>
      </c>
      <c r="C110" s="4" t="s">
        <v>17</v>
      </c>
      <c r="D110" s="4" t="str">
        <f t="shared" si="0"/>
        <v>Growth</v>
      </c>
      <c r="E110" s="4" t="str">
        <f t="shared" si="1"/>
        <v>Manager</v>
      </c>
      <c r="F110" s="13">
        <v>784</v>
      </c>
      <c r="G110" s="13">
        <v>2</v>
      </c>
      <c r="H110" s="13">
        <v>1</v>
      </c>
      <c r="I110" s="2">
        <v>34072</v>
      </c>
      <c r="J110" s="15">
        <v>535794</v>
      </c>
      <c r="K110" s="4" t="s">
        <v>18</v>
      </c>
      <c r="L110" s="27">
        <f t="shared" si="2"/>
        <v>1993</v>
      </c>
      <c r="M110" s="27">
        <f t="shared" si="3"/>
        <v>2</v>
      </c>
      <c r="N110" s="27">
        <f t="shared" ca="1" si="5"/>
        <v>33</v>
      </c>
      <c r="O110" s="27" t="str" cm="1">
        <f t="array" ref="O110">_xlfn.IFS($F110&gt;=750,"Excellent",$F110&gt;=700,"Good",$F110&gt;=650,"Moderate",
$F110&lt;650,"Risky"
)</f>
        <v>Excellent</v>
      </c>
      <c r="P110" s="27" t="str" cm="1">
        <f t="array" ref="P110">_xlfn.IFS(
AND(F110&gt;=750,H110&lt;=2),"Low Risk",
AND(F110&gt;=700,H110&lt;=5),"Medium Risk",
TRUE,"High Risk"
)</f>
        <v>Low Risk</v>
      </c>
      <c r="Q110" s="5"/>
      <c r="R110" s="5"/>
      <c r="S110" s="5"/>
      <c r="T110" s="5"/>
      <c r="U110" s="5"/>
      <c r="V110" s="5"/>
      <c r="W110" s="5"/>
      <c r="X110" s="5"/>
      <c r="Y110" s="5"/>
    </row>
    <row r="111" spans="1:25" ht="15.75" customHeight="1" x14ac:dyDescent="0.25">
      <c r="A111" s="2">
        <v>44168</v>
      </c>
      <c r="B111" s="3">
        <v>77364</v>
      </c>
      <c r="C111" s="4" t="s">
        <v>19</v>
      </c>
      <c r="D111" s="4" t="str">
        <f t="shared" si="0"/>
        <v>Marketing</v>
      </c>
      <c r="E111" s="4" t="str">
        <f t="shared" si="1"/>
        <v>Manager</v>
      </c>
      <c r="F111" s="13">
        <v>700</v>
      </c>
      <c r="G111" s="13">
        <v>2</v>
      </c>
      <c r="H111" s="13">
        <v>5</v>
      </c>
      <c r="I111" s="2">
        <v>31611</v>
      </c>
      <c r="J111" s="15">
        <v>859981</v>
      </c>
      <c r="K111" s="4" t="s">
        <v>14</v>
      </c>
      <c r="L111" s="27">
        <f t="shared" si="2"/>
        <v>1986</v>
      </c>
      <c r="M111" s="27">
        <f t="shared" si="3"/>
        <v>12</v>
      </c>
      <c r="N111" s="27">
        <f t="shared" ca="1" si="5"/>
        <v>40</v>
      </c>
      <c r="O111" s="27" t="str" cm="1">
        <f t="array" ref="O111">_xlfn.IFS($F111&gt;=750,"Excellent",$F111&gt;=700,"Good",$F111&gt;=650,"Moderate",
$F111&lt;650,"Risky"
)</f>
        <v>Good</v>
      </c>
      <c r="P111" s="27" t="str" cm="1">
        <f t="array" ref="P111">_xlfn.IFS(
AND(F111&gt;=750,H111&lt;=2),"Low Risk",
AND(F111&gt;=700,H111&lt;=5),"Medium Risk",
TRUE,"High Risk"
)</f>
        <v>Medium Risk</v>
      </c>
      <c r="Q111" s="5"/>
      <c r="R111" s="5"/>
      <c r="S111" s="5"/>
      <c r="T111" s="5"/>
      <c r="U111" s="5"/>
      <c r="V111" s="5"/>
      <c r="W111" s="5"/>
      <c r="X111" s="5"/>
      <c r="Y111" s="5"/>
    </row>
    <row r="112" spans="1:25" ht="15.75" customHeight="1" x14ac:dyDescent="0.25">
      <c r="A112" s="2">
        <v>43927</v>
      </c>
      <c r="B112" s="3">
        <v>81750</v>
      </c>
      <c r="C112" s="4" t="s">
        <v>28</v>
      </c>
      <c r="D112" s="4" t="str">
        <f t="shared" si="0"/>
        <v>Growth</v>
      </c>
      <c r="E112" s="4" t="str">
        <f t="shared" si="1"/>
        <v>Director</v>
      </c>
      <c r="F112" s="13">
        <v>741</v>
      </c>
      <c r="G112" s="13">
        <v>4</v>
      </c>
      <c r="H112" s="13">
        <v>2</v>
      </c>
      <c r="I112" s="2">
        <v>32323</v>
      </c>
      <c r="J112" s="15">
        <v>650549</v>
      </c>
      <c r="K112" s="4" t="s">
        <v>21</v>
      </c>
      <c r="L112" s="27">
        <f t="shared" si="2"/>
        <v>1988</v>
      </c>
      <c r="M112" s="27">
        <f t="shared" si="3"/>
        <v>4</v>
      </c>
      <c r="N112" s="27">
        <f t="shared" ca="1" si="5"/>
        <v>38</v>
      </c>
      <c r="O112" s="27" t="str" cm="1">
        <f t="array" ref="O112">_xlfn.IFS($F112&gt;=750,"Excellent",$F112&gt;=700,"Good",$F112&gt;=650,"Moderate",
$F112&lt;650,"Risky"
)</f>
        <v>Good</v>
      </c>
      <c r="P112" s="27" t="str" cm="1">
        <f t="array" ref="P112">_xlfn.IFS(
AND(F112&gt;=750,H112&lt;=2),"Low Risk",
AND(F112&gt;=700,H112&lt;=5),"Medium Risk",
TRUE,"High Risk"
)</f>
        <v>Medium Risk</v>
      </c>
      <c r="Q112" s="5"/>
      <c r="R112" s="5"/>
      <c r="S112" s="5"/>
      <c r="T112" s="5"/>
      <c r="U112" s="5"/>
      <c r="V112" s="5"/>
      <c r="W112" s="5"/>
      <c r="X112" s="5"/>
      <c r="Y112" s="5"/>
    </row>
    <row r="113" spans="1:25" ht="15.75" customHeight="1" x14ac:dyDescent="0.25">
      <c r="A113" s="2">
        <v>43899</v>
      </c>
      <c r="B113" s="3">
        <v>99508</v>
      </c>
      <c r="C113" s="4" t="s">
        <v>13</v>
      </c>
      <c r="D113" s="4" t="str">
        <f t="shared" si="0"/>
        <v>Marketing</v>
      </c>
      <c r="E113" s="4" t="str">
        <f t="shared" si="1"/>
        <v>Director</v>
      </c>
      <c r="F113" s="13">
        <v>727</v>
      </c>
      <c r="G113" s="13">
        <v>5</v>
      </c>
      <c r="H113" s="13">
        <v>6</v>
      </c>
      <c r="I113" s="2">
        <v>31257</v>
      </c>
      <c r="J113" s="15">
        <v>742478</v>
      </c>
      <c r="K113" s="4" t="s">
        <v>21</v>
      </c>
      <c r="L113" s="27">
        <f t="shared" si="2"/>
        <v>1985</v>
      </c>
      <c r="M113" s="27">
        <f t="shared" si="3"/>
        <v>3</v>
      </c>
      <c r="N113" s="27">
        <f t="shared" ca="1" si="5"/>
        <v>41</v>
      </c>
      <c r="O113" s="27" t="str" cm="1">
        <f t="array" ref="O113">_xlfn.IFS($F113&gt;=750,"Excellent",$F113&gt;=700,"Good",$F113&gt;=650,"Moderate",
$F113&lt;650,"Risky"
)</f>
        <v>Good</v>
      </c>
      <c r="P113" s="27" t="str" cm="1">
        <f t="array" ref="P113">_xlfn.IFS(
AND(F113&gt;=750,H113&lt;=2),"Low Risk",
AND(F113&gt;=700,H113&lt;=5),"Medium Risk",
TRUE,"High Risk"
)</f>
        <v>High Risk</v>
      </c>
      <c r="Q113" s="5"/>
      <c r="R113" s="5"/>
      <c r="S113" s="5"/>
      <c r="T113" s="5"/>
      <c r="U113" s="5"/>
      <c r="V113" s="5"/>
      <c r="W113" s="5"/>
      <c r="X113" s="5"/>
      <c r="Y113" s="5"/>
    </row>
    <row r="114" spans="1:25" ht="15.75" customHeight="1" x14ac:dyDescent="0.25">
      <c r="A114" s="2">
        <v>43834</v>
      </c>
      <c r="B114" s="3">
        <v>80762</v>
      </c>
      <c r="C114" s="4" t="s">
        <v>15</v>
      </c>
      <c r="D114" s="4" t="str">
        <f t="shared" si="0"/>
        <v>Operation</v>
      </c>
      <c r="E114" s="4" t="str">
        <f t="shared" si="1"/>
        <v>Executive</v>
      </c>
      <c r="F114" s="13">
        <v>721</v>
      </c>
      <c r="G114" s="13">
        <v>1</v>
      </c>
      <c r="H114" s="13">
        <v>9</v>
      </c>
      <c r="I114" s="2">
        <v>31810</v>
      </c>
      <c r="J114" s="15">
        <v>967982</v>
      </c>
      <c r="K114" s="4" t="s">
        <v>14</v>
      </c>
      <c r="L114" s="27">
        <f t="shared" si="2"/>
        <v>1987</v>
      </c>
      <c r="M114" s="27">
        <f t="shared" si="3"/>
        <v>1</v>
      </c>
      <c r="N114" s="27">
        <f t="shared" ca="1" si="5"/>
        <v>39</v>
      </c>
      <c r="O114" s="27" t="str" cm="1">
        <f t="array" ref="O114">_xlfn.IFS($F114&gt;=750,"Excellent",$F114&gt;=700,"Good",$F114&gt;=650,"Moderate",
$F114&lt;650,"Risky"
)</f>
        <v>Good</v>
      </c>
      <c r="P114" s="27" t="str" cm="1">
        <f t="array" ref="P114">_xlfn.IFS(
AND(F114&gt;=750,H114&lt;=2),"Low Risk",
AND(F114&gt;=700,H114&lt;=5),"Medium Risk",
TRUE,"High Risk"
)</f>
        <v>High Risk</v>
      </c>
      <c r="Q114" s="5"/>
      <c r="R114" s="5"/>
      <c r="S114" s="5"/>
      <c r="T114" s="5"/>
      <c r="U114" s="5"/>
      <c r="V114" s="5"/>
      <c r="W114" s="5"/>
      <c r="X114" s="5"/>
      <c r="Y114" s="5"/>
    </row>
    <row r="115" spans="1:25" ht="15.75" customHeight="1" x14ac:dyDescent="0.25">
      <c r="A115" s="2">
        <v>44126</v>
      </c>
      <c r="B115" s="3">
        <v>33666</v>
      </c>
      <c r="C115" s="4" t="s">
        <v>27</v>
      </c>
      <c r="D115" s="4" t="str">
        <f t="shared" si="0"/>
        <v>Operation</v>
      </c>
      <c r="E115" s="4" t="str">
        <f t="shared" si="1"/>
        <v>Intern</v>
      </c>
      <c r="F115" s="13">
        <v>720</v>
      </c>
      <c r="G115" s="13">
        <v>3</v>
      </c>
      <c r="H115" s="13">
        <v>3</v>
      </c>
      <c r="I115" s="2">
        <v>33294</v>
      </c>
      <c r="J115" s="15">
        <v>698801</v>
      </c>
      <c r="K115" s="4" t="s">
        <v>14</v>
      </c>
      <c r="L115" s="27">
        <f t="shared" si="2"/>
        <v>1991</v>
      </c>
      <c r="M115" s="27">
        <f t="shared" si="3"/>
        <v>10</v>
      </c>
      <c r="N115" s="27">
        <f t="shared" ca="1" si="5"/>
        <v>35</v>
      </c>
      <c r="O115" s="27" t="str" cm="1">
        <f t="array" ref="O115">_xlfn.IFS($F115&gt;=750,"Excellent",$F115&gt;=700,"Good",$F115&gt;=650,"Moderate",
$F115&lt;650,"Risky"
)</f>
        <v>Good</v>
      </c>
      <c r="P115" s="27" t="str" cm="1">
        <f t="array" ref="P115">_xlfn.IFS(
AND(F115&gt;=750,H115&lt;=2),"Low Risk",
AND(F115&gt;=700,H115&lt;=5),"Medium Risk",
TRUE,"High Risk"
)</f>
        <v>Medium Risk</v>
      </c>
      <c r="Q115" s="5"/>
      <c r="R115" s="5"/>
      <c r="S115" s="5"/>
      <c r="T115" s="5"/>
      <c r="U115" s="5"/>
      <c r="V115" s="5"/>
      <c r="W115" s="5"/>
      <c r="X115" s="5"/>
      <c r="Y115" s="5"/>
    </row>
    <row r="116" spans="1:25" ht="15.75" customHeight="1" x14ac:dyDescent="0.25">
      <c r="A116" s="2">
        <v>43875</v>
      </c>
      <c r="B116" s="3">
        <v>89694</v>
      </c>
      <c r="C116" s="4" t="s">
        <v>29</v>
      </c>
      <c r="D116" s="4" t="str">
        <f t="shared" si="0"/>
        <v>Sales</v>
      </c>
      <c r="E116" s="4" t="str">
        <f t="shared" si="1"/>
        <v>Director</v>
      </c>
      <c r="F116" s="13">
        <v>744</v>
      </c>
      <c r="G116" s="13">
        <v>1</v>
      </c>
      <c r="H116" s="13">
        <v>6</v>
      </c>
      <c r="I116" s="2">
        <v>30337</v>
      </c>
      <c r="J116" s="15">
        <v>657372</v>
      </c>
      <c r="K116" s="4" t="s">
        <v>14</v>
      </c>
      <c r="L116" s="27">
        <f t="shared" si="2"/>
        <v>1983</v>
      </c>
      <c r="M116" s="27">
        <f t="shared" si="3"/>
        <v>2</v>
      </c>
      <c r="N116" s="27">
        <f t="shared" ca="1" si="5"/>
        <v>43</v>
      </c>
      <c r="O116" s="27" t="str" cm="1">
        <f t="array" ref="O116">_xlfn.IFS($F116&gt;=750,"Excellent",$F116&gt;=700,"Good",$F116&gt;=650,"Moderate",
$F116&lt;650,"Risky"
)</f>
        <v>Good</v>
      </c>
      <c r="P116" s="27" t="str" cm="1">
        <f t="array" ref="P116">_xlfn.IFS(
AND(F116&gt;=750,H116&lt;=2),"Low Risk",
AND(F116&gt;=700,H116&lt;=5),"Medium Risk",
TRUE,"High Risk"
)</f>
        <v>High Risk</v>
      </c>
      <c r="Q116" s="5"/>
      <c r="R116" s="5"/>
      <c r="S116" s="5"/>
      <c r="T116" s="5"/>
      <c r="U116" s="5"/>
      <c r="V116" s="5"/>
      <c r="W116" s="5"/>
      <c r="X116" s="5"/>
      <c r="Y116" s="5"/>
    </row>
    <row r="117" spans="1:25" ht="15.75" customHeight="1" x14ac:dyDescent="0.25">
      <c r="A117" s="2">
        <v>43952</v>
      </c>
      <c r="B117" s="3">
        <v>29920</v>
      </c>
      <c r="C117" s="4" t="s">
        <v>35</v>
      </c>
      <c r="D117" s="4" t="str">
        <f t="shared" si="0"/>
        <v>Growth</v>
      </c>
      <c r="E117" s="4" t="str">
        <f t="shared" si="1"/>
        <v>Intern</v>
      </c>
      <c r="F117" s="13">
        <v>741</v>
      </c>
      <c r="G117" s="13">
        <v>4</v>
      </c>
      <c r="H117" s="13">
        <v>5</v>
      </c>
      <c r="I117" s="2">
        <v>29945</v>
      </c>
      <c r="J117" s="15">
        <v>732457</v>
      </c>
      <c r="K117" s="4" t="s">
        <v>18</v>
      </c>
      <c r="L117" s="27">
        <f t="shared" si="2"/>
        <v>1981</v>
      </c>
      <c r="M117" s="27">
        <f t="shared" si="3"/>
        <v>5</v>
      </c>
      <c r="N117" s="27">
        <f t="shared" ca="1" si="5"/>
        <v>45</v>
      </c>
      <c r="O117" s="27" t="str" cm="1">
        <f t="array" ref="O117">_xlfn.IFS($F117&gt;=750,"Excellent",$F117&gt;=700,"Good",$F117&gt;=650,"Moderate",
$F117&lt;650,"Risky"
)</f>
        <v>Good</v>
      </c>
      <c r="P117" s="27" t="str" cm="1">
        <f t="array" ref="P117">_xlfn.IFS(
AND(F117&gt;=750,H117&lt;=2),"Low Risk",
AND(F117&gt;=700,H117&lt;=5),"Medium Risk",
TRUE,"High Risk"
)</f>
        <v>Medium Risk</v>
      </c>
      <c r="Q117" s="5"/>
      <c r="R117" s="5"/>
      <c r="S117" s="5"/>
      <c r="T117" s="5"/>
      <c r="U117" s="5"/>
      <c r="V117" s="5"/>
      <c r="W117" s="5"/>
      <c r="X117" s="5"/>
      <c r="Y117" s="5"/>
    </row>
    <row r="118" spans="1:25" ht="15.75" customHeight="1" x14ac:dyDescent="0.25">
      <c r="A118" s="2">
        <v>43844</v>
      </c>
      <c r="B118" s="3">
        <v>32451</v>
      </c>
      <c r="C118" s="4" t="s">
        <v>15</v>
      </c>
      <c r="D118" s="4" t="str">
        <f t="shared" si="0"/>
        <v>Operation</v>
      </c>
      <c r="E118" s="4" t="str">
        <f t="shared" si="1"/>
        <v>Executive</v>
      </c>
      <c r="F118" s="13">
        <v>733</v>
      </c>
      <c r="G118" s="13">
        <v>1</v>
      </c>
      <c r="H118" s="13">
        <v>5</v>
      </c>
      <c r="I118" s="2">
        <v>29411</v>
      </c>
      <c r="J118" s="15">
        <v>794281</v>
      </c>
      <c r="K118" s="4" t="s">
        <v>14</v>
      </c>
      <c r="L118" s="27">
        <f t="shared" si="2"/>
        <v>1980</v>
      </c>
      <c r="M118" s="27">
        <f t="shared" si="3"/>
        <v>1</v>
      </c>
      <c r="N118" s="27">
        <f t="shared" ca="1" si="5"/>
        <v>46</v>
      </c>
      <c r="O118" s="27" t="str" cm="1">
        <f t="array" ref="O118">_xlfn.IFS($F118&gt;=750,"Excellent",$F118&gt;=700,"Good",$F118&gt;=650,"Moderate",
$F118&lt;650,"Risky"
)</f>
        <v>Good</v>
      </c>
      <c r="P118" s="27" t="str" cm="1">
        <f t="array" ref="P118">_xlfn.IFS(
AND(F118&gt;=750,H118&lt;=2),"Low Risk",
AND(F118&gt;=700,H118&lt;=5),"Medium Risk",
TRUE,"High Risk"
)</f>
        <v>Medium Risk</v>
      </c>
      <c r="Q118" s="5"/>
      <c r="R118" s="5"/>
      <c r="S118" s="5"/>
      <c r="T118" s="5"/>
      <c r="U118" s="5"/>
      <c r="V118" s="5"/>
      <c r="W118" s="5"/>
      <c r="X118" s="5"/>
      <c r="Y118" s="5"/>
    </row>
    <row r="119" spans="1:25" ht="15.75" customHeight="1" x14ac:dyDescent="0.25">
      <c r="A119" s="2">
        <v>43948</v>
      </c>
      <c r="B119" s="3">
        <v>99963</v>
      </c>
      <c r="C119" s="4" t="s">
        <v>22</v>
      </c>
      <c r="D119" s="4" t="str">
        <f t="shared" si="0"/>
        <v>Strategy</v>
      </c>
      <c r="E119" s="4" t="str">
        <f t="shared" si="1"/>
        <v>Executive</v>
      </c>
      <c r="F119" s="13">
        <v>794</v>
      </c>
      <c r="G119" s="13">
        <v>1</v>
      </c>
      <c r="H119" s="13">
        <v>5</v>
      </c>
      <c r="I119" s="2">
        <v>32368</v>
      </c>
      <c r="J119" s="15">
        <v>946851</v>
      </c>
      <c r="K119" s="4" t="s">
        <v>21</v>
      </c>
      <c r="L119" s="27">
        <f t="shared" si="2"/>
        <v>1988</v>
      </c>
      <c r="M119" s="27">
        <f t="shared" si="3"/>
        <v>4</v>
      </c>
      <c r="N119" s="27">
        <f t="shared" ca="1" si="5"/>
        <v>38</v>
      </c>
      <c r="O119" s="27" t="str" cm="1">
        <f t="array" ref="O119">_xlfn.IFS($F119&gt;=750,"Excellent",$F119&gt;=700,"Good",$F119&gt;=650,"Moderate",
$F119&lt;650,"Risky"
)</f>
        <v>Excellent</v>
      </c>
      <c r="P119" s="27" t="str" cm="1">
        <f t="array" ref="P119">_xlfn.IFS(
AND(F119&gt;=750,H119&lt;=2),"Low Risk",
AND(F119&gt;=700,H119&lt;=5),"Medium Risk",
TRUE,"High Risk"
)</f>
        <v>Medium Risk</v>
      </c>
      <c r="Q119" s="5"/>
      <c r="R119" s="5"/>
      <c r="S119" s="5"/>
      <c r="T119" s="5"/>
      <c r="U119" s="5"/>
      <c r="V119" s="5"/>
      <c r="W119" s="5"/>
      <c r="X119" s="5"/>
      <c r="Y119" s="5"/>
    </row>
    <row r="120" spans="1:25" ht="15.75" customHeight="1" x14ac:dyDescent="0.25">
      <c r="A120" s="2">
        <v>44147</v>
      </c>
      <c r="B120" s="3">
        <v>37171</v>
      </c>
      <c r="C120" s="4" t="s">
        <v>34</v>
      </c>
      <c r="D120" s="4" t="str">
        <f t="shared" si="0"/>
        <v>Finance</v>
      </c>
      <c r="E120" s="4" t="str">
        <f t="shared" si="1"/>
        <v>Director</v>
      </c>
      <c r="F120" s="13">
        <v>765</v>
      </c>
      <c r="G120" s="13">
        <v>3</v>
      </c>
      <c r="H120" s="13">
        <v>3</v>
      </c>
      <c r="I120" s="2">
        <v>29839</v>
      </c>
      <c r="J120" s="15">
        <v>889827</v>
      </c>
      <c r="K120" s="4" t="s">
        <v>14</v>
      </c>
      <c r="L120" s="27">
        <f t="shared" si="2"/>
        <v>1981</v>
      </c>
      <c r="M120" s="27">
        <f t="shared" si="3"/>
        <v>11</v>
      </c>
      <c r="N120" s="27">
        <f t="shared" ca="1" si="5"/>
        <v>45</v>
      </c>
      <c r="O120" s="27" t="str" cm="1">
        <f t="array" ref="O120">_xlfn.IFS($F120&gt;=750,"Excellent",$F120&gt;=700,"Good",$F120&gt;=650,"Moderate",
$F120&lt;650,"Risky"
)</f>
        <v>Excellent</v>
      </c>
      <c r="P120" s="27" t="str" cm="1">
        <f t="array" ref="P120">_xlfn.IFS(
AND(F120&gt;=750,H120&lt;=2),"Low Risk",
AND(F120&gt;=700,H120&lt;=5),"Medium Risk",
TRUE,"High Risk"
)</f>
        <v>Medium Risk</v>
      </c>
      <c r="Q120" s="5"/>
      <c r="R120" s="5"/>
      <c r="S120" s="5"/>
      <c r="T120" s="5"/>
      <c r="U120" s="5"/>
      <c r="V120" s="5"/>
      <c r="W120" s="5"/>
      <c r="X120" s="5"/>
      <c r="Y120" s="5"/>
    </row>
    <row r="121" spans="1:25" ht="15.75" customHeight="1" x14ac:dyDescent="0.25">
      <c r="A121" s="2">
        <v>44124</v>
      </c>
      <c r="B121" s="3">
        <v>87310</v>
      </c>
      <c r="C121" s="4" t="s">
        <v>30</v>
      </c>
      <c r="D121" s="4" t="str">
        <f t="shared" si="0"/>
        <v>Operation</v>
      </c>
      <c r="E121" s="4" t="str">
        <f t="shared" si="1"/>
        <v>Director</v>
      </c>
      <c r="F121" s="13">
        <v>783</v>
      </c>
      <c r="G121" s="13">
        <v>2</v>
      </c>
      <c r="H121" s="13">
        <v>3</v>
      </c>
      <c r="I121" s="2">
        <v>31746</v>
      </c>
      <c r="J121" s="15">
        <v>807124</v>
      </c>
      <c r="K121" s="4" t="s">
        <v>14</v>
      </c>
      <c r="L121" s="27">
        <f t="shared" si="2"/>
        <v>1986</v>
      </c>
      <c r="M121" s="27">
        <f t="shared" si="3"/>
        <v>10</v>
      </c>
      <c r="N121" s="27">
        <f t="shared" ca="1" si="5"/>
        <v>40</v>
      </c>
      <c r="O121" s="27" t="str" cm="1">
        <f t="array" ref="O121">_xlfn.IFS($F121&gt;=750,"Excellent",$F121&gt;=700,"Good",$F121&gt;=650,"Moderate",
$F121&lt;650,"Risky"
)</f>
        <v>Excellent</v>
      </c>
      <c r="P121" s="27" t="str" cm="1">
        <f t="array" ref="P121">_xlfn.IFS(
AND(F121&gt;=750,H121&lt;=2),"Low Risk",
AND(F121&gt;=700,H121&lt;=5),"Medium Risk",
TRUE,"High Risk"
)</f>
        <v>Medium Risk</v>
      </c>
      <c r="Q121" s="5"/>
      <c r="R121" s="5"/>
      <c r="S121" s="5"/>
      <c r="T121" s="5"/>
      <c r="U121" s="5"/>
      <c r="V121" s="5"/>
      <c r="W121" s="5"/>
      <c r="X121" s="5"/>
      <c r="Y121" s="5"/>
    </row>
    <row r="122" spans="1:25" ht="15.75" customHeight="1" x14ac:dyDescent="0.25">
      <c r="A122" s="2">
        <v>44164</v>
      </c>
      <c r="B122" s="3">
        <v>96889</v>
      </c>
      <c r="C122" s="4" t="s">
        <v>16</v>
      </c>
      <c r="D122" s="4" t="str">
        <f t="shared" si="0"/>
        <v>Marketing</v>
      </c>
      <c r="E122" s="4" t="str">
        <f t="shared" si="1"/>
        <v>Executive</v>
      </c>
      <c r="F122" s="13">
        <v>708</v>
      </c>
      <c r="G122" s="13">
        <v>3</v>
      </c>
      <c r="H122" s="13">
        <v>10</v>
      </c>
      <c r="I122" s="2">
        <v>29793</v>
      </c>
      <c r="J122" s="15">
        <v>689583</v>
      </c>
      <c r="K122" s="4" t="s">
        <v>14</v>
      </c>
      <c r="L122" s="27">
        <f t="shared" si="2"/>
        <v>1981</v>
      </c>
      <c r="M122" s="27">
        <f t="shared" si="3"/>
        <v>11</v>
      </c>
      <c r="N122" s="27">
        <f t="shared" ca="1" si="5"/>
        <v>45</v>
      </c>
      <c r="O122" s="27" t="str" cm="1">
        <f t="array" ref="O122">_xlfn.IFS($F122&gt;=750,"Excellent",$F122&gt;=700,"Good",$F122&gt;=650,"Moderate",
$F122&lt;650,"Risky"
)</f>
        <v>Good</v>
      </c>
      <c r="P122" s="27" t="str" cm="1">
        <f t="array" ref="P122">_xlfn.IFS(
AND(F122&gt;=750,H122&lt;=2),"Low Risk",
AND(F122&gt;=700,H122&lt;=5),"Medium Risk",
TRUE,"High Risk"
)</f>
        <v>High Risk</v>
      </c>
      <c r="Q122" s="5"/>
      <c r="R122" s="5"/>
      <c r="S122" s="5"/>
      <c r="T122" s="5"/>
      <c r="U122" s="5"/>
      <c r="V122" s="5"/>
      <c r="W122" s="5"/>
      <c r="X122" s="5"/>
      <c r="Y122" s="5"/>
    </row>
    <row r="123" spans="1:25" ht="15.75" customHeight="1" x14ac:dyDescent="0.25">
      <c r="A123" s="2">
        <v>44113</v>
      </c>
      <c r="B123" s="3">
        <v>10493</v>
      </c>
      <c r="C123" s="4" t="s">
        <v>28</v>
      </c>
      <c r="D123" s="4" t="str">
        <f t="shared" si="0"/>
        <v>Growth</v>
      </c>
      <c r="E123" s="4" t="str">
        <f t="shared" si="1"/>
        <v>Director</v>
      </c>
      <c r="F123" s="13">
        <v>773</v>
      </c>
      <c r="G123" s="13">
        <v>5</v>
      </c>
      <c r="H123" s="13">
        <v>3</v>
      </c>
      <c r="I123" s="2">
        <v>30179</v>
      </c>
      <c r="J123" s="15">
        <v>581795</v>
      </c>
      <c r="K123" s="4" t="s">
        <v>18</v>
      </c>
      <c r="L123" s="27">
        <f t="shared" si="2"/>
        <v>1982</v>
      </c>
      <c r="M123" s="27">
        <f t="shared" si="3"/>
        <v>10</v>
      </c>
      <c r="N123" s="27">
        <f t="shared" ca="1" si="5"/>
        <v>44</v>
      </c>
      <c r="O123" s="27" t="str" cm="1">
        <f t="array" ref="O123">_xlfn.IFS($F123&gt;=750,"Excellent",$F123&gt;=700,"Good",$F123&gt;=650,"Moderate",
$F123&lt;650,"Risky"
)</f>
        <v>Excellent</v>
      </c>
      <c r="P123" s="27" t="str" cm="1">
        <f t="array" ref="P123">_xlfn.IFS(
AND(F123&gt;=750,H123&lt;=2),"Low Risk",
AND(F123&gt;=700,H123&lt;=5),"Medium Risk",
TRUE,"High Risk"
)</f>
        <v>Medium Risk</v>
      </c>
      <c r="Q123" s="5"/>
      <c r="R123" s="5"/>
      <c r="S123" s="5"/>
      <c r="T123" s="5"/>
      <c r="U123" s="5"/>
      <c r="V123" s="5"/>
      <c r="W123" s="5"/>
      <c r="X123" s="5"/>
      <c r="Y123" s="5"/>
    </row>
    <row r="124" spans="1:25" ht="15.75" customHeight="1" x14ac:dyDescent="0.25">
      <c r="A124" s="2">
        <v>43840</v>
      </c>
      <c r="B124" s="3">
        <v>80302</v>
      </c>
      <c r="C124" s="4" t="s">
        <v>35</v>
      </c>
      <c r="D124" s="4" t="str">
        <f t="shared" si="0"/>
        <v>Growth</v>
      </c>
      <c r="E124" s="4" t="str">
        <f t="shared" si="1"/>
        <v>Intern</v>
      </c>
      <c r="F124" s="13">
        <v>725</v>
      </c>
      <c r="G124" s="13">
        <v>1</v>
      </c>
      <c r="H124" s="13">
        <v>9</v>
      </c>
      <c r="I124" s="2">
        <v>34031</v>
      </c>
      <c r="J124" s="15">
        <v>833731</v>
      </c>
      <c r="K124" s="4" t="s">
        <v>21</v>
      </c>
      <c r="L124" s="27">
        <f t="shared" si="2"/>
        <v>1993</v>
      </c>
      <c r="M124" s="27">
        <f t="shared" si="3"/>
        <v>1</v>
      </c>
      <c r="N124" s="27">
        <f t="shared" ca="1" si="5"/>
        <v>33</v>
      </c>
      <c r="O124" s="27" t="str" cm="1">
        <f t="array" ref="O124">_xlfn.IFS($F124&gt;=750,"Excellent",$F124&gt;=700,"Good",$F124&gt;=650,"Moderate",
$F124&lt;650,"Risky"
)</f>
        <v>Good</v>
      </c>
      <c r="P124" s="27" t="str" cm="1">
        <f t="array" ref="P124">_xlfn.IFS(
AND(F124&gt;=750,H124&lt;=2),"Low Risk",
AND(F124&gt;=700,H124&lt;=5),"Medium Risk",
TRUE,"High Risk"
)</f>
        <v>High Risk</v>
      </c>
      <c r="Q124" s="5"/>
      <c r="R124" s="5"/>
      <c r="S124" s="5"/>
      <c r="T124" s="5"/>
      <c r="U124" s="5"/>
      <c r="V124" s="5"/>
      <c r="W124" s="5"/>
      <c r="X124" s="5"/>
      <c r="Y124" s="5"/>
    </row>
    <row r="125" spans="1:25" ht="15.75" customHeight="1" x14ac:dyDescent="0.25">
      <c r="A125" s="2">
        <v>44146</v>
      </c>
      <c r="B125" s="3">
        <v>88284</v>
      </c>
      <c r="C125" s="4" t="s">
        <v>16</v>
      </c>
      <c r="D125" s="4" t="str">
        <f t="shared" si="0"/>
        <v>Marketing</v>
      </c>
      <c r="E125" s="4" t="str">
        <f t="shared" si="1"/>
        <v>Executive</v>
      </c>
      <c r="F125" s="13">
        <v>800</v>
      </c>
      <c r="G125" s="13">
        <v>1</v>
      </c>
      <c r="H125" s="13">
        <v>4</v>
      </c>
      <c r="I125" s="2">
        <v>31027</v>
      </c>
      <c r="J125" s="15">
        <v>752765</v>
      </c>
      <c r="K125" s="4" t="s">
        <v>21</v>
      </c>
      <c r="L125" s="27">
        <f t="shared" si="2"/>
        <v>1984</v>
      </c>
      <c r="M125" s="27">
        <f t="shared" si="3"/>
        <v>11</v>
      </c>
      <c r="N125" s="27">
        <f t="shared" ca="1" si="5"/>
        <v>42</v>
      </c>
      <c r="O125" s="27" t="str" cm="1">
        <f t="array" ref="O125">_xlfn.IFS($F125&gt;=750,"Excellent",$F125&gt;=700,"Good",$F125&gt;=650,"Moderate",
$F125&lt;650,"Risky"
)</f>
        <v>Excellent</v>
      </c>
      <c r="P125" s="27" t="str" cm="1">
        <f t="array" ref="P125">_xlfn.IFS(
AND(F125&gt;=750,H125&lt;=2),"Low Risk",
AND(F125&gt;=700,H125&lt;=5),"Medium Risk",
TRUE,"High Risk"
)</f>
        <v>Medium Risk</v>
      </c>
      <c r="Q125" s="5"/>
      <c r="R125" s="5"/>
      <c r="S125" s="5"/>
      <c r="T125" s="5"/>
      <c r="U125" s="5"/>
      <c r="V125" s="5"/>
      <c r="W125" s="5"/>
      <c r="X125" s="5"/>
      <c r="Y125" s="5"/>
    </row>
    <row r="126" spans="1:25" ht="15.75" customHeight="1" x14ac:dyDescent="0.25">
      <c r="A126" s="2">
        <v>43995</v>
      </c>
      <c r="B126" s="3">
        <v>12151</v>
      </c>
      <c r="C126" s="4" t="s">
        <v>23</v>
      </c>
      <c r="D126" s="4" t="str">
        <f t="shared" si="0"/>
        <v>Marketing</v>
      </c>
      <c r="E126" s="4" t="str">
        <f t="shared" si="1"/>
        <v>Intern</v>
      </c>
      <c r="F126" s="13">
        <v>787</v>
      </c>
      <c r="G126" s="13">
        <v>4</v>
      </c>
      <c r="H126" s="13">
        <v>9</v>
      </c>
      <c r="I126" s="2">
        <v>31337</v>
      </c>
      <c r="J126" s="15">
        <v>703384</v>
      </c>
      <c r="K126" s="4" t="s">
        <v>14</v>
      </c>
      <c r="L126" s="27">
        <f t="shared" si="2"/>
        <v>1985</v>
      </c>
      <c r="M126" s="27">
        <f t="shared" si="3"/>
        <v>6</v>
      </c>
      <c r="N126" s="27">
        <f t="shared" ca="1" si="5"/>
        <v>41</v>
      </c>
      <c r="O126" s="27" t="str" cm="1">
        <f t="array" ref="O126">_xlfn.IFS($F126&gt;=750,"Excellent",$F126&gt;=700,"Good",$F126&gt;=650,"Moderate",
$F126&lt;650,"Risky"
)</f>
        <v>Excellent</v>
      </c>
      <c r="P126" s="27" t="str" cm="1">
        <f t="array" ref="P126">_xlfn.IFS(
AND(F126&gt;=750,H126&lt;=2),"Low Risk",
AND(F126&gt;=700,H126&lt;=5),"Medium Risk",
TRUE,"High Risk"
)</f>
        <v>High Risk</v>
      </c>
      <c r="Q126" s="5"/>
      <c r="R126" s="5"/>
      <c r="S126" s="5"/>
      <c r="T126" s="5"/>
      <c r="U126" s="5"/>
      <c r="V126" s="5"/>
      <c r="W126" s="5"/>
      <c r="X126" s="5"/>
      <c r="Y126" s="5"/>
    </row>
    <row r="127" spans="1:25" ht="15.75" customHeight="1" x14ac:dyDescent="0.25">
      <c r="A127" s="2">
        <v>44063</v>
      </c>
      <c r="B127" s="3">
        <v>82581</v>
      </c>
      <c r="C127" s="4" t="s">
        <v>19</v>
      </c>
      <c r="D127" s="4" t="str">
        <f t="shared" si="0"/>
        <v>Marketing</v>
      </c>
      <c r="E127" s="4" t="str">
        <f t="shared" si="1"/>
        <v>Manager</v>
      </c>
      <c r="F127" s="13">
        <v>755</v>
      </c>
      <c r="G127" s="13">
        <v>2</v>
      </c>
      <c r="H127" s="13">
        <v>6</v>
      </c>
      <c r="I127" s="2">
        <v>34696</v>
      </c>
      <c r="J127" s="15">
        <v>660009</v>
      </c>
      <c r="K127" s="4" t="s">
        <v>18</v>
      </c>
      <c r="L127" s="27">
        <f t="shared" si="2"/>
        <v>1994</v>
      </c>
      <c r="M127" s="27">
        <f t="shared" si="3"/>
        <v>8</v>
      </c>
      <c r="N127" s="27">
        <f t="shared" ca="1" si="5"/>
        <v>32</v>
      </c>
      <c r="O127" s="27" t="str" cm="1">
        <f t="array" ref="O127">_xlfn.IFS($F127&gt;=750,"Excellent",$F127&gt;=700,"Good",$F127&gt;=650,"Moderate",
$F127&lt;650,"Risky"
)</f>
        <v>Excellent</v>
      </c>
      <c r="P127" s="27" t="str" cm="1">
        <f t="array" ref="P127">_xlfn.IFS(
AND(F127&gt;=750,H127&lt;=2),"Low Risk",
AND(F127&gt;=700,H127&lt;=5),"Medium Risk",
TRUE,"High Risk"
)</f>
        <v>High Risk</v>
      </c>
      <c r="Q127" s="5"/>
      <c r="R127" s="5"/>
      <c r="S127" s="5"/>
      <c r="T127" s="5"/>
      <c r="U127" s="5"/>
      <c r="V127" s="5"/>
      <c r="W127" s="5"/>
      <c r="X127" s="5"/>
      <c r="Y127" s="5"/>
    </row>
    <row r="128" spans="1:25" ht="15.75" customHeight="1" x14ac:dyDescent="0.25">
      <c r="A128" s="2">
        <v>43839</v>
      </c>
      <c r="B128" s="3">
        <v>38948</v>
      </c>
      <c r="C128" s="4" t="s">
        <v>22</v>
      </c>
      <c r="D128" s="4" t="str">
        <f t="shared" si="0"/>
        <v>Strategy</v>
      </c>
      <c r="E128" s="4" t="str">
        <f t="shared" si="1"/>
        <v>Executive</v>
      </c>
      <c r="F128" s="13">
        <v>734</v>
      </c>
      <c r="G128" s="13">
        <v>1</v>
      </c>
      <c r="H128" s="13">
        <v>4</v>
      </c>
      <c r="I128" s="2">
        <v>29345</v>
      </c>
      <c r="J128" s="15">
        <v>973182</v>
      </c>
      <c r="K128" s="4" t="s">
        <v>21</v>
      </c>
      <c r="L128" s="27">
        <f t="shared" si="2"/>
        <v>1980</v>
      </c>
      <c r="M128" s="27">
        <f t="shared" si="3"/>
        <v>1</v>
      </c>
      <c r="N128" s="27">
        <f t="shared" ca="1" si="5"/>
        <v>46</v>
      </c>
      <c r="O128" s="27" t="str" cm="1">
        <f t="array" ref="O128">_xlfn.IFS($F128&gt;=750,"Excellent",$F128&gt;=700,"Good",$F128&gt;=650,"Moderate",
$F128&lt;650,"Risky"
)</f>
        <v>Good</v>
      </c>
      <c r="P128" s="27" t="str" cm="1">
        <f t="array" ref="P128">_xlfn.IFS(
AND(F128&gt;=750,H128&lt;=2),"Low Risk",
AND(F128&gt;=700,H128&lt;=5),"Medium Risk",
TRUE,"High Risk"
)</f>
        <v>Medium Risk</v>
      </c>
      <c r="Q128" s="5"/>
      <c r="R128" s="5"/>
      <c r="S128" s="5"/>
      <c r="T128" s="5"/>
      <c r="U128" s="5"/>
      <c r="V128" s="5"/>
      <c r="W128" s="5"/>
      <c r="X128" s="5"/>
      <c r="Y128" s="5"/>
    </row>
    <row r="129" spans="1:25" ht="15.75" customHeight="1" x14ac:dyDescent="0.25">
      <c r="A129" s="2">
        <v>44014</v>
      </c>
      <c r="B129" s="3">
        <v>18273</v>
      </c>
      <c r="C129" s="4" t="s">
        <v>19</v>
      </c>
      <c r="D129" s="4" t="str">
        <f t="shared" si="0"/>
        <v>Marketing</v>
      </c>
      <c r="E129" s="4" t="str">
        <f t="shared" si="1"/>
        <v>Manager</v>
      </c>
      <c r="F129" s="13">
        <v>716</v>
      </c>
      <c r="G129" s="13">
        <v>1</v>
      </c>
      <c r="H129" s="13">
        <v>8</v>
      </c>
      <c r="I129" s="2">
        <v>31134</v>
      </c>
      <c r="J129" s="15">
        <v>856616</v>
      </c>
      <c r="K129" s="4" t="s">
        <v>21</v>
      </c>
      <c r="L129" s="27">
        <f t="shared" si="2"/>
        <v>1985</v>
      </c>
      <c r="M129" s="27">
        <f t="shared" si="3"/>
        <v>7</v>
      </c>
      <c r="N129" s="27">
        <f t="shared" ca="1" si="5"/>
        <v>41</v>
      </c>
      <c r="O129" s="27" t="str" cm="1">
        <f t="array" ref="O129">_xlfn.IFS($F129&gt;=750,"Excellent",$F129&gt;=700,"Good",$F129&gt;=650,"Moderate",
$F129&lt;650,"Risky"
)</f>
        <v>Good</v>
      </c>
      <c r="P129" s="27" t="str" cm="1">
        <f t="array" ref="P129">_xlfn.IFS(
AND(F129&gt;=750,H129&lt;=2),"Low Risk",
AND(F129&gt;=700,H129&lt;=5),"Medium Risk",
TRUE,"High Risk"
)</f>
        <v>High Risk</v>
      </c>
      <c r="Q129" s="5"/>
      <c r="R129" s="5"/>
      <c r="S129" s="5"/>
      <c r="T129" s="5"/>
      <c r="U129" s="5"/>
      <c r="V129" s="5"/>
      <c r="W129" s="5"/>
      <c r="X129" s="5"/>
      <c r="Y129" s="5"/>
    </row>
    <row r="130" spans="1:25" ht="15.75" customHeight="1" x14ac:dyDescent="0.25">
      <c r="A130" s="2">
        <v>44014</v>
      </c>
      <c r="B130" s="3">
        <v>24463</v>
      </c>
      <c r="C130" s="4" t="s">
        <v>16</v>
      </c>
      <c r="D130" s="4" t="str">
        <f t="shared" si="0"/>
        <v>Marketing</v>
      </c>
      <c r="E130" s="4" t="str">
        <f t="shared" si="1"/>
        <v>Executive</v>
      </c>
      <c r="F130" s="13">
        <v>758</v>
      </c>
      <c r="G130" s="13">
        <v>4</v>
      </c>
      <c r="H130" s="13">
        <v>3</v>
      </c>
      <c r="I130" s="2">
        <v>33312</v>
      </c>
      <c r="J130" s="15">
        <v>606785</v>
      </c>
      <c r="K130" s="4" t="s">
        <v>14</v>
      </c>
      <c r="L130" s="27">
        <f t="shared" si="2"/>
        <v>1991</v>
      </c>
      <c r="M130" s="27">
        <f t="shared" si="3"/>
        <v>7</v>
      </c>
      <c r="N130" s="27">
        <f t="shared" ca="1" si="5"/>
        <v>35</v>
      </c>
      <c r="O130" s="27" t="str" cm="1">
        <f t="array" ref="O130">_xlfn.IFS($F130&gt;=750,"Excellent",$F130&gt;=700,"Good",$F130&gt;=650,"Moderate",
$F130&lt;650,"Risky"
)</f>
        <v>Excellent</v>
      </c>
      <c r="P130" s="27" t="str" cm="1">
        <f t="array" ref="P130">_xlfn.IFS(
AND(F130&gt;=750,H130&lt;=2),"Low Risk",
AND(F130&gt;=700,H130&lt;=5),"Medium Risk",
TRUE,"High Risk"
)</f>
        <v>Medium Risk</v>
      </c>
      <c r="Q130" s="5"/>
      <c r="R130" s="5"/>
      <c r="S130" s="5"/>
      <c r="T130" s="5"/>
      <c r="U130" s="5"/>
      <c r="V130" s="5"/>
      <c r="W130" s="5"/>
      <c r="X130" s="5"/>
      <c r="Y130" s="5"/>
    </row>
    <row r="131" spans="1:25" ht="15.75" customHeight="1" x14ac:dyDescent="0.25">
      <c r="A131" s="2">
        <v>43833</v>
      </c>
      <c r="B131" s="3">
        <v>95176</v>
      </c>
      <c r="C131" s="4" t="s">
        <v>39</v>
      </c>
      <c r="D131" s="4" t="str">
        <f t="shared" si="0"/>
        <v>Growth</v>
      </c>
      <c r="E131" s="4" t="str">
        <f t="shared" si="1"/>
        <v>Executive</v>
      </c>
      <c r="F131" s="13">
        <v>708</v>
      </c>
      <c r="G131" s="13">
        <v>3</v>
      </c>
      <c r="H131" s="13">
        <v>7</v>
      </c>
      <c r="I131" s="2">
        <v>34574</v>
      </c>
      <c r="J131" s="15">
        <v>703577</v>
      </c>
      <c r="K131" s="4" t="s">
        <v>21</v>
      </c>
      <c r="L131" s="27">
        <f t="shared" si="2"/>
        <v>1994</v>
      </c>
      <c r="M131" s="27">
        <f t="shared" si="3"/>
        <v>1</v>
      </c>
      <c r="N131" s="27">
        <f t="shared" ref="N131:N194" ca="1" si="6" xml:space="preserve"> YEAR(TODAY()) - $L131</f>
        <v>32</v>
      </c>
      <c r="O131" s="27" t="str" cm="1">
        <f t="array" ref="O131">_xlfn.IFS($F131&gt;=750,"Excellent",$F131&gt;=700,"Good",$F131&gt;=650,"Moderate",
$F131&lt;650,"Risky"
)</f>
        <v>Good</v>
      </c>
      <c r="P131" s="27" t="str" cm="1">
        <f t="array" ref="P131">_xlfn.IFS(
AND(F131&gt;=750,H131&lt;=2),"Low Risk",
AND(F131&gt;=700,H131&lt;=5),"Medium Risk",
TRUE,"High Risk"
)</f>
        <v>High Risk</v>
      </c>
      <c r="Q131" s="5"/>
      <c r="R131" s="5"/>
      <c r="S131" s="5"/>
      <c r="T131" s="5"/>
      <c r="U131" s="5"/>
      <c r="V131" s="5"/>
      <c r="W131" s="5"/>
      <c r="X131" s="5"/>
      <c r="Y131" s="5"/>
    </row>
    <row r="132" spans="1:25" ht="15.75" customHeight="1" x14ac:dyDescent="0.25">
      <c r="A132" s="2">
        <v>43874</v>
      </c>
      <c r="B132" s="3">
        <v>39558</v>
      </c>
      <c r="C132" s="4" t="s">
        <v>15</v>
      </c>
      <c r="D132" s="4" t="str">
        <f t="shared" si="0"/>
        <v>Operation</v>
      </c>
      <c r="E132" s="4" t="str">
        <f t="shared" si="1"/>
        <v>Executive</v>
      </c>
      <c r="F132" s="13">
        <v>766</v>
      </c>
      <c r="G132" s="13">
        <v>3</v>
      </c>
      <c r="H132" s="13">
        <v>4</v>
      </c>
      <c r="I132" s="2">
        <v>33350</v>
      </c>
      <c r="J132" s="15">
        <v>948975</v>
      </c>
      <c r="K132" s="4" t="s">
        <v>14</v>
      </c>
      <c r="L132" s="27">
        <f t="shared" si="2"/>
        <v>1991</v>
      </c>
      <c r="M132" s="27">
        <f t="shared" si="3"/>
        <v>2</v>
      </c>
      <c r="N132" s="27">
        <f t="shared" ca="1" si="6"/>
        <v>35</v>
      </c>
      <c r="O132" s="27" t="str" cm="1">
        <f t="array" ref="O132">_xlfn.IFS($F132&gt;=750,"Excellent",$F132&gt;=700,"Good",$F132&gt;=650,"Moderate",
$F132&lt;650,"Risky"
)</f>
        <v>Excellent</v>
      </c>
      <c r="P132" s="27" t="str" cm="1">
        <f t="array" ref="P132">_xlfn.IFS(
AND(F132&gt;=750,H132&lt;=2),"Low Risk",
AND(F132&gt;=700,H132&lt;=5),"Medium Risk",
TRUE,"High Risk"
)</f>
        <v>Medium Risk</v>
      </c>
      <c r="Q132" s="5"/>
      <c r="R132" s="5"/>
      <c r="S132" s="5"/>
      <c r="T132" s="5"/>
      <c r="U132" s="5"/>
      <c r="V132" s="5"/>
      <c r="W132" s="5"/>
      <c r="X132" s="5"/>
      <c r="Y132" s="5"/>
    </row>
    <row r="133" spans="1:25" ht="15.75" customHeight="1" x14ac:dyDescent="0.25">
      <c r="A133" s="2">
        <v>43839</v>
      </c>
      <c r="B133" s="3">
        <v>93584</v>
      </c>
      <c r="C133" s="4" t="s">
        <v>26</v>
      </c>
      <c r="D133" s="4" t="str">
        <f t="shared" si="0"/>
        <v>Strategy</v>
      </c>
      <c r="E133" s="4" t="str">
        <f t="shared" si="1"/>
        <v>Manager</v>
      </c>
      <c r="F133" s="13">
        <v>709</v>
      </c>
      <c r="G133" s="13">
        <v>3</v>
      </c>
      <c r="H133" s="13">
        <v>5</v>
      </c>
      <c r="I133" s="2">
        <v>32370</v>
      </c>
      <c r="J133" s="15">
        <v>715479</v>
      </c>
      <c r="K133" s="4" t="s">
        <v>21</v>
      </c>
      <c r="L133" s="27">
        <f t="shared" si="2"/>
        <v>1988</v>
      </c>
      <c r="M133" s="27">
        <f t="shared" si="3"/>
        <v>1</v>
      </c>
      <c r="N133" s="27">
        <f t="shared" ca="1" si="6"/>
        <v>38</v>
      </c>
      <c r="O133" s="27" t="str" cm="1">
        <f t="array" ref="O133">_xlfn.IFS($F133&gt;=750,"Excellent",$F133&gt;=700,"Good",$F133&gt;=650,"Moderate",
$F133&lt;650,"Risky"
)</f>
        <v>Good</v>
      </c>
      <c r="P133" s="27" t="str" cm="1">
        <f t="array" ref="P133">_xlfn.IFS(
AND(F133&gt;=750,H133&lt;=2),"Low Risk",
AND(F133&gt;=700,H133&lt;=5),"Medium Risk",
TRUE,"High Risk"
)</f>
        <v>Medium Risk</v>
      </c>
      <c r="Q133" s="5"/>
      <c r="R133" s="5"/>
      <c r="S133" s="5"/>
      <c r="T133" s="5"/>
      <c r="U133" s="5"/>
      <c r="V133" s="5"/>
      <c r="W133" s="5"/>
      <c r="X133" s="5"/>
      <c r="Y133" s="5"/>
    </row>
    <row r="134" spans="1:25" ht="15.75" customHeight="1" x14ac:dyDescent="0.25">
      <c r="A134" s="2">
        <v>44083</v>
      </c>
      <c r="B134" s="3">
        <v>38017</v>
      </c>
      <c r="C134" s="4" t="s">
        <v>35</v>
      </c>
      <c r="D134" s="4" t="str">
        <f t="shared" si="0"/>
        <v>Growth</v>
      </c>
      <c r="E134" s="4" t="str">
        <f t="shared" si="1"/>
        <v>Intern</v>
      </c>
      <c r="F134" s="13">
        <v>721</v>
      </c>
      <c r="G134" s="13">
        <v>3</v>
      </c>
      <c r="H134" s="13">
        <v>3</v>
      </c>
      <c r="I134" s="2">
        <v>34344</v>
      </c>
      <c r="J134" s="15">
        <v>559126</v>
      </c>
      <c r="K134" s="4" t="s">
        <v>14</v>
      </c>
      <c r="L134" s="27">
        <f t="shared" si="2"/>
        <v>1994</v>
      </c>
      <c r="M134" s="27">
        <f t="shared" si="3"/>
        <v>9</v>
      </c>
      <c r="N134" s="27">
        <f t="shared" ca="1" si="6"/>
        <v>32</v>
      </c>
      <c r="O134" s="27" t="str" cm="1">
        <f t="array" ref="O134">_xlfn.IFS($F134&gt;=750,"Excellent",$F134&gt;=700,"Good",$F134&gt;=650,"Moderate",
$F134&lt;650,"Risky"
)</f>
        <v>Good</v>
      </c>
      <c r="P134" s="27" t="str" cm="1">
        <f t="array" ref="P134">_xlfn.IFS(
AND(F134&gt;=750,H134&lt;=2),"Low Risk",
AND(F134&gt;=700,H134&lt;=5),"Medium Risk",
TRUE,"High Risk"
)</f>
        <v>Medium Risk</v>
      </c>
      <c r="Q134" s="5"/>
      <c r="R134" s="5"/>
      <c r="S134" s="5"/>
      <c r="T134" s="5"/>
      <c r="U134" s="5"/>
      <c r="V134" s="5"/>
      <c r="W134" s="5"/>
      <c r="X134" s="5"/>
      <c r="Y134" s="5"/>
    </row>
    <row r="135" spans="1:25" ht="15.75" customHeight="1" x14ac:dyDescent="0.25">
      <c r="A135" s="2">
        <v>44075</v>
      </c>
      <c r="B135" s="3">
        <v>91310</v>
      </c>
      <c r="C135" s="4" t="s">
        <v>29</v>
      </c>
      <c r="D135" s="4" t="str">
        <f t="shared" si="0"/>
        <v>Sales</v>
      </c>
      <c r="E135" s="4" t="str">
        <f t="shared" si="1"/>
        <v>Director</v>
      </c>
      <c r="F135" s="13">
        <v>783</v>
      </c>
      <c r="G135" s="13">
        <v>4</v>
      </c>
      <c r="H135" s="13">
        <v>7</v>
      </c>
      <c r="I135" s="2">
        <v>29857</v>
      </c>
      <c r="J135" s="15">
        <v>628975</v>
      </c>
      <c r="K135" s="4" t="s">
        <v>21</v>
      </c>
      <c r="L135" s="27">
        <f t="shared" si="2"/>
        <v>1981</v>
      </c>
      <c r="M135" s="27">
        <f t="shared" si="3"/>
        <v>9</v>
      </c>
      <c r="N135" s="27">
        <f t="shared" ca="1" si="6"/>
        <v>45</v>
      </c>
      <c r="O135" s="27" t="str" cm="1">
        <f t="array" ref="O135">_xlfn.IFS($F135&gt;=750,"Excellent",$F135&gt;=700,"Good",$F135&gt;=650,"Moderate",
$F135&lt;650,"Risky"
)</f>
        <v>Excellent</v>
      </c>
      <c r="P135" s="27" t="str" cm="1">
        <f t="array" ref="P135">_xlfn.IFS(
AND(F135&gt;=750,H135&lt;=2),"Low Risk",
AND(F135&gt;=700,H135&lt;=5),"Medium Risk",
TRUE,"High Risk"
)</f>
        <v>High Risk</v>
      </c>
      <c r="Q135" s="5"/>
      <c r="R135" s="5"/>
      <c r="S135" s="5"/>
      <c r="T135" s="5"/>
      <c r="U135" s="5"/>
      <c r="V135" s="5"/>
      <c r="W135" s="5"/>
      <c r="X135" s="5"/>
      <c r="Y135" s="5"/>
    </row>
    <row r="136" spans="1:25" ht="15.75" customHeight="1" x14ac:dyDescent="0.25">
      <c r="A136" s="2">
        <v>44101</v>
      </c>
      <c r="B136" s="3">
        <v>75570</v>
      </c>
      <c r="C136" s="4" t="s">
        <v>36</v>
      </c>
      <c r="D136" s="4" t="str">
        <f t="shared" si="0"/>
        <v>Sales</v>
      </c>
      <c r="E136" s="4" t="str">
        <f t="shared" si="1"/>
        <v>Intern</v>
      </c>
      <c r="F136" s="13">
        <v>724</v>
      </c>
      <c r="G136" s="13">
        <v>1</v>
      </c>
      <c r="H136" s="13">
        <v>2</v>
      </c>
      <c r="I136" s="2">
        <v>29431</v>
      </c>
      <c r="J136" s="15">
        <v>724346</v>
      </c>
      <c r="K136" s="4" t="s">
        <v>18</v>
      </c>
      <c r="L136" s="27">
        <f t="shared" si="2"/>
        <v>1980</v>
      </c>
      <c r="M136" s="27">
        <f t="shared" si="3"/>
        <v>9</v>
      </c>
      <c r="N136" s="27">
        <f t="shared" ca="1" si="6"/>
        <v>46</v>
      </c>
      <c r="O136" s="27" t="str" cm="1">
        <f t="array" ref="O136">_xlfn.IFS($F136&gt;=750,"Excellent",$F136&gt;=700,"Good",$F136&gt;=650,"Moderate",
$F136&lt;650,"Risky"
)</f>
        <v>Good</v>
      </c>
      <c r="P136" s="27" t="str" cm="1">
        <f t="array" ref="P136">_xlfn.IFS(
AND(F136&gt;=750,H136&lt;=2),"Low Risk",
AND(F136&gt;=700,H136&lt;=5),"Medium Risk",
TRUE,"High Risk"
)</f>
        <v>Medium Risk</v>
      </c>
      <c r="Q136" s="5"/>
      <c r="R136" s="5"/>
      <c r="S136" s="5"/>
      <c r="T136" s="5"/>
      <c r="U136" s="5"/>
      <c r="V136" s="5"/>
      <c r="W136" s="5"/>
      <c r="X136" s="5"/>
      <c r="Y136" s="5"/>
    </row>
    <row r="137" spans="1:25" ht="15.75" customHeight="1" x14ac:dyDescent="0.25">
      <c r="A137" s="2">
        <v>44040</v>
      </c>
      <c r="B137" s="3">
        <v>93524</v>
      </c>
      <c r="C137" s="4" t="s">
        <v>13</v>
      </c>
      <c r="D137" s="4" t="str">
        <f t="shared" si="0"/>
        <v>Marketing</v>
      </c>
      <c r="E137" s="4" t="str">
        <f t="shared" si="1"/>
        <v>Director</v>
      </c>
      <c r="F137" s="13">
        <v>768</v>
      </c>
      <c r="G137" s="13">
        <v>3</v>
      </c>
      <c r="H137" s="13">
        <v>5</v>
      </c>
      <c r="I137" s="2">
        <v>32028</v>
      </c>
      <c r="J137" s="15">
        <v>900713</v>
      </c>
      <c r="K137" s="4" t="s">
        <v>18</v>
      </c>
      <c r="L137" s="27">
        <f t="shared" si="2"/>
        <v>1987</v>
      </c>
      <c r="M137" s="27">
        <f t="shared" si="3"/>
        <v>7</v>
      </c>
      <c r="N137" s="27">
        <f t="shared" ca="1" si="6"/>
        <v>39</v>
      </c>
      <c r="O137" s="27" t="str" cm="1">
        <f t="array" ref="O137">_xlfn.IFS($F137&gt;=750,"Excellent",$F137&gt;=700,"Good",$F137&gt;=650,"Moderate",
$F137&lt;650,"Risky"
)</f>
        <v>Excellent</v>
      </c>
      <c r="P137" s="27" t="str" cm="1">
        <f t="array" ref="P137">_xlfn.IFS(
AND(F137&gt;=750,H137&lt;=2),"Low Risk",
AND(F137&gt;=700,H137&lt;=5),"Medium Risk",
TRUE,"High Risk"
)</f>
        <v>Medium Risk</v>
      </c>
      <c r="Q137" s="5"/>
      <c r="R137" s="5"/>
      <c r="S137" s="5"/>
      <c r="T137" s="5"/>
      <c r="U137" s="5"/>
      <c r="V137" s="5"/>
      <c r="W137" s="5"/>
      <c r="X137" s="5"/>
      <c r="Y137" s="5"/>
    </row>
    <row r="138" spans="1:25" ht="15.75" customHeight="1" x14ac:dyDescent="0.25">
      <c r="A138" s="2">
        <v>44003</v>
      </c>
      <c r="B138" s="3">
        <v>78035</v>
      </c>
      <c r="C138" s="4" t="s">
        <v>28</v>
      </c>
      <c r="D138" s="4" t="str">
        <f t="shared" si="0"/>
        <v>Growth</v>
      </c>
      <c r="E138" s="4" t="str">
        <f t="shared" si="1"/>
        <v>Director</v>
      </c>
      <c r="F138" s="13">
        <v>716</v>
      </c>
      <c r="G138" s="13">
        <v>2</v>
      </c>
      <c r="H138" s="13">
        <v>2</v>
      </c>
      <c r="I138" s="2">
        <v>32341</v>
      </c>
      <c r="J138" s="15">
        <v>757731</v>
      </c>
      <c r="K138" s="4" t="s">
        <v>14</v>
      </c>
      <c r="L138" s="27">
        <f t="shared" si="2"/>
        <v>1988</v>
      </c>
      <c r="M138" s="27">
        <f t="shared" si="3"/>
        <v>6</v>
      </c>
      <c r="N138" s="27">
        <f t="shared" ca="1" si="6"/>
        <v>38</v>
      </c>
      <c r="O138" s="27" t="str" cm="1">
        <f t="array" ref="O138">_xlfn.IFS($F138&gt;=750,"Excellent",$F138&gt;=700,"Good",$F138&gt;=650,"Moderate",
$F138&lt;650,"Risky"
)</f>
        <v>Good</v>
      </c>
      <c r="P138" s="27" t="str" cm="1">
        <f t="array" ref="P138">_xlfn.IFS(
AND(F138&gt;=750,H138&lt;=2),"Low Risk",
AND(F138&gt;=700,H138&lt;=5),"Medium Risk",
TRUE,"High Risk"
)</f>
        <v>Medium Risk</v>
      </c>
      <c r="Q138" s="5"/>
      <c r="R138" s="5"/>
      <c r="S138" s="5"/>
      <c r="T138" s="5"/>
      <c r="U138" s="5"/>
      <c r="V138" s="5"/>
      <c r="W138" s="5"/>
      <c r="X138" s="5"/>
      <c r="Y138" s="5"/>
    </row>
    <row r="139" spans="1:25" ht="15.75" customHeight="1" x14ac:dyDescent="0.25">
      <c r="A139" s="2">
        <v>44110</v>
      </c>
      <c r="B139" s="3">
        <v>90930</v>
      </c>
      <c r="C139" s="4" t="s">
        <v>36</v>
      </c>
      <c r="D139" s="4" t="str">
        <f t="shared" si="0"/>
        <v>Sales</v>
      </c>
      <c r="E139" s="4" t="str">
        <f t="shared" si="1"/>
        <v>Intern</v>
      </c>
      <c r="F139" s="13">
        <v>742</v>
      </c>
      <c r="G139" s="13">
        <v>5</v>
      </c>
      <c r="H139" s="13">
        <v>9</v>
      </c>
      <c r="I139" s="2">
        <v>30984</v>
      </c>
      <c r="J139" s="15">
        <v>862373</v>
      </c>
      <c r="K139" s="4" t="s">
        <v>18</v>
      </c>
      <c r="L139" s="27">
        <f t="shared" si="2"/>
        <v>1984</v>
      </c>
      <c r="M139" s="27">
        <f t="shared" si="3"/>
        <v>10</v>
      </c>
      <c r="N139" s="27">
        <f t="shared" ca="1" si="6"/>
        <v>42</v>
      </c>
      <c r="O139" s="27" t="str" cm="1">
        <f t="array" ref="O139">_xlfn.IFS($F139&gt;=750,"Excellent",$F139&gt;=700,"Good",$F139&gt;=650,"Moderate",
$F139&lt;650,"Risky"
)</f>
        <v>Good</v>
      </c>
      <c r="P139" s="27" t="str" cm="1">
        <f t="array" ref="P139">_xlfn.IFS(
AND(F139&gt;=750,H139&lt;=2),"Low Risk",
AND(F139&gt;=700,H139&lt;=5),"Medium Risk",
TRUE,"High Risk"
)</f>
        <v>High Risk</v>
      </c>
      <c r="Q139" s="5"/>
      <c r="R139" s="5"/>
      <c r="S139" s="5"/>
      <c r="T139" s="5"/>
      <c r="U139" s="5"/>
      <c r="V139" s="5"/>
      <c r="W139" s="5"/>
      <c r="X139" s="5"/>
      <c r="Y139" s="5"/>
    </row>
    <row r="140" spans="1:25" ht="15.75" customHeight="1" x14ac:dyDescent="0.25">
      <c r="A140" s="2">
        <v>43999</v>
      </c>
      <c r="B140" s="3">
        <v>54049</v>
      </c>
      <c r="C140" s="4" t="s">
        <v>23</v>
      </c>
      <c r="D140" s="4" t="str">
        <f t="shared" si="0"/>
        <v>Marketing</v>
      </c>
      <c r="E140" s="4" t="str">
        <f t="shared" si="1"/>
        <v>Intern</v>
      </c>
      <c r="F140" s="13">
        <v>782</v>
      </c>
      <c r="G140" s="13">
        <v>2</v>
      </c>
      <c r="H140" s="13">
        <v>5</v>
      </c>
      <c r="I140" s="2">
        <v>29451</v>
      </c>
      <c r="J140" s="15">
        <v>695038</v>
      </c>
      <c r="K140" s="4" t="s">
        <v>18</v>
      </c>
      <c r="L140" s="27">
        <f t="shared" si="2"/>
        <v>1980</v>
      </c>
      <c r="M140" s="27">
        <f t="shared" si="3"/>
        <v>6</v>
      </c>
      <c r="N140" s="27">
        <f t="shared" ca="1" si="6"/>
        <v>46</v>
      </c>
      <c r="O140" s="27" t="str" cm="1">
        <f t="array" ref="O140">_xlfn.IFS($F140&gt;=750,"Excellent",$F140&gt;=700,"Good",$F140&gt;=650,"Moderate",
$F140&lt;650,"Risky"
)</f>
        <v>Excellent</v>
      </c>
      <c r="P140" s="27" t="str" cm="1">
        <f t="array" ref="P140">_xlfn.IFS(
AND(F140&gt;=750,H140&lt;=2),"Low Risk",
AND(F140&gt;=700,H140&lt;=5),"Medium Risk",
TRUE,"High Risk"
)</f>
        <v>Medium Risk</v>
      </c>
      <c r="Q140" s="5"/>
      <c r="R140" s="5"/>
      <c r="S140" s="5"/>
      <c r="T140" s="5"/>
      <c r="U140" s="5"/>
      <c r="V140" s="5"/>
      <c r="W140" s="5"/>
      <c r="X140" s="5"/>
      <c r="Y140" s="5"/>
    </row>
    <row r="141" spans="1:25" ht="15.75" customHeight="1" x14ac:dyDescent="0.25">
      <c r="A141" s="2">
        <v>44097</v>
      </c>
      <c r="B141" s="3">
        <v>36823</v>
      </c>
      <c r="C141" s="4" t="s">
        <v>30</v>
      </c>
      <c r="D141" s="4" t="str">
        <f t="shared" si="0"/>
        <v>Operation</v>
      </c>
      <c r="E141" s="4" t="str">
        <f t="shared" si="1"/>
        <v>Director</v>
      </c>
      <c r="F141" s="13">
        <v>746</v>
      </c>
      <c r="G141" s="13">
        <v>4</v>
      </c>
      <c r="H141" s="13">
        <v>3</v>
      </c>
      <c r="I141" s="2">
        <v>30669</v>
      </c>
      <c r="J141" s="15">
        <v>603569</v>
      </c>
      <c r="K141" s="4" t="s">
        <v>21</v>
      </c>
      <c r="L141" s="27">
        <f t="shared" si="2"/>
        <v>1983</v>
      </c>
      <c r="M141" s="27">
        <f t="shared" si="3"/>
        <v>9</v>
      </c>
      <c r="N141" s="27">
        <f t="shared" ca="1" si="6"/>
        <v>43</v>
      </c>
      <c r="O141" s="27" t="str" cm="1">
        <f t="array" ref="O141">_xlfn.IFS($F141&gt;=750,"Excellent",$F141&gt;=700,"Good",$F141&gt;=650,"Moderate",
$F141&lt;650,"Risky"
)</f>
        <v>Good</v>
      </c>
      <c r="P141" s="27" t="str" cm="1">
        <f t="array" ref="P141">_xlfn.IFS(
AND(F141&gt;=750,H141&lt;=2),"Low Risk",
AND(F141&gt;=700,H141&lt;=5),"Medium Risk",
TRUE,"High Risk"
)</f>
        <v>Medium Risk</v>
      </c>
      <c r="Q141" s="5"/>
      <c r="R141" s="5"/>
      <c r="S141" s="5"/>
      <c r="T141" s="5"/>
      <c r="U141" s="5"/>
      <c r="V141" s="5"/>
      <c r="W141" s="5"/>
      <c r="X141" s="5"/>
      <c r="Y141" s="5"/>
    </row>
    <row r="142" spans="1:25" ht="15.75" customHeight="1" x14ac:dyDescent="0.25">
      <c r="A142" s="2">
        <v>43938</v>
      </c>
      <c r="B142" s="3">
        <v>84705</v>
      </c>
      <c r="C142" s="4" t="s">
        <v>28</v>
      </c>
      <c r="D142" s="4" t="str">
        <f t="shared" si="0"/>
        <v>Growth</v>
      </c>
      <c r="E142" s="4" t="str">
        <f t="shared" si="1"/>
        <v>Director</v>
      </c>
      <c r="F142" s="13">
        <v>790</v>
      </c>
      <c r="G142" s="13">
        <v>5</v>
      </c>
      <c r="H142" s="13">
        <v>3</v>
      </c>
      <c r="I142" s="2">
        <v>30042</v>
      </c>
      <c r="J142" s="15">
        <v>819230</v>
      </c>
      <c r="K142" s="4" t="s">
        <v>14</v>
      </c>
      <c r="L142" s="27">
        <f t="shared" si="2"/>
        <v>1982</v>
      </c>
      <c r="M142" s="27">
        <f t="shared" si="3"/>
        <v>4</v>
      </c>
      <c r="N142" s="27">
        <f t="shared" ca="1" si="6"/>
        <v>44</v>
      </c>
      <c r="O142" s="27" t="str" cm="1">
        <f t="array" ref="O142">_xlfn.IFS($F142&gt;=750,"Excellent",$F142&gt;=700,"Good",$F142&gt;=650,"Moderate",
$F142&lt;650,"Risky"
)</f>
        <v>Excellent</v>
      </c>
      <c r="P142" s="27" t="str" cm="1">
        <f t="array" ref="P142">_xlfn.IFS(
AND(F142&gt;=750,H142&lt;=2),"Low Risk",
AND(F142&gt;=700,H142&lt;=5),"Medium Risk",
TRUE,"High Risk"
)</f>
        <v>Medium Risk</v>
      </c>
      <c r="Q142" s="5"/>
      <c r="R142" s="5"/>
      <c r="S142" s="5"/>
      <c r="T142" s="5"/>
      <c r="U142" s="5"/>
      <c r="V142" s="5"/>
      <c r="W142" s="5"/>
      <c r="X142" s="5"/>
      <c r="Y142" s="5"/>
    </row>
    <row r="143" spans="1:25" ht="15.75" customHeight="1" x14ac:dyDescent="0.25">
      <c r="A143" s="2">
        <v>44010</v>
      </c>
      <c r="B143" s="3">
        <v>14796</v>
      </c>
      <c r="C143" s="4" t="s">
        <v>35</v>
      </c>
      <c r="D143" s="4" t="str">
        <f t="shared" si="0"/>
        <v>Growth</v>
      </c>
      <c r="E143" s="4" t="str">
        <f t="shared" si="1"/>
        <v>Intern</v>
      </c>
      <c r="F143" s="13">
        <v>742</v>
      </c>
      <c r="G143" s="13">
        <v>2</v>
      </c>
      <c r="H143" s="13">
        <v>8</v>
      </c>
      <c r="I143" s="2">
        <v>34446</v>
      </c>
      <c r="J143" s="15">
        <v>534072</v>
      </c>
      <c r="K143" s="4" t="s">
        <v>21</v>
      </c>
      <c r="L143" s="27">
        <f t="shared" si="2"/>
        <v>1994</v>
      </c>
      <c r="M143" s="27">
        <f t="shared" si="3"/>
        <v>6</v>
      </c>
      <c r="N143" s="27">
        <f t="shared" ca="1" si="6"/>
        <v>32</v>
      </c>
      <c r="O143" s="27" t="str" cm="1">
        <f t="array" ref="O143">_xlfn.IFS($F143&gt;=750,"Excellent",$F143&gt;=700,"Good",$F143&gt;=650,"Moderate",
$F143&lt;650,"Risky"
)</f>
        <v>Good</v>
      </c>
      <c r="P143" s="27" t="str" cm="1">
        <f t="array" ref="P143">_xlfn.IFS(
AND(F143&gt;=750,H143&lt;=2),"Low Risk",
AND(F143&gt;=700,H143&lt;=5),"Medium Risk",
TRUE,"High Risk"
)</f>
        <v>High Risk</v>
      </c>
      <c r="Q143" s="5"/>
      <c r="R143" s="5"/>
      <c r="S143" s="5"/>
      <c r="T143" s="5"/>
      <c r="U143" s="5"/>
      <c r="V143" s="5"/>
      <c r="W143" s="5"/>
      <c r="X143" s="5"/>
      <c r="Y143" s="5"/>
    </row>
    <row r="144" spans="1:25" ht="15.75" customHeight="1" x14ac:dyDescent="0.25">
      <c r="A144" s="2">
        <v>43989</v>
      </c>
      <c r="B144" s="3">
        <v>49843</v>
      </c>
      <c r="C144" s="4" t="s">
        <v>17</v>
      </c>
      <c r="D144" s="4" t="str">
        <f t="shared" si="0"/>
        <v>Growth</v>
      </c>
      <c r="E144" s="4" t="str">
        <f t="shared" si="1"/>
        <v>Manager</v>
      </c>
      <c r="F144" s="13">
        <v>733</v>
      </c>
      <c r="G144" s="13">
        <v>3</v>
      </c>
      <c r="H144" s="13">
        <v>4</v>
      </c>
      <c r="I144" s="2">
        <v>31440</v>
      </c>
      <c r="J144" s="15">
        <v>911169</v>
      </c>
      <c r="K144" s="4" t="s">
        <v>14</v>
      </c>
      <c r="L144" s="27">
        <f t="shared" si="2"/>
        <v>1986</v>
      </c>
      <c r="M144" s="27">
        <f t="shared" si="3"/>
        <v>6</v>
      </c>
      <c r="N144" s="27">
        <f t="shared" ca="1" si="6"/>
        <v>40</v>
      </c>
      <c r="O144" s="27" t="str" cm="1">
        <f t="array" ref="O144">_xlfn.IFS($F144&gt;=750,"Excellent",$F144&gt;=700,"Good",$F144&gt;=650,"Moderate",
$F144&lt;650,"Risky"
)</f>
        <v>Good</v>
      </c>
      <c r="P144" s="27" t="str" cm="1">
        <f t="array" ref="P144">_xlfn.IFS(
AND(F144&gt;=750,H144&lt;=2),"Low Risk",
AND(F144&gt;=700,H144&lt;=5),"Medium Risk",
TRUE,"High Risk"
)</f>
        <v>Medium Risk</v>
      </c>
      <c r="Q144" s="5"/>
      <c r="R144" s="5"/>
      <c r="S144" s="5"/>
      <c r="T144" s="5"/>
      <c r="U144" s="5"/>
      <c r="V144" s="5"/>
      <c r="W144" s="5"/>
      <c r="X144" s="5"/>
      <c r="Y144" s="5"/>
    </row>
    <row r="145" spans="1:25" ht="15.75" customHeight="1" x14ac:dyDescent="0.25">
      <c r="A145" s="2">
        <v>43970</v>
      </c>
      <c r="B145" s="3">
        <v>70258</v>
      </c>
      <c r="C145" s="4" t="s">
        <v>39</v>
      </c>
      <c r="D145" s="4" t="str">
        <f t="shared" si="0"/>
        <v>Growth</v>
      </c>
      <c r="E145" s="4" t="str">
        <f t="shared" si="1"/>
        <v>Executive</v>
      </c>
      <c r="F145" s="13">
        <v>736</v>
      </c>
      <c r="G145" s="13">
        <v>4</v>
      </c>
      <c r="H145" s="13">
        <v>7</v>
      </c>
      <c r="I145" s="2">
        <v>31850</v>
      </c>
      <c r="J145" s="15">
        <v>665622</v>
      </c>
      <c r="K145" s="4" t="s">
        <v>18</v>
      </c>
      <c r="L145" s="27">
        <f t="shared" si="2"/>
        <v>1987</v>
      </c>
      <c r="M145" s="27">
        <f t="shared" si="3"/>
        <v>5</v>
      </c>
      <c r="N145" s="27">
        <f t="shared" ca="1" si="6"/>
        <v>39</v>
      </c>
      <c r="O145" s="27" t="str" cm="1">
        <f t="array" ref="O145">_xlfn.IFS($F145&gt;=750,"Excellent",$F145&gt;=700,"Good",$F145&gt;=650,"Moderate",
$F145&lt;650,"Risky"
)</f>
        <v>Good</v>
      </c>
      <c r="P145" s="27" t="str" cm="1">
        <f t="array" ref="P145">_xlfn.IFS(
AND(F145&gt;=750,H145&lt;=2),"Low Risk",
AND(F145&gt;=700,H145&lt;=5),"Medium Risk",
TRUE,"High Risk"
)</f>
        <v>High Risk</v>
      </c>
      <c r="Q145" s="5"/>
      <c r="R145" s="5"/>
      <c r="S145" s="5"/>
      <c r="T145" s="5"/>
      <c r="U145" s="5"/>
      <c r="V145" s="5"/>
      <c r="W145" s="5"/>
      <c r="X145" s="5"/>
      <c r="Y145" s="5"/>
    </row>
    <row r="146" spans="1:25" ht="15.75" customHeight="1" x14ac:dyDescent="0.25">
      <c r="A146" s="2">
        <v>43897</v>
      </c>
      <c r="B146" s="3">
        <v>53621</v>
      </c>
      <c r="C146" s="4" t="s">
        <v>31</v>
      </c>
      <c r="D146" s="4" t="str">
        <f t="shared" si="0"/>
        <v>Finance</v>
      </c>
      <c r="E146" s="4" t="str">
        <f t="shared" si="1"/>
        <v>Intern</v>
      </c>
      <c r="F146" s="13">
        <v>747</v>
      </c>
      <c r="G146" s="13">
        <v>2</v>
      </c>
      <c r="H146" s="13">
        <v>9</v>
      </c>
      <c r="I146" s="2">
        <v>33723</v>
      </c>
      <c r="J146" s="15">
        <v>746291</v>
      </c>
      <c r="K146" s="4" t="s">
        <v>14</v>
      </c>
      <c r="L146" s="27">
        <f t="shared" si="2"/>
        <v>1992</v>
      </c>
      <c r="M146" s="27">
        <f t="shared" si="3"/>
        <v>3</v>
      </c>
      <c r="N146" s="27">
        <f t="shared" ca="1" si="6"/>
        <v>34</v>
      </c>
      <c r="O146" s="27" t="str" cm="1">
        <f t="array" ref="O146">_xlfn.IFS($F146&gt;=750,"Excellent",$F146&gt;=700,"Good",$F146&gt;=650,"Moderate",
$F146&lt;650,"Risky"
)</f>
        <v>Good</v>
      </c>
      <c r="P146" s="27" t="str" cm="1">
        <f t="array" ref="P146">_xlfn.IFS(
AND(F146&gt;=750,H146&lt;=2),"Low Risk",
AND(F146&gt;=700,H146&lt;=5),"Medium Risk",
TRUE,"High Risk"
)</f>
        <v>High Risk</v>
      </c>
      <c r="Q146" s="5"/>
      <c r="R146" s="5"/>
      <c r="S146" s="5"/>
      <c r="T146" s="5"/>
      <c r="U146" s="5"/>
      <c r="V146" s="5"/>
      <c r="W146" s="5"/>
      <c r="X146" s="5"/>
      <c r="Y146" s="5"/>
    </row>
    <row r="147" spans="1:25" ht="15.75" customHeight="1" x14ac:dyDescent="0.25">
      <c r="A147" s="2">
        <v>44113</v>
      </c>
      <c r="B147" s="3">
        <v>77593</v>
      </c>
      <c r="C147" s="4" t="s">
        <v>34</v>
      </c>
      <c r="D147" s="4" t="str">
        <f t="shared" si="0"/>
        <v>Finance</v>
      </c>
      <c r="E147" s="4" t="str">
        <f t="shared" si="1"/>
        <v>Director</v>
      </c>
      <c r="F147" s="13">
        <v>762</v>
      </c>
      <c r="G147" s="13">
        <v>3</v>
      </c>
      <c r="H147" s="13">
        <v>5</v>
      </c>
      <c r="I147" s="2">
        <v>34024</v>
      </c>
      <c r="J147" s="15">
        <v>759883</v>
      </c>
      <c r="K147" s="4" t="s">
        <v>21</v>
      </c>
      <c r="L147" s="27">
        <f t="shared" si="2"/>
        <v>1993</v>
      </c>
      <c r="M147" s="27">
        <f t="shared" si="3"/>
        <v>10</v>
      </c>
      <c r="N147" s="27">
        <f t="shared" ca="1" si="6"/>
        <v>33</v>
      </c>
      <c r="O147" s="27" t="str" cm="1">
        <f t="array" ref="O147">_xlfn.IFS($F147&gt;=750,"Excellent",$F147&gt;=700,"Good",$F147&gt;=650,"Moderate",
$F147&lt;650,"Risky"
)</f>
        <v>Excellent</v>
      </c>
      <c r="P147" s="27" t="str" cm="1">
        <f t="array" ref="P147">_xlfn.IFS(
AND(F147&gt;=750,H147&lt;=2),"Low Risk",
AND(F147&gt;=700,H147&lt;=5),"Medium Risk",
TRUE,"High Risk"
)</f>
        <v>Medium Risk</v>
      </c>
      <c r="Q147" s="5"/>
      <c r="R147" s="5"/>
      <c r="S147" s="5"/>
      <c r="T147" s="5"/>
      <c r="U147" s="5"/>
      <c r="V147" s="5"/>
      <c r="W147" s="5"/>
      <c r="X147" s="5"/>
      <c r="Y147" s="5"/>
    </row>
    <row r="148" spans="1:25" ht="15.75" customHeight="1" x14ac:dyDescent="0.25">
      <c r="A148" s="2">
        <v>43883</v>
      </c>
      <c r="B148" s="3">
        <v>84960</v>
      </c>
      <c r="C148" s="4" t="s">
        <v>25</v>
      </c>
      <c r="D148" s="4" t="str">
        <f t="shared" si="0"/>
        <v>Sales</v>
      </c>
      <c r="E148" s="4" t="str">
        <f t="shared" si="1"/>
        <v>Manager</v>
      </c>
      <c r="F148" s="13">
        <v>732</v>
      </c>
      <c r="G148" s="13">
        <v>5</v>
      </c>
      <c r="H148" s="13">
        <v>4</v>
      </c>
      <c r="I148" s="2">
        <v>34473</v>
      </c>
      <c r="J148" s="15">
        <v>737751</v>
      </c>
      <c r="K148" s="4" t="s">
        <v>18</v>
      </c>
      <c r="L148" s="27">
        <f t="shared" si="2"/>
        <v>1994</v>
      </c>
      <c r="M148" s="27">
        <f t="shared" si="3"/>
        <v>2</v>
      </c>
      <c r="N148" s="27">
        <f t="shared" ca="1" si="6"/>
        <v>32</v>
      </c>
      <c r="O148" s="27" t="str" cm="1">
        <f t="array" ref="O148">_xlfn.IFS($F148&gt;=750,"Excellent",$F148&gt;=700,"Good",$F148&gt;=650,"Moderate",
$F148&lt;650,"Risky"
)</f>
        <v>Good</v>
      </c>
      <c r="P148" s="27" t="str" cm="1">
        <f t="array" ref="P148">_xlfn.IFS(
AND(F148&gt;=750,H148&lt;=2),"Low Risk",
AND(F148&gt;=700,H148&lt;=5),"Medium Risk",
TRUE,"High Risk"
)</f>
        <v>Medium Risk</v>
      </c>
      <c r="Q148" s="5"/>
      <c r="R148" s="5"/>
      <c r="S148" s="5"/>
      <c r="T148" s="5"/>
      <c r="U148" s="5"/>
      <c r="V148" s="5"/>
      <c r="W148" s="5"/>
      <c r="X148" s="5"/>
      <c r="Y148" s="5"/>
    </row>
    <row r="149" spans="1:25" ht="15.75" customHeight="1" x14ac:dyDescent="0.25">
      <c r="A149" s="2">
        <v>44090</v>
      </c>
      <c r="B149" s="3">
        <v>41108</v>
      </c>
      <c r="C149" s="4" t="s">
        <v>17</v>
      </c>
      <c r="D149" s="4" t="str">
        <f t="shared" si="0"/>
        <v>Growth</v>
      </c>
      <c r="E149" s="4" t="str">
        <f t="shared" si="1"/>
        <v>Manager</v>
      </c>
      <c r="F149" s="13">
        <v>786</v>
      </c>
      <c r="G149" s="13">
        <v>4</v>
      </c>
      <c r="H149" s="13">
        <v>8</v>
      </c>
      <c r="I149" s="2">
        <v>32204</v>
      </c>
      <c r="J149" s="15">
        <v>807001</v>
      </c>
      <c r="K149" s="4" t="s">
        <v>14</v>
      </c>
      <c r="L149" s="27">
        <f t="shared" si="2"/>
        <v>1988</v>
      </c>
      <c r="M149" s="27">
        <f t="shared" si="3"/>
        <v>9</v>
      </c>
      <c r="N149" s="27">
        <f t="shared" ca="1" si="6"/>
        <v>38</v>
      </c>
      <c r="O149" s="27" t="str" cm="1">
        <f t="array" ref="O149">_xlfn.IFS($F149&gt;=750,"Excellent",$F149&gt;=700,"Good",$F149&gt;=650,"Moderate",
$F149&lt;650,"Risky"
)</f>
        <v>Excellent</v>
      </c>
      <c r="P149" s="27" t="str" cm="1">
        <f t="array" ref="P149">_xlfn.IFS(
AND(F149&gt;=750,H149&lt;=2),"Low Risk",
AND(F149&gt;=700,H149&lt;=5),"Medium Risk",
TRUE,"High Risk"
)</f>
        <v>High Risk</v>
      </c>
      <c r="Q149" s="5"/>
      <c r="R149" s="5"/>
      <c r="S149" s="5"/>
      <c r="T149" s="5"/>
      <c r="U149" s="5"/>
      <c r="V149" s="5"/>
      <c r="W149" s="5"/>
      <c r="X149" s="5"/>
      <c r="Y149" s="5"/>
    </row>
    <row r="150" spans="1:25" ht="15.75" customHeight="1" x14ac:dyDescent="0.25">
      <c r="A150" s="2">
        <v>44097</v>
      </c>
      <c r="B150" s="3">
        <v>20898</v>
      </c>
      <c r="C150" s="4" t="s">
        <v>15</v>
      </c>
      <c r="D150" s="4" t="str">
        <f t="shared" si="0"/>
        <v>Operation</v>
      </c>
      <c r="E150" s="4" t="str">
        <f t="shared" si="1"/>
        <v>Executive</v>
      </c>
      <c r="F150" s="13">
        <v>717</v>
      </c>
      <c r="G150" s="13">
        <v>4</v>
      </c>
      <c r="H150" s="13">
        <v>9</v>
      </c>
      <c r="I150" s="2">
        <v>34124</v>
      </c>
      <c r="J150" s="15">
        <v>681201</v>
      </c>
      <c r="K150" s="4" t="s">
        <v>14</v>
      </c>
      <c r="L150" s="27">
        <f t="shared" si="2"/>
        <v>1993</v>
      </c>
      <c r="M150" s="27">
        <f t="shared" si="3"/>
        <v>9</v>
      </c>
      <c r="N150" s="27">
        <f t="shared" ca="1" si="6"/>
        <v>33</v>
      </c>
      <c r="O150" s="27" t="str" cm="1">
        <f t="array" ref="O150">_xlfn.IFS($F150&gt;=750,"Excellent",$F150&gt;=700,"Good",$F150&gt;=650,"Moderate",
$F150&lt;650,"Risky"
)</f>
        <v>Good</v>
      </c>
      <c r="P150" s="27" t="str" cm="1">
        <f t="array" ref="P150">_xlfn.IFS(
AND(F150&gt;=750,H150&lt;=2),"Low Risk",
AND(F150&gt;=700,H150&lt;=5),"Medium Risk",
TRUE,"High Risk"
)</f>
        <v>High Risk</v>
      </c>
      <c r="Q150" s="5"/>
      <c r="R150" s="5"/>
      <c r="S150" s="5"/>
      <c r="T150" s="5"/>
      <c r="U150" s="5"/>
      <c r="V150" s="5"/>
      <c r="W150" s="5"/>
      <c r="X150" s="5"/>
      <c r="Y150" s="5"/>
    </row>
    <row r="151" spans="1:25" ht="15.75" customHeight="1" x14ac:dyDescent="0.25">
      <c r="A151" s="2">
        <v>43897</v>
      </c>
      <c r="B151" s="3">
        <v>83281</v>
      </c>
      <c r="C151" s="4" t="s">
        <v>22</v>
      </c>
      <c r="D151" s="4" t="str">
        <f t="shared" si="0"/>
        <v>Strategy</v>
      </c>
      <c r="E151" s="4" t="str">
        <f t="shared" si="1"/>
        <v>Executive</v>
      </c>
      <c r="F151" s="13">
        <v>709</v>
      </c>
      <c r="G151" s="13">
        <v>5</v>
      </c>
      <c r="H151" s="13">
        <v>7</v>
      </c>
      <c r="I151" s="2">
        <v>34422</v>
      </c>
      <c r="J151" s="15">
        <v>740015</v>
      </c>
      <c r="K151" s="4" t="s">
        <v>21</v>
      </c>
      <c r="L151" s="27">
        <f t="shared" si="2"/>
        <v>1994</v>
      </c>
      <c r="M151" s="27">
        <f t="shared" si="3"/>
        <v>3</v>
      </c>
      <c r="N151" s="27">
        <f t="shared" ca="1" si="6"/>
        <v>32</v>
      </c>
      <c r="O151" s="27" t="str" cm="1">
        <f t="array" ref="O151">_xlfn.IFS($F151&gt;=750,"Excellent",$F151&gt;=700,"Good",$F151&gt;=650,"Moderate",
$F151&lt;650,"Risky"
)</f>
        <v>Good</v>
      </c>
      <c r="P151" s="27" t="str" cm="1">
        <f t="array" ref="P151">_xlfn.IFS(
AND(F151&gt;=750,H151&lt;=2),"Low Risk",
AND(F151&gt;=700,H151&lt;=5),"Medium Risk",
TRUE,"High Risk"
)</f>
        <v>High Risk</v>
      </c>
      <c r="Q151" s="5"/>
      <c r="R151" s="5"/>
      <c r="S151" s="5"/>
      <c r="T151" s="5"/>
      <c r="U151" s="5"/>
      <c r="V151" s="5"/>
      <c r="W151" s="5"/>
      <c r="X151" s="5"/>
      <c r="Y151" s="5"/>
    </row>
    <row r="152" spans="1:25" ht="15.75" customHeight="1" x14ac:dyDescent="0.25">
      <c r="A152" s="2">
        <v>44131</v>
      </c>
      <c r="B152" s="3">
        <v>83373</v>
      </c>
      <c r="C152" s="4" t="s">
        <v>15</v>
      </c>
      <c r="D152" s="4" t="str">
        <f t="shared" si="0"/>
        <v>Operation</v>
      </c>
      <c r="E152" s="4" t="str">
        <f t="shared" si="1"/>
        <v>Executive</v>
      </c>
      <c r="F152" s="13">
        <v>756</v>
      </c>
      <c r="G152" s="13">
        <v>2</v>
      </c>
      <c r="H152" s="13">
        <v>3</v>
      </c>
      <c r="I152" s="2">
        <v>33771</v>
      </c>
      <c r="J152" s="15">
        <v>845107</v>
      </c>
      <c r="K152" s="4" t="s">
        <v>21</v>
      </c>
      <c r="L152" s="27">
        <f t="shared" si="2"/>
        <v>1992</v>
      </c>
      <c r="M152" s="27">
        <f t="shared" si="3"/>
        <v>10</v>
      </c>
      <c r="N152" s="27">
        <f t="shared" ca="1" si="6"/>
        <v>34</v>
      </c>
      <c r="O152" s="27" t="str" cm="1">
        <f t="array" ref="O152">_xlfn.IFS($F152&gt;=750,"Excellent",$F152&gt;=700,"Good",$F152&gt;=650,"Moderate",
$F152&lt;650,"Risky"
)</f>
        <v>Excellent</v>
      </c>
      <c r="P152" s="27" t="str" cm="1">
        <f t="array" ref="P152">_xlfn.IFS(
AND(F152&gt;=750,H152&lt;=2),"Low Risk",
AND(F152&gt;=700,H152&lt;=5),"Medium Risk",
TRUE,"High Risk"
)</f>
        <v>Medium Risk</v>
      </c>
      <c r="Q152" s="5"/>
      <c r="R152" s="5"/>
      <c r="S152" s="5"/>
      <c r="T152" s="5"/>
      <c r="U152" s="5"/>
      <c r="V152" s="5"/>
      <c r="W152" s="5"/>
      <c r="X152" s="5"/>
      <c r="Y152" s="5"/>
    </row>
    <row r="153" spans="1:25" ht="15.75" customHeight="1" x14ac:dyDescent="0.25">
      <c r="A153" s="2">
        <v>44016</v>
      </c>
      <c r="B153" s="3">
        <v>38470</v>
      </c>
      <c r="C153" s="4" t="s">
        <v>32</v>
      </c>
      <c r="D153" s="4" t="str">
        <f t="shared" si="0"/>
        <v>Finance</v>
      </c>
      <c r="E153" s="4" t="str">
        <f t="shared" si="1"/>
        <v>Executive</v>
      </c>
      <c r="F153" s="13">
        <v>793</v>
      </c>
      <c r="G153" s="13">
        <v>4</v>
      </c>
      <c r="H153" s="13">
        <v>7</v>
      </c>
      <c r="I153" s="2">
        <v>30929</v>
      </c>
      <c r="J153" s="15">
        <v>739435</v>
      </c>
      <c r="K153" s="4" t="s">
        <v>14</v>
      </c>
      <c r="L153" s="27">
        <f t="shared" si="2"/>
        <v>1984</v>
      </c>
      <c r="M153" s="27">
        <f t="shared" si="3"/>
        <v>7</v>
      </c>
      <c r="N153" s="27">
        <f t="shared" ca="1" si="6"/>
        <v>42</v>
      </c>
      <c r="O153" s="27" t="str" cm="1">
        <f t="array" ref="O153">_xlfn.IFS($F153&gt;=750,"Excellent",$F153&gt;=700,"Good",$F153&gt;=650,"Moderate",
$F153&lt;650,"Risky"
)</f>
        <v>Excellent</v>
      </c>
      <c r="P153" s="27" t="str" cm="1">
        <f t="array" ref="P153">_xlfn.IFS(
AND(F153&gt;=750,H153&lt;=2),"Low Risk",
AND(F153&gt;=700,H153&lt;=5),"Medium Risk",
TRUE,"High Risk"
)</f>
        <v>High Risk</v>
      </c>
      <c r="Q153" s="5"/>
      <c r="R153" s="5"/>
      <c r="S153" s="5"/>
      <c r="T153" s="5"/>
      <c r="U153" s="5"/>
      <c r="V153" s="5"/>
      <c r="W153" s="5"/>
      <c r="X153" s="5"/>
      <c r="Y153" s="5"/>
    </row>
    <row r="154" spans="1:25" ht="15.75" customHeight="1" x14ac:dyDescent="0.25">
      <c r="A154" s="2">
        <v>43997</v>
      </c>
      <c r="B154" s="3">
        <v>30320</v>
      </c>
      <c r="C154" s="4" t="s">
        <v>19</v>
      </c>
      <c r="D154" s="4" t="str">
        <f t="shared" si="0"/>
        <v>Marketing</v>
      </c>
      <c r="E154" s="4" t="str">
        <f t="shared" si="1"/>
        <v>Manager</v>
      </c>
      <c r="F154" s="13">
        <v>798</v>
      </c>
      <c r="G154" s="13">
        <v>2</v>
      </c>
      <c r="H154" s="13">
        <v>1</v>
      </c>
      <c r="I154" s="2">
        <v>31051</v>
      </c>
      <c r="J154" s="15">
        <v>857830</v>
      </c>
      <c r="K154" s="4" t="s">
        <v>14</v>
      </c>
      <c r="L154" s="27">
        <f t="shared" si="2"/>
        <v>1985</v>
      </c>
      <c r="M154" s="27">
        <f t="shared" si="3"/>
        <v>6</v>
      </c>
      <c r="N154" s="27">
        <f t="shared" ca="1" si="6"/>
        <v>41</v>
      </c>
      <c r="O154" s="27" t="str" cm="1">
        <f t="array" ref="O154">_xlfn.IFS($F154&gt;=750,"Excellent",$F154&gt;=700,"Good",$F154&gt;=650,"Moderate",
$F154&lt;650,"Risky"
)</f>
        <v>Excellent</v>
      </c>
      <c r="P154" s="27" t="str" cm="1">
        <f t="array" ref="P154">_xlfn.IFS(
AND(F154&gt;=750,H154&lt;=2),"Low Risk",
AND(F154&gt;=700,H154&lt;=5),"Medium Risk",
TRUE,"High Risk"
)</f>
        <v>Low Risk</v>
      </c>
      <c r="Q154" s="5"/>
      <c r="R154" s="5"/>
      <c r="S154" s="5"/>
      <c r="T154" s="5"/>
      <c r="U154" s="5"/>
      <c r="V154" s="5"/>
      <c r="W154" s="5"/>
      <c r="X154" s="5"/>
      <c r="Y154" s="5"/>
    </row>
    <row r="155" spans="1:25" ht="15.75" customHeight="1" x14ac:dyDescent="0.25">
      <c r="A155" s="2">
        <v>43976</v>
      </c>
      <c r="B155" s="3">
        <v>41106</v>
      </c>
      <c r="C155" s="4" t="s">
        <v>35</v>
      </c>
      <c r="D155" s="4" t="str">
        <f t="shared" si="0"/>
        <v>Growth</v>
      </c>
      <c r="E155" s="4" t="str">
        <f t="shared" si="1"/>
        <v>Intern</v>
      </c>
      <c r="F155" s="13">
        <v>746</v>
      </c>
      <c r="G155" s="13">
        <v>2</v>
      </c>
      <c r="H155" s="13">
        <v>3</v>
      </c>
      <c r="I155" s="2">
        <v>34614</v>
      </c>
      <c r="J155" s="15">
        <v>518202</v>
      </c>
      <c r="K155" s="4" t="s">
        <v>21</v>
      </c>
      <c r="L155" s="27">
        <f t="shared" si="2"/>
        <v>1994</v>
      </c>
      <c r="M155" s="27">
        <f t="shared" si="3"/>
        <v>5</v>
      </c>
      <c r="N155" s="27">
        <f t="shared" ca="1" si="6"/>
        <v>32</v>
      </c>
      <c r="O155" s="27" t="str" cm="1">
        <f t="array" ref="O155">_xlfn.IFS($F155&gt;=750,"Excellent",$F155&gt;=700,"Good",$F155&gt;=650,"Moderate",
$F155&lt;650,"Risky"
)</f>
        <v>Good</v>
      </c>
      <c r="P155" s="27" t="str" cm="1">
        <f t="array" ref="P155">_xlfn.IFS(
AND(F155&gt;=750,H155&lt;=2),"Low Risk",
AND(F155&gt;=700,H155&lt;=5),"Medium Risk",
TRUE,"High Risk"
)</f>
        <v>Medium Risk</v>
      </c>
      <c r="Q155" s="5"/>
      <c r="R155" s="5"/>
      <c r="S155" s="5"/>
      <c r="T155" s="5"/>
      <c r="U155" s="5"/>
      <c r="V155" s="5"/>
      <c r="W155" s="5"/>
      <c r="X155" s="5"/>
      <c r="Y155" s="5"/>
    </row>
    <row r="156" spans="1:25" ht="15.75" customHeight="1" x14ac:dyDescent="0.25">
      <c r="A156" s="2">
        <v>43901</v>
      </c>
      <c r="B156" s="3">
        <v>50298</v>
      </c>
      <c r="C156" s="4" t="s">
        <v>30</v>
      </c>
      <c r="D156" s="4" t="str">
        <f t="shared" si="0"/>
        <v>Operation</v>
      </c>
      <c r="E156" s="4" t="str">
        <f t="shared" si="1"/>
        <v>Director</v>
      </c>
      <c r="F156" s="13">
        <v>755</v>
      </c>
      <c r="G156" s="13">
        <v>4</v>
      </c>
      <c r="H156" s="13">
        <v>5</v>
      </c>
      <c r="I156" s="2">
        <v>31428</v>
      </c>
      <c r="J156" s="15">
        <v>722229</v>
      </c>
      <c r="K156" s="4" t="s">
        <v>21</v>
      </c>
      <c r="L156" s="27">
        <f t="shared" si="2"/>
        <v>1986</v>
      </c>
      <c r="M156" s="27">
        <f t="shared" si="3"/>
        <v>3</v>
      </c>
      <c r="N156" s="27">
        <f t="shared" ca="1" si="6"/>
        <v>40</v>
      </c>
      <c r="O156" s="27" t="str" cm="1">
        <f t="array" ref="O156">_xlfn.IFS($F156&gt;=750,"Excellent",$F156&gt;=700,"Good",$F156&gt;=650,"Moderate",
$F156&lt;650,"Risky"
)</f>
        <v>Excellent</v>
      </c>
      <c r="P156" s="27" t="str" cm="1">
        <f t="array" ref="P156">_xlfn.IFS(
AND(F156&gt;=750,H156&lt;=2),"Low Risk",
AND(F156&gt;=700,H156&lt;=5),"Medium Risk",
TRUE,"High Risk"
)</f>
        <v>Medium Risk</v>
      </c>
      <c r="Q156" s="5"/>
      <c r="R156" s="5"/>
      <c r="S156" s="5"/>
      <c r="T156" s="5"/>
      <c r="U156" s="5"/>
      <c r="V156" s="5"/>
      <c r="W156" s="5"/>
      <c r="X156" s="5"/>
      <c r="Y156" s="5"/>
    </row>
    <row r="157" spans="1:25" ht="15.75" customHeight="1" x14ac:dyDescent="0.25">
      <c r="A157" s="2">
        <v>43908</v>
      </c>
      <c r="B157" s="3">
        <v>18184</v>
      </c>
      <c r="C157" s="4" t="s">
        <v>19</v>
      </c>
      <c r="D157" s="4" t="str">
        <f t="shared" si="0"/>
        <v>Marketing</v>
      </c>
      <c r="E157" s="4" t="str">
        <f t="shared" si="1"/>
        <v>Manager</v>
      </c>
      <c r="F157" s="13">
        <v>703</v>
      </c>
      <c r="G157" s="13">
        <v>4</v>
      </c>
      <c r="H157" s="13">
        <v>6</v>
      </c>
      <c r="I157" s="2">
        <v>30633</v>
      </c>
      <c r="J157" s="15">
        <v>993598</v>
      </c>
      <c r="K157" s="4" t="s">
        <v>21</v>
      </c>
      <c r="L157" s="27">
        <f t="shared" si="2"/>
        <v>1983</v>
      </c>
      <c r="M157" s="27">
        <f t="shared" si="3"/>
        <v>3</v>
      </c>
      <c r="N157" s="27">
        <f t="shared" ca="1" si="6"/>
        <v>43</v>
      </c>
      <c r="O157" s="27" t="str" cm="1">
        <f t="array" ref="O157">_xlfn.IFS($F157&gt;=750,"Excellent",$F157&gt;=700,"Good",$F157&gt;=650,"Moderate",
$F157&lt;650,"Risky"
)</f>
        <v>Good</v>
      </c>
      <c r="P157" s="27" t="str" cm="1">
        <f t="array" ref="P157">_xlfn.IFS(
AND(F157&gt;=750,H157&lt;=2),"Low Risk",
AND(F157&gt;=700,H157&lt;=5),"Medium Risk",
TRUE,"High Risk"
)</f>
        <v>High Risk</v>
      </c>
      <c r="Q157" s="5"/>
      <c r="R157" s="5"/>
      <c r="S157" s="5"/>
      <c r="T157" s="5"/>
      <c r="U157" s="5"/>
      <c r="V157" s="5"/>
      <c r="W157" s="5"/>
      <c r="X157" s="5"/>
      <c r="Y157" s="5"/>
    </row>
    <row r="158" spans="1:25" ht="15.75" customHeight="1" x14ac:dyDescent="0.25">
      <c r="A158" s="2">
        <v>43914</v>
      </c>
      <c r="B158" s="3">
        <v>71263</v>
      </c>
      <c r="C158" s="4" t="s">
        <v>17</v>
      </c>
      <c r="D158" s="4" t="str">
        <f t="shared" si="0"/>
        <v>Growth</v>
      </c>
      <c r="E158" s="4" t="str">
        <f t="shared" si="1"/>
        <v>Manager</v>
      </c>
      <c r="F158" s="13">
        <v>783</v>
      </c>
      <c r="G158" s="13">
        <v>1</v>
      </c>
      <c r="H158" s="13">
        <v>8</v>
      </c>
      <c r="I158" s="2">
        <v>33881</v>
      </c>
      <c r="J158" s="15">
        <v>537747</v>
      </c>
      <c r="K158" s="4" t="s">
        <v>21</v>
      </c>
      <c r="L158" s="27">
        <f t="shared" si="2"/>
        <v>1992</v>
      </c>
      <c r="M158" s="27">
        <f t="shared" si="3"/>
        <v>3</v>
      </c>
      <c r="N158" s="27">
        <f t="shared" ca="1" si="6"/>
        <v>34</v>
      </c>
      <c r="O158" s="27" t="str" cm="1">
        <f t="array" ref="O158">_xlfn.IFS($F158&gt;=750,"Excellent",$F158&gt;=700,"Good",$F158&gt;=650,"Moderate",
$F158&lt;650,"Risky"
)</f>
        <v>Excellent</v>
      </c>
      <c r="P158" s="27" t="str" cm="1">
        <f t="array" ref="P158">_xlfn.IFS(
AND(F158&gt;=750,H158&lt;=2),"Low Risk",
AND(F158&gt;=700,H158&lt;=5),"Medium Risk",
TRUE,"High Risk"
)</f>
        <v>High Risk</v>
      </c>
      <c r="Q158" s="5"/>
      <c r="R158" s="5"/>
      <c r="S158" s="5"/>
      <c r="T158" s="5"/>
      <c r="U158" s="5"/>
      <c r="V158" s="5"/>
      <c r="W158" s="5"/>
      <c r="X158" s="5"/>
      <c r="Y158" s="5"/>
    </row>
    <row r="159" spans="1:25" ht="15.75" customHeight="1" x14ac:dyDescent="0.25">
      <c r="A159" s="2">
        <v>43959</v>
      </c>
      <c r="B159" s="3">
        <v>40508</v>
      </c>
      <c r="C159" s="4" t="s">
        <v>19</v>
      </c>
      <c r="D159" s="4" t="str">
        <f t="shared" si="0"/>
        <v>Marketing</v>
      </c>
      <c r="E159" s="4" t="str">
        <f t="shared" si="1"/>
        <v>Manager</v>
      </c>
      <c r="F159" s="13">
        <v>718</v>
      </c>
      <c r="G159" s="13">
        <v>3</v>
      </c>
      <c r="H159" s="13">
        <v>1</v>
      </c>
      <c r="I159" s="2">
        <v>32532</v>
      </c>
      <c r="J159" s="15">
        <v>818556</v>
      </c>
      <c r="K159" s="4" t="s">
        <v>21</v>
      </c>
      <c r="L159" s="27">
        <f t="shared" si="2"/>
        <v>1989</v>
      </c>
      <c r="M159" s="27">
        <f t="shared" si="3"/>
        <v>5</v>
      </c>
      <c r="N159" s="27">
        <f t="shared" ca="1" si="6"/>
        <v>37</v>
      </c>
      <c r="O159" s="27" t="str" cm="1">
        <f t="array" ref="O159">_xlfn.IFS($F159&gt;=750,"Excellent",$F159&gt;=700,"Good",$F159&gt;=650,"Moderate",
$F159&lt;650,"Risky"
)</f>
        <v>Good</v>
      </c>
      <c r="P159" s="27" t="str" cm="1">
        <f t="array" ref="P159">_xlfn.IFS(
AND(F159&gt;=750,H159&lt;=2),"Low Risk",
AND(F159&gt;=700,H159&lt;=5),"Medium Risk",
TRUE,"High Risk"
)</f>
        <v>Medium Risk</v>
      </c>
      <c r="Q159" s="5"/>
      <c r="R159" s="5"/>
      <c r="S159" s="5"/>
      <c r="T159" s="5"/>
      <c r="U159" s="5"/>
      <c r="V159" s="5"/>
      <c r="W159" s="5"/>
      <c r="X159" s="5"/>
      <c r="Y159" s="5"/>
    </row>
    <row r="160" spans="1:25" ht="15.75" customHeight="1" x14ac:dyDescent="0.25">
      <c r="A160" s="2">
        <v>43992</v>
      </c>
      <c r="B160" s="3">
        <v>31054</v>
      </c>
      <c r="C160" s="4" t="s">
        <v>13</v>
      </c>
      <c r="D160" s="4" t="str">
        <f t="shared" si="0"/>
        <v>Marketing</v>
      </c>
      <c r="E160" s="4" t="str">
        <f t="shared" si="1"/>
        <v>Director</v>
      </c>
      <c r="F160" s="13">
        <v>708</v>
      </c>
      <c r="G160" s="13">
        <v>4</v>
      </c>
      <c r="H160" s="13">
        <v>7</v>
      </c>
      <c r="I160" s="2">
        <v>30739</v>
      </c>
      <c r="J160" s="15">
        <v>692252</v>
      </c>
      <c r="K160" s="4" t="s">
        <v>14</v>
      </c>
      <c r="L160" s="27">
        <f t="shared" si="2"/>
        <v>1984</v>
      </c>
      <c r="M160" s="27">
        <f t="shared" si="3"/>
        <v>6</v>
      </c>
      <c r="N160" s="27">
        <f t="shared" ca="1" si="6"/>
        <v>42</v>
      </c>
      <c r="O160" s="27" t="str" cm="1">
        <f t="array" ref="O160">_xlfn.IFS($F160&gt;=750,"Excellent",$F160&gt;=700,"Good",$F160&gt;=650,"Moderate",
$F160&lt;650,"Risky"
)</f>
        <v>Good</v>
      </c>
      <c r="P160" s="27" t="str" cm="1">
        <f t="array" ref="P160">_xlfn.IFS(
AND(F160&gt;=750,H160&lt;=2),"Low Risk",
AND(F160&gt;=700,H160&lt;=5),"Medium Risk",
TRUE,"High Risk"
)</f>
        <v>High Risk</v>
      </c>
      <c r="Q160" s="5"/>
      <c r="R160" s="5"/>
      <c r="S160" s="5"/>
      <c r="T160" s="5"/>
      <c r="U160" s="5"/>
      <c r="V160" s="5"/>
      <c r="W160" s="5"/>
      <c r="X160" s="5"/>
      <c r="Y160" s="5"/>
    </row>
    <row r="161" spans="1:25" ht="15.75" customHeight="1" x14ac:dyDescent="0.25">
      <c r="A161" s="2">
        <v>44000</v>
      </c>
      <c r="B161" s="3">
        <v>44940</v>
      </c>
      <c r="C161" s="4" t="s">
        <v>28</v>
      </c>
      <c r="D161" s="4" t="str">
        <f t="shared" si="0"/>
        <v>Growth</v>
      </c>
      <c r="E161" s="4" t="str">
        <f t="shared" si="1"/>
        <v>Director</v>
      </c>
      <c r="F161" s="13">
        <v>770</v>
      </c>
      <c r="G161" s="13">
        <v>5</v>
      </c>
      <c r="H161" s="13">
        <v>2</v>
      </c>
      <c r="I161" s="2">
        <v>33965</v>
      </c>
      <c r="J161" s="15">
        <v>718232</v>
      </c>
      <c r="K161" s="4" t="s">
        <v>14</v>
      </c>
      <c r="L161" s="27">
        <f t="shared" si="2"/>
        <v>1992</v>
      </c>
      <c r="M161" s="27">
        <f t="shared" si="3"/>
        <v>6</v>
      </c>
      <c r="N161" s="27">
        <f t="shared" ca="1" si="6"/>
        <v>34</v>
      </c>
      <c r="O161" s="27" t="str" cm="1">
        <f t="array" ref="O161">_xlfn.IFS($F161&gt;=750,"Excellent",$F161&gt;=700,"Good",$F161&gt;=650,"Moderate",
$F161&lt;650,"Risky"
)</f>
        <v>Excellent</v>
      </c>
      <c r="P161" s="27" t="str" cm="1">
        <f t="array" ref="P161">_xlfn.IFS(
AND(F161&gt;=750,H161&lt;=2),"Low Risk",
AND(F161&gt;=700,H161&lt;=5),"Medium Risk",
TRUE,"High Risk"
)</f>
        <v>Low Risk</v>
      </c>
      <c r="Q161" s="5"/>
      <c r="R161" s="5"/>
      <c r="S161" s="5"/>
      <c r="T161" s="5"/>
      <c r="U161" s="5"/>
      <c r="V161" s="5"/>
      <c r="W161" s="5"/>
      <c r="X161" s="5"/>
      <c r="Y161" s="5"/>
    </row>
    <row r="162" spans="1:25" ht="15.75" customHeight="1" x14ac:dyDescent="0.25">
      <c r="A162" s="2">
        <v>43972</v>
      </c>
      <c r="B162" s="3">
        <v>50466</v>
      </c>
      <c r="C162" s="4" t="s">
        <v>30</v>
      </c>
      <c r="D162" s="4" t="str">
        <f t="shared" si="0"/>
        <v>Operation</v>
      </c>
      <c r="E162" s="4" t="str">
        <f t="shared" si="1"/>
        <v>Director</v>
      </c>
      <c r="F162" s="13">
        <v>799</v>
      </c>
      <c r="G162" s="13">
        <v>5</v>
      </c>
      <c r="H162" s="13">
        <v>5</v>
      </c>
      <c r="I162" s="2">
        <v>33919</v>
      </c>
      <c r="J162" s="15">
        <v>922183</v>
      </c>
      <c r="K162" s="4" t="s">
        <v>18</v>
      </c>
      <c r="L162" s="27">
        <f t="shared" si="2"/>
        <v>1992</v>
      </c>
      <c r="M162" s="27">
        <f t="shared" si="3"/>
        <v>5</v>
      </c>
      <c r="N162" s="27">
        <f t="shared" ca="1" si="6"/>
        <v>34</v>
      </c>
      <c r="O162" s="27" t="str" cm="1">
        <f t="array" ref="O162">_xlfn.IFS($F162&gt;=750,"Excellent",$F162&gt;=700,"Good",$F162&gt;=650,"Moderate",
$F162&lt;650,"Risky"
)</f>
        <v>Excellent</v>
      </c>
      <c r="P162" s="27" t="str" cm="1">
        <f t="array" ref="P162">_xlfn.IFS(
AND(F162&gt;=750,H162&lt;=2),"Low Risk",
AND(F162&gt;=700,H162&lt;=5),"Medium Risk",
TRUE,"High Risk"
)</f>
        <v>Medium Risk</v>
      </c>
      <c r="Q162" s="5"/>
      <c r="R162" s="5"/>
      <c r="S162" s="5"/>
      <c r="T162" s="5"/>
      <c r="U162" s="5"/>
      <c r="V162" s="5"/>
      <c r="W162" s="5"/>
      <c r="X162" s="5"/>
      <c r="Y162" s="5"/>
    </row>
    <row r="163" spans="1:25" ht="15.75" customHeight="1" x14ac:dyDescent="0.25">
      <c r="A163" s="2">
        <v>43906</v>
      </c>
      <c r="B163" s="3">
        <v>82889</v>
      </c>
      <c r="C163" s="4" t="s">
        <v>27</v>
      </c>
      <c r="D163" s="4" t="str">
        <f t="shared" si="0"/>
        <v>Operation</v>
      </c>
      <c r="E163" s="4" t="str">
        <f t="shared" si="1"/>
        <v>Intern</v>
      </c>
      <c r="F163" s="13">
        <v>725</v>
      </c>
      <c r="G163" s="13">
        <v>4</v>
      </c>
      <c r="H163" s="13">
        <v>9</v>
      </c>
      <c r="I163" s="2">
        <v>31460</v>
      </c>
      <c r="J163" s="15">
        <v>824112</v>
      </c>
      <c r="K163" s="4" t="s">
        <v>18</v>
      </c>
      <c r="L163" s="27">
        <f t="shared" si="2"/>
        <v>1986</v>
      </c>
      <c r="M163" s="27">
        <f t="shared" si="3"/>
        <v>3</v>
      </c>
      <c r="N163" s="27">
        <f t="shared" ca="1" si="6"/>
        <v>40</v>
      </c>
      <c r="O163" s="27" t="str" cm="1">
        <f t="array" ref="O163">_xlfn.IFS($F163&gt;=750,"Excellent",$F163&gt;=700,"Good",$F163&gt;=650,"Moderate",
$F163&lt;650,"Risky"
)</f>
        <v>Good</v>
      </c>
      <c r="P163" s="27" t="str" cm="1">
        <f t="array" ref="P163">_xlfn.IFS(
AND(F163&gt;=750,H163&lt;=2),"Low Risk",
AND(F163&gt;=700,H163&lt;=5),"Medium Risk",
TRUE,"High Risk"
)</f>
        <v>High Risk</v>
      </c>
      <c r="Q163" s="5"/>
      <c r="R163" s="5"/>
      <c r="S163" s="5"/>
      <c r="T163" s="5"/>
      <c r="U163" s="5"/>
      <c r="V163" s="5"/>
      <c r="W163" s="5"/>
      <c r="X163" s="5"/>
      <c r="Y163" s="5"/>
    </row>
    <row r="164" spans="1:25" ht="15.75" customHeight="1" x14ac:dyDescent="0.25">
      <c r="A164" s="2">
        <v>43983</v>
      </c>
      <c r="B164" s="3">
        <v>68268</v>
      </c>
      <c r="C164" s="4" t="s">
        <v>28</v>
      </c>
      <c r="D164" s="4" t="str">
        <f t="shared" si="0"/>
        <v>Growth</v>
      </c>
      <c r="E164" s="4" t="str">
        <f t="shared" si="1"/>
        <v>Director</v>
      </c>
      <c r="F164" s="13">
        <v>764</v>
      </c>
      <c r="G164" s="13">
        <v>5</v>
      </c>
      <c r="H164" s="13">
        <v>4</v>
      </c>
      <c r="I164" s="2">
        <v>31855</v>
      </c>
      <c r="J164" s="15">
        <v>854960</v>
      </c>
      <c r="K164" s="4" t="s">
        <v>14</v>
      </c>
      <c r="L164" s="27">
        <f t="shared" si="2"/>
        <v>1987</v>
      </c>
      <c r="M164" s="27">
        <f t="shared" si="3"/>
        <v>6</v>
      </c>
      <c r="N164" s="27">
        <f t="shared" ca="1" si="6"/>
        <v>39</v>
      </c>
      <c r="O164" s="27" t="str" cm="1">
        <f t="array" ref="O164">_xlfn.IFS($F164&gt;=750,"Excellent",$F164&gt;=700,"Good",$F164&gt;=650,"Moderate",
$F164&lt;650,"Risky"
)</f>
        <v>Excellent</v>
      </c>
      <c r="P164" s="27" t="str" cm="1">
        <f t="array" ref="P164">_xlfn.IFS(
AND(F164&gt;=750,H164&lt;=2),"Low Risk",
AND(F164&gt;=700,H164&lt;=5),"Medium Risk",
TRUE,"High Risk"
)</f>
        <v>Medium Risk</v>
      </c>
      <c r="Q164" s="5"/>
      <c r="R164" s="5"/>
      <c r="S164" s="5"/>
      <c r="T164" s="5"/>
      <c r="U164" s="5"/>
      <c r="V164" s="5"/>
      <c r="W164" s="5"/>
      <c r="X164" s="5"/>
      <c r="Y164" s="5"/>
    </row>
    <row r="165" spans="1:25" ht="15.75" customHeight="1" x14ac:dyDescent="0.25">
      <c r="A165" s="2">
        <v>43952</v>
      </c>
      <c r="B165" s="3">
        <v>72362</v>
      </c>
      <c r="C165" s="4" t="s">
        <v>30</v>
      </c>
      <c r="D165" s="4" t="str">
        <f t="shared" si="0"/>
        <v>Operation</v>
      </c>
      <c r="E165" s="4" t="str">
        <f t="shared" si="1"/>
        <v>Director</v>
      </c>
      <c r="F165" s="13">
        <v>711</v>
      </c>
      <c r="G165" s="13">
        <v>5</v>
      </c>
      <c r="H165" s="13">
        <v>8</v>
      </c>
      <c r="I165" s="2">
        <v>32437</v>
      </c>
      <c r="J165" s="15">
        <v>989356</v>
      </c>
      <c r="K165" s="4" t="s">
        <v>18</v>
      </c>
      <c r="L165" s="27">
        <f t="shared" si="2"/>
        <v>1988</v>
      </c>
      <c r="M165" s="27">
        <f t="shared" si="3"/>
        <v>5</v>
      </c>
      <c r="N165" s="27">
        <f t="shared" ca="1" si="6"/>
        <v>38</v>
      </c>
      <c r="O165" s="27" t="str" cm="1">
        <f t="array" ref="O165">_xlfn.IFS($F165&gt;=750,"Excellent",$F165&gt;=700,"Good",$F165&gt;=650,"Moderate",
$F165&lt;650,"Risky"
)</f>
        <v>Good</v>
      </c>
      <c r="P165" s="27" t="str" cm="1">
        <f t="array" ref="P165">_xlfn.IFS(
AND(F165&gt;=750,H165&lt;=2),"Low Risk",
AND(F165&gt;=700,H165&lt;=5),"Medium Risk",
TRUE,"High Risk"
)</f>
        <v>High Risk</v>
      </c>
      <c r="Q165" s="5"/>
      <c r="R165" s="5"/>
      <c r="S165" s="5"/>
      <c r="T165" s="5"/>
      <c r="U165" s="5"/>
      <c r="V165" s="5"/>
      <c r="W165" s="5"/>
      <c r="X165" s="5"/>
      <c r="Y165" s="5"/>
    </row>
    <row r="166" spans="1:25" ht="15.75" customHeight="1" x14ac:dyDescent="0.25">
      <c r="A166" s="2">
        <v>44037</v>
      </c>
      <c r="B166" s="3">
        <v>10986</v>
      </c>
      <c r="C166" s="4" t="s">
        <v>25</v>
      </c>
      <c r="D166" s="4" t="str">
        <f t="shared" si="0"/>
        <v>Sales</v>
      </c>
      <c r="E166" s="4" t="str">
        <f t="shared" si="1"/>
        <v>Manager</v>
      </c>
      <c r="F166" s="13">
        <v>789</v>
      </c>
      <c r="G166" s="13">
        <v>4</v>
      </c>
      <c r="H166" s="13">
        <v>7</v>
      </c>
      <c r="I166" s="2">
        <v>29503</v>
      </c>
      <c r="J166" s="15">
        <v>868700</v>
      </c>
      <c r="K166" s="4" t="s">
        <v>21</v>
      </c>
      <c r="L166" s="27">
        <f t="shared" si="2"/>
        <v>1980</v>
      </c>
      <c r="M166" s="27">
        <f t="shared" si="3"/>
        <v>7</v>
      </c>
      <c r="N166" s="27">
        <f t="shared" ca="1" si="6"/>
        <v>46</v>
      </c>
      <c r="O166" s="27" t="str" cm="1">
        <f t="array" ref="O166">_xlfn.IFS($F166&gt;=750,"Excellent",$F166&gt;=700,"Good",$F166&gt;=650,"Moderate",
$F166&lt;650,"Risky"
)</f>
        <v>Excellent</v>
      </c>
      <c r="P166" s="27" t="str" cm="1">
        <f t="array" ref="P166">_xlfn.IFS(
AND(F166&gt;=750,H166&lt;=2),"Low Risk",
AND(F166&gt;=700,H166&lt;=5),"Medium Risk",
TRUE,"High Risk"
)</f>
        <v>High Risk</v>
      </c>
      <c r="Q166" s="5"/>
      <c r="R166" s="5"/>
      <c r="S166" s="5"/>
      <c r="T166" s="5"/>
      <c r="U166" s="5"/>
      <c r="V166" s="5"/>
      <c r="W166" s="5"/>
      <c r="X166" s="5"/>
      <c r="Y166" s="5"/>
    </row>
    <row r="167" spans="1:25" ht="15.75" customHeight="1" x14ac:dyDescent="0.25">
      <c r="A167" s="2">
        <v>44003</v>
      </c>
      <c r="B167" s="3">
        <v>80405</v>
      </c>
      <c r="C167" s="4" t="s">
        <v>15</v>
      </c>
      <c r="D167" s="4" t="str">
        <f t="shared" si="0"/>
        <v>Operation</v>
      </c>
      <c r="E167" s="4" t="str">
        <f t="shared" si="1"/>
        <v>Executive</v>
      </c>
      <c r="F167" s="13">
        <v>723</v>
      </c>
      <c r="G167" s="13">
        <v>2</v>
      </c>
      <c r="H167" s="13">
        <v>8</v>
      </c>
      <c r="I167" s="2">
        <v>30268</v>
      </c>
      <c r="J167" s="15">
        <v>654491</v>
      </c>
      <c r="K167" s="4" t="s">
        <v>18</v>
      </c>
      <c r="L167" s="27">
        <f t="shared" si="2"/>
        <v>1982</v>
      </c>
      <c r="M167" s="27">
        <f t="shared" si="3"/>
        <v>6</v>
      </c>
      <c r="N167" s="27">
        <f t="shared" ca="1" si="6"/>
        <v>44</v>
      </c>
      <c r="O167" s="27" t="str" cm="1">
        <f t="array" ref="O167">_xlfn.IFS($F167&gt;=750,"Excellent",$F167&gt;=700,"Good",$F167&gt;=650,"Moderate",
$F167&lt;650,"Risky"
)</f>
        <v>Good</v>
      </c>
      <c r="P167" s="27" t="str" cm="1">
        <f t="array" ref="P167">_xlfn.IFS(
AND(F167&gt;=750,H167&lt;=2),"Low Risk",
AND(F167&gt;=700,H167&lt;=5),"Medium Risk",
TRUE,"High Risk"
)</f>
        <v>High Risk</v>
      </c>
      <c r="Q167" s="5"/>
      <c r="R167" s="5"/>
      <c r="S167" s="5"/>
      <c r="T167" s="5"/>
      <c r="U167" s="5"/>
      <c r="V167" s="5"/>
      <c r="W167" s="5"/>
      <c r="X167" s="5"/>
      <c r="Y167" s="5"/>
    </row>
    <row r="168" spans="1:25" ht="15.75" customHeight="1" x14ac:dyDescent="0.25">
      <c r="A168" s="2">
        <v>44128</v>
      </c>
      <c r="B168" s="3">
        <v>40834</v>
      </c>
      <c r="C168" s="4" t="s">
        <v>31</v>
      </c>
      <c r="D168" s="4" t="str">
        <f t="shared" si="0"/>
        <v>Finance</v>
      </c>
      <c r="E168" s="4" t="str">
        <f t="shared" si="1"/>
        <v>Intern</v>
      </c>
      <c r="F168" s="13">
        <v>708</v>
      </c>
      <c r="G168" s="13">
        <v>1</v>
      </c>
      <c r="H168" s="13">
        <v>5</v>
      </c>
      <c r="I168" s="2">
        <v>34428</v>
      </c>
      <c r="J168" s="15">
        <v>936156</v>
      </c>
      <c r="K168" s="4" t="s">
        <v>14</v>
      </c>
      <c r="L168" s="27">
        <f t="shared" si="2"/>
        <v>1994</v>
      </c>
      <c r="M168" s="27">
        <f t="shared" si="3"/>
        <v>10</v>
      </c>
      <c r="N168" s="27">
        <f t="shared" ca="1" si="6"/>
        <v>32</v>
      </c>
      <c r="O168" s="27" t="str" cm="1">
        <f t="array" ref="O168">_xlfn.IFS($F168&gt;=750,"Excellent",$F168&gt;=700,"Good",$F168&gt;=650,"Moderate",
$F168&lt;650,"Risky"
)</f>
        <v>Good</v>
      </c>
      <c r="P168" s="27" t="str" cm="1">
        <f t="array" ref="P168">_xlfn.IFS(
AND(F168&gt;=750,H168&lt;=2),"Low Risk",
AND(F168&gt;=700,H168&lt;=5),"Medium Risk",
TRUE,"High Risk"
)</f>
        <v>Medium Risk</v>
      </c>
      <c r="Q168" s="5"/>
      <c r="R168" s="5"/>
      <c r="S168" s="5"/>
      <c r="T168" s="5"/>
      <c r="U168" s="5"/>
      <c r="V168" s="5"/>
      <c r="W168" s="5"/>
      <c r="X168" s="5"/>
      <c r="Y168" s="5"/>
    </row>
    <row r="169" spans="1:25" ht="15.75" customHeight="1" x14ac:dyDescent="0.25">
      <c r="A169" s="2">
        <v>44002</v>
      </c>
      <c r="B169" s="3">
        <v>61276</v>
      </c>
      <c r="C169" s="4" t="s">
        <v>28</v>
      </c>
      <c r="D169" s="4" t="str">
        <f t="shared" si="0"/>
        <v>Growth</v>
      </c>
      <c r="E169" s="4" t="str">
        <f t="shared" si="1"/>
        <v>Director</v>
      </c>
      <c r="F169" s="13">
        <v>796</v>
      </c>
      <c r="G169" s="13">
        <v>2</v>
      </c>
      <c r="H169" s="13">
        <v>2</v>
      </c>
      <c r="I169" s="2">
        <v>30571</v>
      </c>
      <c r="J169" s="15">
        <v>902760</v>
      </c>
      <c r="K169" s="4" t="s">
        <v>18</v>
      </c>
      <c r="L169" s="27">
        <f t="shared" si="2"/>
        <v>1983</v>
      </c>
      <c r="M169" s="27">
        <f t="shared" si="3"/>
        <v>6</v>
      </c>
      <c r="N169" s="27">
        <f t="shared" ca="1" si="6"/>
        <v>43</v>
      </c>
      <c r="O169" s="27" t="str" cm="1">
        <f t="array" ref="O169">_xlfn.IFS($F169&gt;=750,"Excellent",$F169&gt;=700,"Good",$F169&gt;=650,"Moderate",
$F169&lt;650,"Risky"
)</f>
        <v>Excellent</v>
      </c>
      <c r="P169" s="27" t="str" cm="1">
        <f t="array" ref="P169">_xlfn.IFS(
AND(F169&gt;=750,H169&lt;=2),"Low Risk",
AND(F169&gt;=700,H169&lt;=5),"Medium Risk",
TRUE,"High Risk"
)</f>
        <v>Low Risk</v>
      </c>
      <c r="Q169" s="5"/>
      <c r="R169" s="5"/>
      <c r="S169" s="5"/>
      <c r="T169" s="5"/>
      <c r="U169" s="5"/>
      <c r="V169" s="5"/>
      <c r="W169" s="5"/>
      <c r="X169" s="5"/>
      <c r="Y169" s="5"/>
    </row>
    <row r="170" spans="1:25" ht="15.75" customHeight="1" x14ac:dyDescent="0.25">
      <c r="A170" s="2">
        <v>43878</v>
      </c>
      <c r="B170" s="3">
        <v>64597</v>
      </c>
      <c r="C170" s="4" t="s">
        <v>29</v>
      </c>
      <c r="D170" s="4" t="str">
        <f t="shared" si="0"/>
        <v>Sales</v>
      </c>
      <c r="E170" s="4" t="str">
        <f t="shared" si="1"/>
        <v>Director</v>
      </c>
      <c r="F170" s="13">
        <v>727</v>
      </c>
      <c r="G170" s="13">
        <v>3</v>
      </c>
      <c r="H170" s="13">
        <v>5</v>
      </c>
      <c r="I170" s="2">
        <v>32616</v>
      </c>
      <c r="J170" s="15">
        <v>759509</v>
      </c>
      <c r="K170" s="4" t="s">
        <v>21</v>
      </c>
      <c r="L170" s="27">
        <f t="shared" si="2"/>
        <v>1989</v>
      </c>
      <c r="M170" s="27">
        <f t="shared" si="3"/>
        <v>2</v>
      </c>
      <c r="N170" s="27">
        <f t="shared" ca="1" si="6"/>
        <v>37</v>
      </c>
      <c r="O170" s="27" t="str" cm="1">
        <f t="array" ref="O170">_xlfn.IFS($F170&gt;=750,"Excellent",$F170&gt;=700,"Good",$F170&gt;=650,"Moderate",
$F170&lt;650,"Risky"
)</f>
        <v>Good</v>
      </c>
      <c r="P170" s="27" t="str" cm="1">
        <f t="array" ref="P170">_xlfn.IFS(
AND(F170&gt;=750,H170&lt;=2),"Low Risk",
AND(F170&gt;=700,H170&lt;=5),"Medium Risk",
TRUE,"High Risk"
)</f>
        <v>Medium Risk</v>
      </c>
      <c r="Q170" s="5"/>
      <c r="R170" s="5"/>
      <c r="S170" s="5"/>
      <c r="T170" s="5"/>
      <c r="U170" s="5"/>
      <c r="V170" s="5"/>
      <c r="W170" s="5"/>
      <c r="X170" s="5"/>
      <c r="Y170" s="5"/>
    </row>
    <row r="171" spans="1:25" ht="15.75" customHeight="1" x14ac:dyDescent="0.25">
      <c r="A171" s="2">
        <v>44003</v>
      </c>
      <c r="B171" s="3">
        <v>20325</v>
      </c>
      <c r="C171" s="4" t="s">
        <v>16</v>
      </c>
      <c r="D171" s="4" t="str">
        <f t="shared" si="0"/>
        <v>Marketing</v>
      </c>
      <c r="E171" s="4" t="str">
        <f t="shared" si="1"/>
        <v>Executive</v>
      </c>
      <c r="F171" s="13">
        <v>754</v>
      </c>
      <c r="G171" s="13">
        <v>3</v>
      </c>
      <c r="H171" s="13">
        <v>4</v>
      </c>
      <c r="I171" s="2">
        <v>30706</v>
      </c>
      <c r="J171" s="15">
        <v>553520</v>
      </c>
      <c r="K171" s="4" t="s">
        <v>14</v>
      </c>
      <c r="L171" s="27">
        <f t="shared" si="2"/>
        <v>1984</v>
      </c>
      <c r="M171" s="27">
        <f t="shared" si="3"/>
        <v>6</v>
      </c>
      <c r="N171" s="27">
        <f t="shared" ca="1" si="6"/>
        <v>42</v>
      </c>
      <c r="O171" s="27" t="str" cm="1">
        <f t="array" ref="O171">_xlfn.IFS($F171&gt;=750,"Excellent",$F171&gt;=700,"Good",$F171&gt;=650,"Moderate",
$F171&lt;650,"Risky"
)</f>
        <v>Excellent</v>
      </c>
      <c r="P171" s="27" t="str" cm="1">
        <f t="array" ref="P171">_xlfn.IFS(
AND(F171&gt;=750,H171&lt;=2),"Low Risk",
AND(F171&gt;=700,H171&lt;=5),"Medium Risk",
TRUE,"High Risk"
)</f>
        <v>Medium Risk</v>
      </c>
      <c r="Q171" s="5"/>
      <c r="R171" s="5"/>
      <c r="S171" s="5"/>
      <c r="T171" s="5"/>
      <c r="U171" s="5"/>
      <c r="V171" s="5"/>
      <c r="W171" s="5"/>
      <c r="X171" s="5"/>
      <c r="Y171" s="5"/>
    </row>
    <row r="172" spans="1:25" ht="15.75" customHeight="1" x14ac:dyDescent="0.25">
      <c r="A172" s="2">
        <v>43863</v>
      </c>
      <c r="B172" s="3">
        <v>69249</v>
      </c>
      <c r="C172" s="4" t="s">
        <v>29</v>
      </c>
      <c r="D172" s="4" t="str">
        <f t="shared" si="0"/>
        <v>Sales</v>
      </c>
      <c r="E172" s="4" t="str">
        <f t="shared" si="1"/>
        <v>Director</v>
      </c>
      <c r="F172" s="13">
        <v>757</v>
      </c>
      <c r="G172" s="13">
        <v>2</v>
      </c>
      <c r="H172" s="13">
        <v>3</v>
      </c>
      <c r="I172" s="2">
        <v>32181</v>
      </c>
      <c r="J172" s="15">
        <v>929923</v>
      </c>
      <c r="K172" s="4" t="s">
        <v>21</v>
      </c>
      <c r="L172" s="27">
        <f t="shared" si="2"/>
        <v>1988</v>
      </c>
      <c r="M172" s="27">
        <f t="shared" si="3"/>
        <v>2</v>
      </c>
      <c r="N172" s="27">
        <f t="shared" ca="1" si="6"/>
        <v>38</v>
      </c>
      <c r="O172" s="27" t="str" cm="1">
        <f t="array" ref="O172">_xlfn.IFS($F172&gt;=750,"Excellent",$F172&gt;=700,"Good",$F172&gt;=650,"Moderate",
$F172&lt;650,"Risky"
)</f>
        <v>Excellent</v>
      </c>
      <c r="P172" s="27" t="str" cm="1">
        <f t="array" ref="P172">_xlfn.IFS(
AND(F172&gt;=750,H172&lt;=2),"Low Risk",
AND(F172&gt;=700,H172&lt;=5),"Medium Risk",
TRUE,"High Risk"
)</f>
        <v>Medium Risk</v>
      </c>
      <c r="Q172" s="5"/>
      <c r="R172" s="5"/>
      <c r="S172" s="5"/>
      <c r="T172" s="5"/>
      <c r="U172" s="5"/>
      <c r="V172" s="5"/>
      <c r="W172" s="5"/>
      <c r="X172" s="5"/>
      <c r="Y172" s="5"/>
    </row>
    <row r="173" spans="1:25" ht="15.75" customHeight="1" x14ac:dyDescent="0.25">
      <c r="A173" s="2">
        <v>44079</v>
      </c>
      <c r="B173" s="3">
        <v>44270</v>
      </c>
      <c r="C173" s="4" t="s">
        <v>24</v>
      </c>
      <c r="D173" s="4" t="str">
        <f t="shared" si="0"/>
        <v>Strategy</v>
      </c>
      <c r="E173" s="4" t="str">
        <f t="shared" si="1"/>
        <v>Intern</v>
      </c>
      <c r="F173" s="13">
        <v>775</v>
      </c>
      <c r="G173" s="13">
        <v>1</v>
      </c>
      <c r="H173" s="13">
        <v>5</v>
      </c>
      <c r="I173" s="2">
        <v>31450</v>
      </c>
      <c r="J173" s="15">
        <v>788221</v>
      </c>
      <c r="K173" s="4" t="s">
        <v>21</v>
      </c>
      <c r="L173" s="27">
        <f t="shared" si="2"/>
        <v>1986</v>
      </c>
      <c r="M173" s="27">
        <f t="shared" si="3"/>
        <v>9</v>
      </c>
      <c r="N173" s="27">
        <f t="shared" ca="1" si="6"/>
        <v>40</v>
      </c>
      <c r="O173" s="27" t="str" cm="1">
        <f t="array" ref="O173">_xlfn.IFS($F173&gt;=750,"Excellent",$F173&gt;=700,"Good",$F173&gt;=650,"Moderate",
$F173&lt;650,"Risky"
)</f>
        <v>Excellent</v>
      </c>
      <c r="P173" s="27" t="str" cm="1">
        <f t="array" ref="P173">_xlfn.IFS(
AND(F173&gt;=750,H173&lt;=2),"Low Risk",
AND(F173&gt;=700,H173&lt;=5),"Medium Risk",
TRUE,"High Risk"
)</f>
        <v>Medium Risk</v>
      </c>
      <c r="Q173" s="5"/>
      <c r="R173" s="5"/>
      <c r="S173" s="5"/>
      <c r="T173" s="5"/>
      <c r="U173" s="5"/>
      <c r="V173" s="5"/>
      <c r="W173" s="5"/>
      <c r="X173" s="5"/>
      <c r="Y173" s="5"/>
    </row>
    <row r="174" spans="1:25" ht="15.75" customHeight="1" x14ac:dyDescent="0.25">
      <c r="A174" s="2">
        <v>43930</v>
      </c>
      <c r="B174" s="3">
        <v>11550</v>
      </c>
      <c r="C174" s="4" t="s">
        <v>13</v>
      </c>
      <c r="D174" s="4" t="str">
        <f t="shared" si="0"/>
        <v>Marketing</v>
      </c>
      <c r="E174" s="4" t="str">
        <f t="shared" si="1"/>
        <v>Director</v>
      </c>
      <c r="F174" s="13">
        <v>729</v>
      </c>
      <c r="G174" s="13">
        <v>3</v>
      </c>
      <c r="H174" s="13">
        <v>4</v>
      </c>
      <c r="I174" s="2">
        <v>33189</v>
      </c>
      <c r="J174" s="15">
        <v>767387</v>
      </c>
      <c r="K174" s="4" t="s">
        <v>18</v>
      </c>
      <c r="L174" s="27">
        <f t="shared" si="2"/>
        <v>1990</v>
      </c>
      <c r="M174" s="27">
        <f t="shared" si="3"/>
        <v>4</v>
      </c>
      <c r="N174" s="27">
        <f t="shared" ca="1" si="6"/>
        <v>36</v>
      </c>
      <c r="O174" s="27" t="str" cm="1">
        <f t="array" ref="O174">_xlfn.IFS($F174&gt;=750,"Excellent",$F174&gt;=700,"Good",$F174&gt;=650,"Moderate",
$F174&lt;650,"Risky"
)</f>
        <v>Good</v>
      </c>
      <c r="P174" s="27" t="str" cm="1">
        <f t="array" ref="P174">_xlfn.IFS(
AND(F174&gt;=750,H174&lt;=2),"Low Risk",
AND(F174&gt;=700,H174&lt;=5),"Medium Risk",
TRUE,"High Risk"
)</f>
        <v>Medium Risk</v>
      </c>
      <c r="Q174" s="5"/>
      <c r="R174" s="5"/>
      <c r="S174" s="5"/>
      <c r="T174" s="5"/>
      <c r="U174" s="5"/>
      <c r="V174" s="5"/>
      <c r="W174" s="5"/>
      <c r="X174" s="5"/>
      <c r="Y174" s="5"/>
    </row>
    <row r="175" spans="1:25" ht="15.75" customHeight="1" x14ac:dyDescent="0.25">
      <c r="A175" s="2">
        <v>43925</v>
      </c>
      <c r="B175" s="3">
        <v>43241</v>
      </c>
      <c r="C175" s="4" t="s">
        <v>16</v>
      </c>
      <c r="D175" s="4" t="str">
        <f t="shared" si="0"/>
        <v>Marketing</v>
      </c>
      <c r="E175" s="4" t="str">
        <f t="shared" si="1"/>
        <v>Executive</v>
      </c>
      <c r="F175" s="13">
        <v>719</v>
      </c>
      <c r="G175" s="13">
        <v>4</v>
      </c>
      <c r="H175" s="13">
        <v>7</v>
      </c>
      <c r="I175" s="2">
        <v>30916</v>
      </c>
      <c r="J175" s="15">
        <v>898213</v>
      </c>
      <c r="K175" s="4" t="s">
        <v>21</v>
      </c>
      <c r="L175" s="27">
        <f t="shared" si="2"/>
        <v>1984</v>
      </c>
      <c r="M175" s="27">
        <f t="shared" si="3"/>
        <v>4</v>
      </c>
      <c r="N175" s="27">
        <f t="shared" ca="1" si="6"/>
        <v>42</v>
      </c>
      <c r="O175" s="27" t="str" cm="1">
        <f t="array" ref="O175">_xlfn.IFS($F175&gt;=750,"Excellent",$F175&gt;=700,"Good",$F175&gt;=650,"Moderate",
$F175&lt;650,"Risky"
)</f>
        <v>Good</v>
      </c>
      <c r="P175" s="27" t="str" cm="1">
        <f t="array" ref="P175">_xlfn.IFS(
AND(F175&gt;=750,H175&lt;=2),"Low Risk",
AND(F175&gt;=700,H175&lt;=5),"Medium Risk",
TRUE,"High Risk"
)</f>
        <v>High Risk</v>
      </c>
      <c r="Q175" s="5"/>
      <c r="R175" s="5"/>
      <c r="S175" s="5"/>
      <c r="T175" s="5"/>
      <c r="U175" s="5"/>
      <c r="V175" s="5"/>
      <c r="W175" s="5"/>
      <c r="X175" s="5"/>
      <c r="Y175" s="5"/>
    </row>
    <row r="176" spans="1:25" ht="15.75" customHeight="1" x14ac:dyDescent="0.25">
      <c r="A176" s="2">
        <v>44035</v>
      </c>
      <c r="B176" s="3">
        <v>29545</v>
      </c>
      <c r="C176" s="4" t="s">
        <v>38</v>
      </c>
      <c r="D176" s="4" t="str">
        <f t="shared" si="0"/>
        <v>Finance</v>
      </c>
      <c r="E176" s="4" t="str">
        <f t="shared" si="1"/>
        <v>Manager</v>
      </c>
      <c r="F176" s="13">
        <v>766</v>
      </c>
      <c r="G176" s="13">
        <v>3</v>
      </c>
      <c r="H176" s="13">
        <v>10</v>
      </c>
      <c r="I176" s="2">
        <v>32033</v>
      </c>
      <c r="J176" s="15">
        <v>843659</v>
      </c>
      <c r="K176" s="4" t="s">
        <v>14</v>
      </c>
      <c r="L176" s="27">
        <f t="shared" si="2"/>
        <v>1987</v>
      </c>
      <c r="M176" s="27">
        <f t="shared" si="3"/>
        <v>7</v>
      </c>
      <c r="N176" s="27">
        <f t="shared" ca="1" si="6"/>
        <v>39</v>
      </c>
      <c r="O176" s="27" t="str" cm="1">
        <f t="array" ref="O176">_xlfn.IFS($F176&gt;=750,"Excellent",$F176&gt;=700,"Good",$F176&gt;=650,"Moderate",
$F176&lt;650,"Risky"
)</f>
        <v>Excellent</v>
      </c>
      <c r="P176" s="27" t="str" cm="1">
        <f t="array" ref="P176">_xlfn.IFS(
AND(F176&gt;=750,H176&lt;=2),"Low Risk",
AND(F176&gt;=700,H176&lt;=5),"Medium Risk",
TRUE,"High Risk"
)</f>
        <v>High Risk</v>
      </c>
      <c r="Q176" s="5"/>
      <c r="R176" s="5"/>
      <c r="S176" s="5"/>
      <c r="T176" s="5"/>
      <c r="U176" s="5"/>
      <c r="V176" s="5"/>
      <c r="W176" s="5"/>
      <c r="X176" s="5"/>
      <c r="Y176" s="5"/>
    </row>
    <row r="177" spans="1:25" ht="15.75" customHeight="1" x14ac:dyDescent="0.25">
      <c r="A177" s="2">
        <v>44018</v>
      </c>
      <c r="B177" s="3">
        <v>72884</v>
      </c>
      <c r="C177" s="4" t="s">
        <v>16</v>
      </c>
      <c r="D177" s="4" t="str">
        <f t="shared" si="0"/>
        <v>Marketing</v>
      </c>
      <c r="E177" s="4" t="str">
        <f t="shared" si="1"/>
        <v>Executive</v>
      </c>
      <c r="F177" s="13">
        <v>747</v>
      </c>
      <c r="G177" s="13">
        <v>4</v>
      </c>
      <c r="H177" s="13">
        <v>2</v>
      </c>
      <c r="I177" s="2">
        <v>32430</v>
      </c>
      <c r="J177" s="15">
        <v>901188</v>
      </c>
      <c r="K177" s="4" t="s">
        <v>14</v>
      </c>
      <c r="L177" s="27">
        <f t="shared" si="2"/>
        <v>1988</v>
      </c>
      <c r="M177" s="27">
        <f t="shared" si="3"/>
        <v>7</v>
      </c>
      <c r="N177" s="27">
        <f t="shared" ca="1" si="6"/>
        <v>38</v>
      </c>
      <c r="O177" s="27" t="str" cm="1">
        <f t="array" ref="O177">_xlfn.IFS($F177&gt;=750,"Excellent",$F177&gt;=700,"Good",$F177&gt;=650,"Moderate",
$F177&lt;650,"Risky"
)</f>
        <v>Good</v>
      </c>
      <c r="P177" s="27" t="str" cm="1">
        <f t="array" ref="P177">_xlfn.IFS(
AND(F177&gt;=750,H177&lt;=2),"Low Risk",
AND(F177&gt;=700,H177&lt;=5),"Medium Risk",
TRUE,"High Risk"
)</f>
        <v>Medium Risk</v>
      </c>
      <c r="Q177" s="5"/>
      <c r="R177" s="5"/>
      <c r="S177" s="5"/>
      <c r="T177" s="5"/>
      <c r="U177" s="5"/>
      <c r="V177" s="5"/>
      <c r="W177" s="5"/>
      <c r="X177" s="5"/>
      <c r="Y177" s="5"/>
    </row>
    <row r="178" spans="1:25" ht="15.75" customHeight="1" x14ac:dyDescent="0.25">
      <c r="A178" s="2">
        <v>43977</v>
      </c>
      <c r="B178" s="3">
        <v>13475</v>
      </c>
      <c r="C178" s="4" t="s">
        <v>34</v>
      </c>
      <c r="D178" s="4" t="str">
        <f t="shared" si="0"/>
        <v>Finance</v>
      </c>
      <c r="E178" s="4" t="str">
        <f t="shared" si="1"/>
        <v>Director</v>
      </c>
      <c r="F178" s="13">
        <v>800</v>
      </c>
      <c r="G178" s="13">
        <v>5</v>
      </c>
      <c r="H178" s="13">
        <v>3</v>
      </c>
      <c r="I178" s="2">
        <v>29250</v>
      </c>
      <c r="J178" s="15">
        <v>578868</v>
      </c>
      <c r="K178" s="4" t="s">
        <v>21</v>
      </c>
      <c r="L178" s="27">
        <f t="shared" si="2"/>
        <v>1980</v>
      </c>
      <c r="M178" s="27">
        <f t="shared" si="3"/>
        <v>5</v>
      </c>
      <c r="N178" s="27">
        <f t="shared" ca="1" si="6"/>
        <v>46</v>
      </c>
      <c r="O178" s="27" t="str" cm="1">
        <f t="array" ref="O178">_xlfn.IFS($F178&gt;=750,"Excellent",$F178&gt;=700,"Good",$F178&gt;=650,"Moderate",
$F178&lt;650,"Risky"
)</f>
        <v>Excellent</v>
      </c>
      <c r="P178" s="27" t="str" cm="1">
        <f t="array" ref="P178">_xlfn.IFS(
AND(F178&gt;=750,H178&lt;=2),"Low Risk",
AND(F178&gt;=700,H178&lt;=5),"Medium Risk",
TRUE,"High Risk"
)</f>
        <v>Medium Risk</v>
      </c>
      <c r="Q178" s="5"/>
      <c r="R178" s="5"/>
      <c r="S178" s="5"/>
      <c r="T178" s="5"/>
      <c r="U178" s="5"/>
      <c r="V178" s="5"/>
      <c r="W178" s="5"/>
      <c r="X178" s="5"/>
      <c r="Y178" s="5"/>
    </row>
    <row r="179" spans="1:25" ht="15.75" customHeight="1" x14ac:dyDescent="0.25">
      <c r="A179" s="2">
        <v>44043</v>
      </c>
      <c r="B179" s="3">
        <v>63362</v>
      </c>
      <c r="C179" s="4" t="s">
        <v>25</v>
      </c>
      <c r="D179" s="4" t="str">
        <f t="shared" si="0"/>
        <v>Sales</v>
      </c>
      <c r="E179" s="4" t="str">
        <f t="shared" si="1"/>
        <v>Manager</v>
      </c>
      <c r="F179" s="13">
        <v>724</v>
      </c>
      <c r="G179" s="13">
        <v>5</v>
      </c>
      <c r="H179" s="13">
        <v>2</v>
      </c>
      <c r="I179" s="2">
        <v>34091</v>
      </c>
      <c r="J179" s="15">
        <v>891505</v>
      </c>
      <c r="K179" s="4" t="s">
        <v>21</v>
      </c>
      <c r="L179" s="27">
        <f t="shared" si="2"/>
        <v>1993</v>
      </c>
      <c r="M179" s="27">
        <f t="shared" si="3"/>
        <v>7</v>
      </c>
      <c r="N179" s="27">
        <f t="shared" ca="1" si="6"/>
        <v>33</v>
      </c>
      <c r="O179" s="27" t="str" cm="1">
        <f t="array" ref="O179">_xlfn.IFS($F179&gt;=750,"Excellent",$F179&gt;=700,"Good",$F179&gt;=650,"Moderate",
$F179&lt;650,"Risky"
)</f>
        <v>Good</v>
      </c>
      <c r="P179" s="27" t="str" cm="1">
        <f t="array" ref="P179">_xlfn.IFS(
AND(F179&gt;=750,H179&lt;=2),"Low Risk",
AND(F179&gt;=700,H179&lt;=5),"Medium Risk",
TRUE,"High Risk"
)</f>
        <v>Medium Risk</v>
      </c>
      <c r="Q179" s="5"/>
      <c r="R179" s="5"/>
      <c r="S179" s="5"/>
      <c r="T179" s="5"/>
      <c r="U179" s="5"/>
      <c r="V179" s="5"/>
      <c r="W179" s="5"/>
      <c r="X179" s="5"/>
      <c r="Y179" s="5"/>
    </row>
    <row r="180" spans="1:25" ht="15.75" customHeight="1" x14ac:dyDescent="0.25">
      <c r="A180" s="2">
        <v>43870</v>
      </c>
      <c r="B180" s="3">
        <v>92047</v>
      </c>
      <c r="C180" s="4" t="s">
        <v>31</v>
      </c>
      <c r="D180" s="4" t="str">
        <f t="shared" si="0"/>
        <v>Finance</v>
      </c>
      <c r="E180" s="4" t="str">
        <f t="shared" si="1"/>
        <v>Intern</v>
      </c>
      <c r="F180" s="13">
        <v>738</v>
      </c>
      <c r="G180" s="13">
        <v>4</v>
      </c>
      <c r="H180" s="13">
        <v>8</v>
      </c>
      <c r="I180" s="2">
        <v>32149</v>
      </c>
      <c r="J180" s="15">
        <v>891901</v>
      </c>
      <c r="K180" s="4" t="s">
        <v>18</v>
      </c>
      <c r="L180" s="27">
        <f t="shared" si="2"/>
        <v>1988</v>
      </c>
      <c r="M180" s="27">
        <f t="shared" si="3"/>
        <v>2</v>
      </c>
      <c r="N180" s="27">
        <f t="shared" ca="1" si="6"/>
        <v>38</v>
      </c>
      <c r="O180" s="27" t="str" cm="1">
        <f t="array" ref="O180">_xlfn.IFS($F180&gt;=750,"Excellent",$F180&gt;=700,"Good",$F180&gt;=650,"Moderate",
$F180&lt;650,"Risky"
)</f>
        <v>Good</v>
      </c>
      <c r="P180" s="27" t="str" cm="1">
        <f t="array" ref="P180">_xlfn.IFS(
AND(F180&gt;=750,H180&lt;=2),"Low Risk",
AND(F180&gt;=700,H180&lt;=5),"Medium Risk",
TRUE,"High Risk"
)</f>
        <v>High Risk</v>
      </c>
      <c r="Q180" s="5"/>
      <c r="R180" s="5"/>
      <c r="S180" s="5"/>
      <c r="T180" s="5"/>
      <c r="U180" s="5"/>
      <c r="V180" s="5"/>
      <c r="W180" s="5"/>
      <c r="X180" s="5"/>
      <c r="Y180" s="5"/>
    </row>
    <row r="181" spans="1:25" ht="15.75" customHeight="1" x14ac:dyDescent="0.25">
      <c r="A181" s="2">
        <v>44042</v>
      </c>
      <c r="B181" s="3">
        <v>56119</v>
      </c>
      <c r="C181" s="4" t="s">
        <v>19</v>
      </c>
      <c r="D181" s="4" t="str">
        <f t="shared" si="0"/>
        <v>Marketing</v>
      </c>
      <c r="E181" s="4" t="str">
        <f t="shared" si="1"/>
        <v>Manager</v>
      </c>
      <c r="F181" s="13">
        <v>729</v>
      </c>
      <c r="G181" s="13">
        <v>3</v>
      </c>
      <c r="H181" s="13">
        <v>10</v>
      </c>
      <c r="I181" s="2">
        <v>32919</v>
      </c>
      <c r="J181" s="15">
        <v>801976</v>
      </c>
      <c r="K181" s="4" t="s">
        <v>14</v>
      </c>
      <c r="L181" s="27">
        <f t="shared" si="2"/>
        <v>1990</v>
      </c>
      <c r="M181" s="27">
        <f t="shared" si="3"/>
        <v>7</v>
      </c>
      <c r="N181" s="27">
        <f t="shared" ca="1" si="6"/>
        <v>36</v>
      </c>
      <c r="O181" s="27" t="str" cm="1">
        <f t="array" ref="O181">_xlfn.IFS($F181&gt;=750,"Excellent",$F181&gt;=700,"Good",$F181&gt;=650,"Moderate",
$F181&lt;650,"Risky"
)</f>
        <v>Good</v>
      </c>
      <c r="P181" s="27" t="str" cm="1">
        <f t="array" ref="P181">_xlfn.IFS(
AND(F181&gt;=750,H181&lt;=2),"Low Risk",
AND(F181&gt;=700,H181&lt;=5),"Medium Risk",
TRUE,"High Risk"
)</f>
        <v>High Risk</v>
      </c>
      <c r="Q181" s="5"/>
      <c r="R181" s="5"/>
      <c r="S181" s="5"/>
      <c r="T181" s="5"/>
      <c r="U181" s="5"/>
      <c r="V181" s="5"/>
      <c r="W181" s="5"/>
      <c r="X181" s="5"/>
      <c r="Y181" s="5"/>
    </row>
    <row r="182" spans="1:25" ht="15.75" customHeight="1" x14ac:dyDescent="0.25">
      <c r="A182" s="2">
        <v>44050</v>
      </c>
      <c r="B182" s="3">
        <v>79806</v>
      </c>
      <c r="C182" s="4" t="s">
        <v>36</v>
      </c>
      <c r="D182" s="4" t="str">
        <f t="shared" si="0"/>
        <v>Sales</v>
      </c>
      <c r="E182" s="4" t="str">
        <f t="shared" si="1"/>
        <v>Intern</v>
      </c>
      <c r="F182" s="13">
        <v>760</v>
      </c>
      <c r="G182" s="13">
        <v>3</v>
      </c>
      <c r="H182" s="13">
        <v>8</v>
      </c>
      <c r="I182" s="2">
        <v>32026</v>
      </c>
      <c r="J182" s="15">
        <v>603480</v>
      </c>
      <c r="K182" s="4" t="s">
        <v>21</v>
      </c>
      <c r="L182" s="27">
        <f t="shared" si="2"/>
        <v>1987</v>
      </c>
      <c r="M182" s="27">
        <f t="shared" si="3"/>
        <v>8</v>
      </c>
      <c r="N182" s="27">
        <f t="shared" ca="1" si="6"/>
        <v>39</v>
      </c>
      <c r="O182" s="27" t="str" cm="1">
        <f t="array" ref="O182">_xlfn.IFS($F182&gt;=750,"Excellent",$F182&gt;=700,"Good",$F182&gt;=650,"Moderate",
$F182&lt;650,"Risky"
)</f>
        <v>Excellent</v>
      </c>
      <c r="P182" s="27" t="str" cm="1">
        <f t="array" ref="P182">_xlfn.IFS(
AND(F182&gt;=750,H182&lt;=2),"Low Risk",
AND(F182&gt;=700,H182&lt;=5),"Medium Risk",
TRUE,"High Risk"
)</f>
        <v>High Risk</v>
      </c>
      <c r="Q182" s="5"/>
      <c r="R182" s="5"/>
      <c r="S182" s="5"/>
      <c r="T182" s="5"/>
      <c r="U182" s="5"/>
      <c r="V182" s="5"/>
      <c r="W182" s="5"/>
      <c r="X182" s="5"/>
      <c r="Y182" s="5"/>
    </row>
    <row r="183" spans="1:25" ht="15.75" customHeight="1" x14ac:dyDescent="0.25">
      <c r="A183" s="2">
        <v>43850</v>
      </c>
      <c r="B183" s="3">
        <v>63927</v>
      </c>
      <c r="C183" s="4" t="s">
        <v>38</v>
      </c>
      <c r="D183" s="4" t="str">
        <f t="shared" si="0"/>
        <v>Finance</v>
      </c>
      <c r="E183" s="4" t="str">
        <f t="shared" si="1"/>
        <v>Manager</v>
      </c>
      <c r="F183" s="13">
        <v>740</v>
      </c>
      <c r="G183" s="13">
        <v>5</v>
      </c>
      <c r="H183" s="13">
        <v>5</v>
      </c>
      <c r="I183" s="2">
        <v>33339</v>
      </c>
      <c r="J183" s="15">
        <v>689555</v>
      </c>
      <c r="K183" s="4" t="s">
        <v>18</v>
      </c>
      <c r="L183" s="27">
        <f t="shared" si="2"/>
        <v>1991</v>
      </c>
      <c r="M183" s="27">
        <f t="shared" si="3"/>
        <v>1</v>
      </c>
      <c r="N183" s="27">
        <f t="shared" ca="1" si="6"/>
        <v>35</v>
      </c>
      <c r="O183" s="27" t="str" cm="1">
        <f t="array" ref="O183">_xlfn.IFS($F183&gt;=750,"Excellent",$F183&gt;=700,"Good",$F183&gt;=650,"Moderate",
$F183&lt;650,"Risky"
)</f>
        <v>Good</v>
      </c>
      <c r="P183" s="27" t="str" cm="1">
        <f t="array" ref="P183">_xlfn.IFS(
AND(F183&gt;=750,H183&lt;=2),"Low Risk",
AND(F183&gt;=700,H183&lt;=5),"Medium Risk",
TRUE,"High Risk"
)</f>
        <v>Medium Risk</v>
      </c>
      <c r="Q183" s="5"/>
      <c r="R183" s="5"/>
      <c r="S183" s="5"/>
      <c r="T183" s="5"/>
      <c r="U183" s="5"/>
      <c r="V183" s="5"/>
      <c r="W183" s="5"/>
      <c r="X183" s="5"/>
      <c r="Y183" s="5"/>
    </row>
    <row r="184" spans="1:25" ht="15.75" customHeight="1" x14ac:dyDescent="0.25">
      <c r="A184" s="2">
        <v>44137</v>
      </c>
      <c r="B184" s="3">
        <v>73461</v>
      </c>
      <c r="C184" s="4" t="s">
        <v>15</v>
      </c>
      <c r="D184" s="4" t="str">
        <f t="shared" si="0"/>
        <v>Operation</v>
      </c>
      <c r="E184" s="4" t="str">
        <f t="shared" si="1"/>
        <v>Executive</v>
      </c>
      <c r="F184" s="13">
        <v>763</v>
      </c>
      <c r="G184" s="13">
        <v>4</v>
      </c>
      <c r="H184" s="13">
        <v>10</v>
      </c>
      <c r="I184" s="2">
        <v>33857</v>
      </c>
      <c r="J184" s="15">
        <v>675486</v>
      </c>
      <c r="K184" s="4" t="s">
        <v>21</v>
      </c>
      <c r="L184" s="27">
        <f t="shared" si="2"/>
        <v>1992</v>
      </c>
      <c r="M184" s="27">
        <f t="shared" si="3"/>
        <v>11</v>
      </c>
      <c r="N184" s="27">
        <f t="shared" ca="1" si="6"/>
        <v>34</v>
      </c>
      <c r="O184" s="27" t="str" cm="1">
        <f t="array" ref="O184">_xlfn.IFS($F184&gt;=750,"Excellent",$F184&gt;=700,"Good",$F184&gt;=650,"Moderate",
$F184&lt;650,"Risky"
)</f>
        <v>Excellent</v>
      </c>
      <c r="P184" s="27" t="str" cm="1">
        <f t="array" ref="P184">_xlfn.IFS(
AND(F184&gt;=750,H184&lt;=2),"Low Risk",
AND(F184&gt;=700,H184&lt;=5),"Medium Risk",
TRUE,"High Risk"
)</f>
        <v>High Risk</v>
      </c>
      <c r="Q184" s="5"/>
      <c r="R184" s="5"/>
      <c r="S184" s="5"/>
      <c r="T184" s="5"/>
      <c r="U184" s="5"/>
      <c r="V184" s="5"/>
      <c r="W184" s="5"/>
      <c r="X184" s="5"/>
      <c r="Y184" s="5"/>
    </row>
    <row r="185" spans="1:25" ht="15.75" customHeight="1" x14ac:dyDescent="0.25">
      <c r="A185" s="2">
        <v>43958</v>
      </c>
      <c r="B185" s="3">
        <v>53939</v>
      </c>
      <c r="C185" s="4" t="s">
        <v>20</v>
      </c>
      <c r="D185" s="4" t="str">
        <f t="shared" si="0"/>
        <v>Operation</v>
      </c>
      <c r="E185" s="4" t="str">
        <f t="shared" si="1"/>
        <v>Manager</v>
      </c>
      <c r="F185" s="13">
        <v>729</v>
      </c>
      <c r="G185" s="13">
        <v>5</v>
      </c>
      <c r="H185" s="13">
        <v>4</v>
      </c>
      <c r="I185" s="2">
        <v>32537</v>
      </c>
      <c r="J185" s="15">
        <v>839023</v>
      </c>
      <c r="K185" s="4" t="s">
        <v>21</v>
      </c>
      <c r="L185" s="27">
        <f t="shared" si="2"/>
        <v>1989</v>
      </c>
      <c r="M185" s="27">
        <f t="shared" si="3"/>
        <v>5</v>
      </c>
      <c r="N185" s="27">
        <f t="shared" ca="1" si="6"/>
        <v>37</v>
      </c>
      <c r="O185" s="27" t="str" cm="1">
        <f t="array" ref="O185">_xlfn.IFS($F185&gt;=750,"Excellent",$F185&gt;=700,"Good",$F185&gt;=650,"Moderate",
$F185&lt;650,"Risky"
)</f>
        <v>Good</v>
      </c>
      <c r="P185" s="27" t="str" cm="1">
        <f t="array" ref="P185">_xlfn.IFS(
AND(F185&gt;=750,H185&lt;=2),"Low Risk",
AND(F185&gt;=700,H185&lt;=5),"Medium Risk",
TRUE,"High Risk"
)</f>
        <v>Medium Risk</v>
      </c>
      <c r="Q185" s="5"/>
      <c r="R185" s="5"/>
      <c r="S185" s="5"/>
      <c r="T185" s="5"/>
      <c r="U185" s="5"/>
      <c r="V185" s="5"/>
      <c r="W185" s="5"/>
      <c r="X185" s="5"/>
      <c r="Y185" s="5"/>
    </row>
    <row r="186" spans="1:25" ht="15.75" customHeight="1" x14ac:dyDescent="0.25">
      <c r="A186" s="2">
        <v>43953</v>
      </c>
      <c r="B186" s="3">
        <v>67752</v>
      </c>
      <c r="C186" s="4" t="s">
        <v>39</v>
      </c>
      <c r="D186" s="4" t="str">
        <f t="shared" si="0"/>
        <v>Growth</v>
      </c>
      <c r="E186" s="4" t="str">
        <f t="shared" si="1"/>
        <v>Executive</v>
      </c>
      <c r="F186" s="13">
        <v>743</v>
      </c>
      <c r="G186" s="13">
        <v>3</v>
      </c>
      <c r="H186" s="13">
        <v>9</v>
      </c>
      <c r="I186" s="2">
        <v>29573</v>
      </c>
      <c r="J186" s="15">
        <v>917829</v>
      </c>
      <c r="K186" s="4" t="s">
        <v>14</v>
      </c>
      <c r="L186" s="27">
        <f t="shared" si="2"/>
        <v>1980</v>
      </c>
      <c r="M186" s="27">
        <f t="shared" si="3"/>
        <v>5</v>
      </c>
      <c r="N186" s="27">
        <f t="shared" ca="1" si="6"/>
        <v>46</v>
      </c>
      <c r="O186" s="27" t="str" cm="1">
        <f t="array" ref="O186">_xlfn.IFS($F186&gt;=750,"Excellent",$F186&gt;=700,"Good",$F186&gt;=650,"Moderate",
$F186&lt;650,"Risky"
)</f>
        <v>Good</v>
      </c>
      <c r="P186" s="27" t="str" cm="1">
        <f t="array" ref="P186">_xlfn.IFS(
AND(F186&gt;=750,H186&lt;=2),"Low Risk",
AND(F186&gt;=700,H186&lt;=5),"Medium Risk",
TRUE,"High Risk"
)</f>
        <v>High Risk</v>
      </c>
      <c r="Q186" s="5"/>
      <c r="R186" s="5"/>
      <c r="S186" s="5"/>
      <c r="T186" s="5"/>
      <c r="U186" s="5"/>
      <c r="V186" s="5"/>
      <c r="W186" s="5"/>
      <c r="X186" s="5"/>
      <c r="Y186" s="5"/>
    </row>
    <row r="187" spans="1:25" ht="15.75" customHeight="1" x14ac:dyDescent="0.25">
      <c r="A187" s="2">
        <v>43894</v>
      </c>
      <c r="B187" s="3">
        <v>98469</v>
      </c>
      <c r="C187" s="4" t="s">
        <v>20</v>
      </c>
      <c r="D187" s="4" t="str">
        <f t="shared" si="0"/>
        <v>Operation</v>
      </c>
      <c r="E187" s="4" t="str">
        <f t="shared" si="1"/>
        <v>Manager</v>
      </c>
      <c r="F187" s="13">
        <v>796</v>
      </c>
      <c r="G187" s="13">
        <v>4</v>
      </c>
      <c r="H187" s="13">
        <v>1</v>
      </c>
      <c r="I187" s="2">
        <v>33341</v>
      </c>
      <c r="J187" s="15">
        <v>861547</v>
      </c>
      <c r="K187" s="4" t="s">
        <v>14</v>
      </c>
      <c r="L187" s="27">
        <f t="shared" si="2"/>
        <v>1991</v>
      </c>
      <c r="M187" s="27">
        <f t="shared" si="3"/>
        <v>3</v>
      </c>
      <c r="N187" s="27">
        <f t="shared" ca="1" si="6"/>
        <v>35</v>
      </c>
      <c r="O187" s="27" t="str" cm="1">
        <f t="array" ref="O187">_xlfn.IFS($F187&gt;=750,"Excellent",$F187&gt;=700,"Good",$F187&gt;=650,"Moderate",
$F187&lt;650,"Risky"
)</f>
        <v>Excellent</v>
      </c>
      <c r="P187" s="27" t="str" cm="1">
        <f t="array" ref="P187">_xlfn.IFS(
AND(F187&gt;=750,H187&lt;=2),"Low Risk",
AND(F187&gt;=700,H187&lt;=5),"Medium Risk",
TRUE,"High Risk"
)</f>
        <v>Low Risk</v>
      </c>
      <c r="Q187" s="5"/>
      <c r="R187" s="5"/>
      <c r="S187" s="5"/>
      <c r="T187" s="5"/>
      <c r="U187" s="5"/>
      <c r="V187" s="5"/>
      <c r="W187" s="5"/>
      <c r="X187" s="5"/>
      <c r="Y187" s="5"/>
    </row>
    <row r="188" spans="1:25" ht="15.75" customHeight="1" x14ac:dyDescent="0.25">
      <c r="A188" s="2">
        <v>44133</v>
      </c>
      <c r="B188" s="3">
        <v>96055</v>
      </c>
      <c r="C188" s="4" t="s">
        <v>15</v>
      </c>
      <c r="D188" s="4" t="str">
        <f t="shared" si="0"/>
        <v>Operation</v>
      </c>
      <c r="E188" s="4" t="str">
        <f t="shared" si="1"/>
        <v>Executive</v>
      </c>
      <c r="F188" s="13">
        <v>744</v>
      </c>
      <c r="G188" s="13">
        <v>2</v>
      </c>
      <c r="H188" s="13">
        <v>2</v>
      </c>
      <c r="I188" s="2">
        <v>31200</v>
      </c>
      <c r="J188" s="15">
        <v>664025</v>
      </c>
      <c r="K188" s="4" t="s">
        <v>18</v>
      </c>
      <c r="L188" s="27">
        <f t="shared" si="2"/>
        <v>1985</v>
      </c>
      <c r="M188" s="27">
        <f t="shared" si="3"/>
        <v>10</v>
      </c>
      <c r="N188" s="27">
        <f t="shared" ca="1" si="6"/>
        <v>41</v>
      </c>
      <c r="O188" s="27" t="str" cm="1">
        <f t="array" ref="O188">_xlfn.IFS($F188&gt;=750,"Excellent",$F188&gt;=700,"Good",$F188&gt;=650,"Moderate",
$F188&lt;650,"Risky"
)</f>
        <v>Good</v>
      </c>
      <c r="P188" s="27" t="str" cm="1">
        <f t="array" ref="P188">_xlfn.IFS(
AND(F188&gt;=750,H188&lt;=2),"Low Risk",
AND(F188&gt;=700,H188&lt;=5),"Medium Risk",
TRUE,"High Risk"
)</f>
        <v>Medium Risk</v>
      </c>
      <c r="Q188" s="5"/>
      <c r="R188" s="5"/>
      <c r="S188" s="5"/>
      <c r="T188" s="5"/>
      <c r="U188" s="5"/>
      <c r="V188" s="5"/>
      <c r="W188" s="5"/>
      <c r="X188" s="5"/>
      <c r="Y188" s="5"/>
    </row>
    <row r="189" spans="1:25" ht="15.75" customHeight="1" x14ac:dyDescent="0.25">
      <c r="A189" s="2">
        <v>44143</v>
      </c>
      <c r="B189" s="3">
        <v>22022</v>
      </c>
      <c r="C189" s="4" t="s">
        <v>31</v>
      </c>
      <c r="D189" s="4" t="str">
        <f t="shared" si="0"/>
        <v>Finance</v>
      </c>
      <c r="E189" s="4" t="str">
        <f t="shared" si="1"/>
        <v>Intern</v>
      </c>
      <c r="F189" s="13">
        <v>733</v>
      </c>
      <c r="G189" s="13">
        <v>1</v>
      </c>
      <c r="H189" s="13">
        <v>3</v>
      </c>
      <c r="I189" s="2">
        <v>31252</v>
      </c>
      <c r="J189" s="15">
        <v>846070</v>
      </c>
      <c r="K189" s="4" t="s">
        <v>18</v>
      </c>
      <c r="L189" s="27">
        <f t="shared" si="2"/>
        <v>1985</v>
      </c>
      <c r="M189" s="27">
        <f t="shared" si="3"/>
        <v>11</v>
      </c>
      <c r="N189" s="27">
        <f t="shared" ca="1" si="6"/>
        <v>41</v>
      </c>
      <c r="O189" s="27" t="str" cm="1">
        <f t="array" ref="O189">_xlfn.IFS($F189&gt;=750,"Excellent",$F189&gt;=700,"Good",$F189&gt;=650,"Moderate",
$F189&lt;650,"Risky"
)</f>
        <v>Good</v>
      </c>
      <c r="P189" s="27" t="str" cm="1">
        <f t="array" ref="P189">_xlfn.IFS(
AND(F189&gt;=750,H189&lt;=2),"Low Risk",
AND(F189&gt;=700,H189&lt;=5),"Medium Risk",
TRUE,"High Risk"
)</f>
        <v>Medium Risk</v>
      </c>
      <c r="Q189" s="5"/>
      <c r="R189" s="5"/>
      <c r="S189" s="5"/>
      <c r="T189" s="5"/>
      <c r="U189" s="5"/>
      <c r="V189" s="5"/>
      <c r="W189" s="5"/>
      <c r="X189" s="5"/>
      <c r="Y189" s="5"/>
    </row>
    <row r="190" spans="1:25" ht="15.75" customHeight="1" x14ac:dyDescent="0.25">
      <c r="A190" s="2">
        <v>43946</v>
      </c>
      <c r="B190" s="3">
        <v>41378</v>
      </c>
      <c r="C190" s="4" t="s">
        <v>20</v>
      </c>
      <c r="D190" s="4" t="str">
        <f t="shared" si="0"/>
        <v>Operation</v>
      </c>
      <c r="E190" s="4" t="str">
        <f t="shared" si="1"/>
        <v>Manager</v>
      </c>
      <c r="F190" s="13">
        <v>786</v>
      </c>
      <c r="G190" s="13">
        <v>1</v>
      </c>
      <c r="H190" s="13">
        <v>7</v>
      </c>
      <c r="I190" s="2">
        <v>32037</v>
      </c>
      <c r="J190" s="15">
        <v>878397</v>
      </c>
      <c r="K190" s="4" t="s">
        <v>18</v>
      </c>
      <c r="L190" s="27">
        <f t="shared" si="2"/>
        <v>1987</v>
      </c>
      <c r="M190" s="27">
        <f t="shared" si="3"/>
        <v>4</v>
      </c>
      <c r="N190" s="27">
        <f t="shared" ca="1" si="6"/>
        <v>39</v>
      </c>
      <c r="O190" s="27" t="str" cm="1">
        <f t="array" ref="O190">_xlfn.IFS($F190&gt;=750,"Excellent",$F190&gt;=700,"Good",$F190&gt;=650,"Moderate",
$F190&lt;650,"Risky"
)</f>
        <v>Excellent</v>
      </c>
      <c r="P190" s="27" t="str" cm="1">
        <f t="array" ref="P190">_xlfn.IFS(
AND(F190&gt;=750,H190&lt;=2),"Low Risk",
AND(F190&gt;=700,H190&lt;=5),"Medium Risk",
TRUE,"High Risk"
)</f>
        <v>High Risk</v>
      </c>
      <c r="Q190" s="5"/>
      <c r="R190" s="5"/>
      <c r="S190" s="5"/>
      <c r="T190" s="5"/>
      <c r="U190" s="5"/>
      <c r="V190" s="5"/>
      <c r="W190" s="5"/>
      <c r="X190" s="5"/>
      <c r="Y190" s="5"/>
    </row>
    <row r="191" spans="1:25" ht="15.75" customHeight="1" x14ac:dyDescent="0.25">
      <c r="A191" s="2">
        <v>43867</v>
      </c>
      <c r="B191" s="3">
        <v>86426</v>
      </c>
      <c r="C191" s="4" t="s">
        <v>20</v>
      </c>
      <c r="D191" s="4" t="str">
        <f t="shared" si="0"/>
        <v>Operation</v>
      </c>
      <c r="E191" s="4" t="str">
        <f t="shared" si="1"/>
        <v>Manager</v>
      </c>
      <c r="F191" s="13">
        <v>705</v>
      </c>
      <c r="G191" s="13">
        <v>2</v>
      </c>
      <c r="H191" s="13">
        <v>3</v>
      </c>
      <c r="I191" s="2">
        <v>30150</v>
      </c>
      <c r="J191" s="15">
        <v>748370</v>
      </c>
      <c r="K191" s="4" t="s">
        <v>14</v>
      </c>
      <c r="L191" s="27">
        <f t="shared" si="2"/>
        <v>1982</v>
      </c>
      <c r="M191" s="27">
        <f t="shared" si="3"/>
        <v>2</v>
      </c>
      <c r="N191" s="27">
        <f t="shared" ca="1" si="6"/>
        <v>44</v>
      </c>
      <c r="O191" s="27" t="str" cm="1">
        <f t="array" ref="O191">_xlfn.IFS($F191&gt;=750,"Excellent",$F191&gt;=700,"Good",$F191&gt;=650,"Moderate",
$F191&lt;650,"Risky"
)</f>
        <v>Good</v>
      </c>
      <c r="P191" s="27" t="str" cm="1">
        <f t="array" ref="P191">_xlfn.IFS(
AND(F191&gt;=750,H191&lt;=2),"Low Risk",
AND(F191&gt;=700,H191&lt;=5),"Medium Risk",
TRUE,"High Risk"
)</f>
        <v>Medium Risk</v>
      </c>
      <c r="Q191" s="5"/>
      <c r="R191" s="5"/>
      <c r="S191" s="5"/>
      <c r="T191" s="5"/>
      <c r="U191" s="5"/>
      <c r="V191" s="5"/>
      <c r="W191" s="5"/>
      <c r="X191" s="5"/>
      <c r="Y191" s="5"/>
    </row>
    <row r="192" spans="1:25" ht="15.75" customHeight="1" x14ac:dyDescent="0.25">
      <c r="A192" s="2">
        <v>44016</v>
      </c>
      <c r="B192" s="3">
        <v>82232</v>
      </c>
      <c r="C192" s="4" t="s">
        <v>32</v>
      </c>
      <c r="D192" s="4" t="str">
        <f t="shared" si="0"/>
        <v>Finance</v>
      </c>
      <c r="E192" s="4" t="str">
        <f t="shared" si="1"/>
        <v>Executive</v>
      </c>
      <c r="F192" s="13">
        <v>779</v>
      </c>
      <c r="G192" s="13">
        <v>1</v>
      </c>
      <c r="H192" s="13">
        <v>7</v>
      </c>
      <c r="I192" s="2">
        <v>33600</v>
      </c>
      <c r="J192" s="15">
        <v>906582</v>
      </c>
      <c r="K192" s="4" t="s">
        <v>18</v>
      </c>
      <c r="L192" s="27">
        <f t="shared" si="2"/>
        <v>1991</v>
      </c>
      <c r="M192" s="27">
        <f t="shared" si="3"/>
        <v>7</v>
      </c>
      <c r="N192" s="27">
        <f t="shared" ca="1" si="6"/>
        <v>35</v>
      </c>
      <c r="O192" s="27" t="str" cm="1">
        <f t="array" ref="O192">_xlfn.IFS($F192&gt;=750,"Excellent",$F192&gt;=700,"Good",$F192&gt;=650,"Moderate",
$F192&lt;650,"Risky"
)</f>
        <v>Excellent</v>
      </c>
      <c r="P192" s="27" t="str" cm="1">
        <f t="array" ref="P192">_xlfn.IFS(
AND(F192&gt;=750,H192&lt;=2),"Low Risk",
AND(F192&gt;=700,H192&lt;=5),"Medium Risk",
TRUE,"High Risk"
)</f>
        <v>High Risk</v>
      </c>
      <c r="Q192" s="5"/>
      <c r="R192" s="5"/>
      <c r="S192" s="5"/>
      <c r="T192" s="5"/>
      <c r="U192" s="5"/>
      <c r="V192" s="5"/>
      <c r="W192" s="5"/>
      <c r="X192" s="5"/>
      <c r="Y192" s="5"/>
    </row>
    <row r="193" spans="1:25" ht="15.75" customHeight="1" x14ac:dyDescent="0.25">
      <c r="A193" s="2">
        <v>43987</v>
      </c>
      <c r="B193" s="3">
        <v>79140</v>
      </c>
      <c r="C193" s="4" t="s">
        <v>25</v>
      </c>
      <c r="D193" s="4" t="str">
        <f t="shared" si="0"/>
        <v>Sales</v>
      </c>
      <c r="E193" s="4" t="str">
        <f t="shared" si="1"/>
        <v>Manager</v>
      </c>
      <c r="F193" s="13">
        <v>728</v>
      </c>
      <c r="G193" s="13">
        <v>5</v>
      </c>
      <c r="H193" s="13">
        <v>1</v>
      </c>
      <c r="I193" s="2">
        <v>30590</v>
      </c>
      <c r="J193" s="15">
        <v>613530</v>
      </c>
      <c r="K193" s="4" t="s">
        <v>21</v>
      </c>
      <c r="L193" s="27">
        <f t="shared" si="2"/>
        <v>1983</v>
      </c>
      <c r="M193" s="27">
        <f t="shared" si="3"/>
        <v>6</v>
      </c>
      <c r="N193" s="27">
        <f t="shared" ca="1" si="6"/>
        <v>43</v>
      </c>
      <c r="O193" s="27" t="str" cm="1">
        <f t="array" ref="O193">_xlfn.IFS($F193&gt;=750,"Excellent",$F193&gt;=700,"Good",$F193&gt;=650,"Moderate",
$F193&lt;650,"Risky"
)</f>
        <v>Good</v>
      </c>
      <c r="P193" s="27" t="str" cm="1">
        <f t="array" ref="P193">_xlfn.IFS(
AND(F193&gt;=750,H193&lt;=2),"Low Risk",
AND(F193&gt;=700,H193&lt;=5),"Medium Risk",
TRUE,"High Risk"
)</f>
        <v>Medium Risk</v>
      </c>
      <c r="Q193" s="5"/>
      <c r="R193" s="5"/>
      <c r="S193" s="5"/>
      <c r="T193" s="5"/>
      <c r="U193" s="5"/>
      <c r="V193" s="5"/>
      <c r="W193" s="5"/>
      <c r="X193" s="5"/>
      <c r="Y193" s="5"/>
    </row>
    <row r="194" spans="1:25" ht="15.75" customHeight="1" x14ac:dyDescent="0.25">
      <c r="A194" s="2">
        <v>43890</v>
      </c>
      <c r="B194" s="3">
        <v>69241</v>
      </c>
      <c r="C194" s="4" t="s">
        <v>15</v>
      </c>
      <c r="D194" s="4" t="str">
        <f t="shared" si="0"/>
        <v>Operation</v>
      </c>
      <c r="E194" s="4" t="str">
        <f t="shared" si="1"/>
        <v>Executive</v>
      </c>
      <c r="F194" s="13">
        <v>724</v>
      </c>
      <c r="G194" s="13">
        <v>2</v>
      </c>
      <c r="H194" s="13">
        <v>9</v>
      </c>
      <c r="I194" s="2">
        <v>33113</v>
      </c>
      <c r="J194" s="15">
        <v>719344</v>
      </c>
      <c r="K194" s="4" t="s">
        <v>18</v>
      </c>
      <c r="L194" s="27">
        <f t="shared" si="2"/>
        <v>1990</v>
      </c>
      <c r="M194" s="27">
        <f t="shared" si="3"/>
        <v>2</v>
      </c>
      <c r="N194" s="27">
        <f t="shared" ca="1" si="6"/>
        <v>36</v>
      </c>
      <c r="O194" s="27" t="str" cm="1">
        <f t="array" ref="O194">_xlfn.IFS($F194&gt;=750,"Excellent",$F194&gt;=700,"Good",$F194&gt;=650,"Moderate",
$F194&lt;650,"Risky"
)</f>
        <v>Good</v>
      </c>
      <c r="P194" s="27" t="str" cm="1">
        <f t="array" ref="P194">_xlfn.IFS(
AND(F194&gt;=750,H194&lt;=2),"Low Risk",
AND(F194&gt;=700,H194&lt;=5),"Medium Risk",
TRUE,"High Risk"
)</f>
        <v>High Risk</v>
      </c>
      <c r="Q194" s="5"/>
      <c r="R194" s="5"/>
      <c r="S194" s="5"/>
      <c r="T194" s="5"/>
      <c r="U194" s="5"/>
      <c r="V194" s="5"/>
      <c r="W194" s="5"/>
      <c r="X194" s="5"/>
      <c r="Y194" s="5"/>
    </row>
    <row r="195" spans="1:25" ht="15.75" customHeight="1" x14ac:dyDescent="0.25">
      <c r="A195" s="2">
        <v>44091</v>
      </c>
      <c r="B195" s="3">
        <v>19458</v>
      </c>
      <c r="C195" s="4" t="s">
        <v>33</v>
      </c>
      <c r="D195" s="4" t="str">
        <f t="shared" si="0"/>
        <v>Sales</v>
      </c>
      <c r="E195" s="4" t="str">
        <f t="shared" si="1"/>
        <v>Executive</v>
      </c>
      <c r="F195" s="13">
        <v>743</v>
      </c>
      <c r="G195" s="13">
        <v>2</v>
      </c>
      <c r="H195" s="13">
        <v>8</v>
      </c>
      <c r="I195" s="2">
        <v>32555</v>
      </c>
      <c r="J195" s="15">
        <v>722962</v>
      </c>
      <c r="K195" s="4" t="s">
        <v>21</v>
      </c>
      <c r="L195" s="27">
        <f t="shared" si="2"/>
        <v>1989</v>
      </c>
      <c r="M195" s="27">
        <f t="shared" si="3"/>
        <v>9</v>
      </c>
      <c r="N195" s="27">
        <f t="shared" ref="N195:N258" ca="1" si="7" xml:space="preserve"> YEAR(TODAY()) - $L195</f>
        <v>37</v>
      </c>
      <c r="O195" s="27" t="str" cm="1">
        <f t="array" ref="O195">_xlfn.IFS($F195&gt;=750,"Excellent",$F195&gt;=700,"Good",$F195&gt;=650,"Moderate",
$F195&lt;650,"Risky"
)</f>
        <v>Good</v>
      </c>
      <c r="P195" s="27" t="str" cm="1">
        <f t="array" ref="P195">_xlfn.IFS(
AND(F195&gt;=750,H195&lt;=2),"Low Risk",
AND(F195&gt;=700,H195&lt;=5),"Medium Risk",
TRUE,"High Risk"
)</f>
        <v>High Risk</v>
      </c>
      <c r="Q195" s="5"/>
      <c r="R195" s="5"/>
      <c r="S195" s="5"/>
      <c r="T195" s="5"/>
      <c r="U195" s="5"/>
      <c r="V195" s="5"/>
      <c r="W195" s="5"/>
      <c r="X195" s="5"/>
      <c r="Y195" s="5"/>
    </row>
    <row r="196" spans="1:25" ht="15.75" customHeight="1" x14ac:dyDescent="0.25">
      <c r="A196" s="2">
        <v>44026</v>
      </c>
      <c r="B196" s="3">
        <v>77604</v>
      </c>
      <c r="C196" s="4" t="s">
        <v>20</v>
      </c>
      <c r="D196" s="4" t="str">
        <f t="shared" si="0"/>
        <v>Operation</v>
      </c>
      <c r="E196" s="4" t="str">
        <f t="shared" si="1"/>
        <v>Manager</v>
      </c>
      <c r="F196" s="13">
        <v>724</v>
      </c>
      <c r="G196" s="13">
        <v>1</v>
      </c>
      <c r="H196" s="13">
        <v>4</v>
      </c>
      <c r="I196" s="2">
        <v>33781</v>
      </c>
      <c r="J196" s="15">
        <v>749530</v>
      </c>
      <c r="K196" s="4" t="s">
        <v>21</v>
      </c>
      <c r="L196" s="27">
        <f t="shared" si="2"/>
        <v>1992</v>
      </c>
      <c r="M196" s="27">
        <f t="shared" si="3"/>
        <v>7</v>
      </c>
      <c r="N196" s="27">
        <f t="shared" ca="1" si="7"/>
        <v>34</v>
      </c>
      <c r="O196" s="27" t="str" cm="1">
        <f t="array" ref="O196">_xlfn.IFS($F196&gt;=750,"Excellent",$F196&gt;=700,"Good",$F196&gt;=650,"Moderate",
$F196&lt;650,"Risky"
)</f>
        <v>Good</v>
      </c>
      <c r="P196" s="27" t="str" cm="1">
        <f t="array" ref="P196">_xlfn.IFS(
AND(F196&gt;=750,H196&lt;=2),"Low Risk",
AND(F196&gt;=700,H196&lt;=5),"Medium Risk",
TRUE,"High Risk"
)</f>
        <v>Medium Risk</v>
      </c>
      <c r="Q196" s="5"/>
      <c r="R196" s="5"/>
      <c r="S196" s="5"/>
      <c r="T196" s="5"/>
      <c r="U196" s="5"/>
      <c r="V196" s="5"/>
      <c r="W196" s="5"/>
      <c r="X196" s="5"/>
      <c r="Y196" s="5"/>
    </row>
    <row r="197" spans="1:25" ht="15.75" customHeight="1" x14ac:dyDescent="0.25">
      <c r="A197" s="2">
        <v>43965</v>
      </c>
      <c r="B197" s="3">
        <v>84072</v>
      </c>
      <c r="C197" s="4" t="s">
        <v>33</v>
      </c>
      <c r="D197" s="4" t="str">
        <f t="shared" si="0"/>
        <v>Sales</v>
      </c>
      <c r="E197" s="4" t="str">
        <f t="shared" si="1"/>
        <v>Executive</v>
      </c>
      <c r="F197" s="13">
        <v>766</v>
      </c>
      <c r="G197" s="13">
        <v>4</v>
      </c>
      <c r="H197" s="13">
        <v>5</v>
      </c>
      <c r="I197" s="2">
        <v>32580</v>
      </c>
      <c r="J197" s="15">
        <v>788515</v>
      </c>
      <c r="K197" s="4" t="s">
        <v>14</v>
      </c>
      <c r="L197" s="27">
        <f t="shared" si="2"/>
        <v>1989</v>
      </c>
      <c r="M197" s="27">
        <f t="shared" si="3"/>
        <v>5</v>
      </c>
      <c r="N197" s="27">
        <f t="shared" ca="1" si="7"/>
        <v>37</v>
      </c>
      <c r="O197" s="27" t="str" cm="1">
        <f t="array" ref="O197">_xlfn.IFS($F197&gt;=750,"Excellent",$F197&gt;=700,"Good",$F197&gt;=650,"Moderate",
$F197&lt;650,"Risky"
)</f>
        <v>Excellent</v>
      </c>
      <c r="P197" s="27" t="str" cm="1">
        <f t="array" ref="P197">_xlfn.IFS(
AND(F197&gt;=750,H197&lt;=2),"Low Risk",
AND(F197&gt;=700,H197&lt;=5),"Medium Risk",
TRUE,"High Risk"
)</f>
        <v>Medium Risk</v>
      </c>
      <c r="Q197" s="5"/>
      <c r="R197" s="5"/>
      <c r="S197" s="5"/>
      <c r="T197" s="5"/>
      <c r="U197" s="5"/>
      <c r="V197" s="5"/>
      <c r="W197" s="5"/>
      <c r="X197" s="5"/>
      <c r="Y197" s="5"/>
    </row>
    <row r="198" spans="1:25" ht="15.75" customHeight="1" x14ac:dyDescent="0.25">
      <c r="A198" s="2">
        <v>44175</v>
      </c>
      <c r="B198" s="3">
        <v>16009</v>
      </c>
      <c r="C198" s="4" t="s">
        <v>35</v>
      </c>
      <c r="D198" s="4" t="str">
        <f t="shared" si="0"/>
        <v>Growth</v>
      </c>
      <c r="E198" s="4" t="str">
        <f t="shared" si="1"/>
        <v>Intern</v>
      </c>
      <c r="F198" s="13">
        <v>729</v>
      </c>
      <c r="G198" s="13">
        <v>3</v>
      </c>
      <c r="H198" s="13">
        <v>9</v>
      </c>
      <c r="I198" s="2">
        <v>32621</v>
      </c>
      <c r="J198" s="15">
        <v>526025</v>
      </c>
      <c r="K198" s="4" t="s">
        <v>14</v>
      </c>
      <c r="L198" s="27">
        <f t="shared" si="2"/>
        <v>1989</v>
      </c>
      <c r="M198" s="27">
        <f t="shared" si="3"/>
        <v>12</v>
      </c>
      <c r="N198" s="27">
        <f t="shared" ca="1" si="7"/>
        <v>37</v>
      </c>
      <c r="O198" s="27" t="str" cm="1">
        <f t="array" ref="O198">_xlfn.IFS($F198&gt;=750,"Excellent",$F198&gt;=700,"Good",$F198&gt;=650,"Moderate",
$F198&lt;650,"Risky"
)</f>
        <v>Good</v>
      </c>
      <c r="P198" s="27" t="str" cm="1">
        <f t="array" ref="P198">_xlfn.IFS(
AND(F198&gt;=750,H198&lt;=2),"Low Risk",
AND(F198&gt;=700,H198&lt;=5),"Medium Risk",
TRUE,"High Risk"
)</f>
        <v>High Risk</v>
      </c>
      <c r="Q198" s="5"/>
      <c r="R198" s="5"/>
      <c r="S198" s="5"/>
      <c r="T198" s="5"/>
      <c r="U198" s="5"/>
      <c r="V198" s="5"/>
      <c r="W198" s="5"/>
      <c r="X198" s="5"/>
      <c r="Y198" s="5"/>
    </row>
    <row r="199" spans="1:25" ht="15.75" customHeight="1" x14ac:dyDescent="0.25">
      <c r="A199" s="2">
        <v>43864</v>
      </c>
      <c r="B199" s="3">
        <v>85826</v>
      </c>
      <c r="C199" s="4" t="s">
        <v>35</v>
      </c>
      <c r="D199" s="4" t="str">
        <f t="shared" si="0"/>
        <v>Growth</v>
      </c>
      <c r="E199" s="4" t="str">
        <f t="shared" si="1"/>
        <v>Intern</v>
      </c>
      <c r="F199" s="13">
        <v>754</v>
      </c>
      <c r="G199" s="13">
        <v>5</v>
      </c>
      <c r="H199" s="13">
        <v>1</v>
      </c>
      <c r="I199" s="2">
        <v>29288</v>
      </c>
      <c r="J199" s="15">
        <v>747215</v>
      </c>
      <c r="K199" s="4" t="s">
        <v>18</v>
      </c>
      <c r="L199" s="27">
        <f t="shared" si="2"/>
        <v>1980</v>
      </c>
      <c r="M199" s="27">
        <f t="shared" si="3"/>
        <v>2</v>
      </c>
      <c r="N199" s="27">
        <f t="shared" ca="1" si="7"/>
        <v>46</v>
      </c>
      <c r="O199" s="27" t="str" cm="1">
        <f t="array" ref="O199">_xlfn.IFS($F199&gt;=750,"Excellent",$F199&gt;=700,"Good",$F199&gt;=650,"Moderate",
$F199&lt;650,"Risky"
)</f>
        <v>Excellent</v>
      </c>
      <c r="P199" s="27" t="str" cm="1">
        <f t="array" ref="P199">_xlfn.IFS(
AND(F199&gt;=750,H199&lt;=2),"Low Risk",
AND(F199&gt;=700,H199&lt;=5),"Medium Risk",
TRUE,"High Risk"
)</f>
        <v>Low Risk</v>
      </c>
      <c r="Q199" s="5"/>
      <c r="R199" s="5"/>
      <c r="S199" s="5"/>
      <c r="T199" s="5"/>
      <c r="U199" s="5"/>
      <c r="V199" s="5"/>
      <c r="W199" s="5"/>
      <c r="X199" s="5"/>
      <c r="Y199" s="5"/>
    </row>
    <row r="200" spans="1:25" ht="15.75" customHeight="1" x14ac:dyDescent="0.25">
      <c r="A200" s="2">
        <v>44165</v>
      </c>
      <c r="B200" s="3">
        <v>36067</v>
      </c>
      <c r="C200" s="4" t="s">
        <v>13</v>
      </c>
      <c r="D200" s="4" t="str">
        <f t="shared" si="0"/>
        <v>Marketing</v>
      </c>
      <c r="E200" s="4" t="str">
        <f t="shared" si="1"/>
        <v>Director</v>
      </c>
      <c r="F200" s="13">
        <v>724</v>
      </c>
      <c r="G200" s="13">
        <v>2</v>
      </c>
      <c r="H200" s="13">
        <v>6</v>
      </c>
      <c r="I200" s="2">
        <v>31204</v>
      </c>
      <c r="J200" s="15">
        <v>874441</v>
      </c>
      <c r="K200" s="4" t="s">
        <v>21</v>
      </c>
      <c r="L200" s="27">
        <f t="shared" si="2"/>
        <v>1985</v>
      </c>
      <c r="M200" s="27">
        <f t="shared" si="3"/>
        <v>11</v>
      </c>
      <c r="N200" s="27">
        <f t="shared" ca="1" si="7"/>
        <v>41</v>
      </c>
      <c r="O200" s="27" t="str" cm="1">
        <f t="array" ref="O200">_xlfn.IFS($F200&gt;=750,"Excellent",$F200&gt;=700,"Good",$F200&gt;=650,"Moderate",
$F200&lt;650,"Risky"
)</f>
        <v>Good</v>
      </c>
      <c r="P200" s="27" t="str" cm="1">
        <f t="array" ref="P200">_xlfn.IFS(
AND(F200&gt;=750,H200&lt;=2),"Low Risk",
AND(F200&gt;=700,H200&lt;=5),"Medium Risk",
TRUE,"High Risk"
)</f>
        <v>High Risk</v>
      </c>
      <c r="Q200" s="5"/>
      <c r="R200" s="5"/>
      <c r="S200" s="5"/>
      <c r="T200" s="5"/>
      <c r="U200" s="5"/>
      <c r="V200" s="5"/>
      <c r="W200" s="5"/>
      <c r="X200" s="5"/>
      <c r="Y200" s="5"/>
    </row>
    <row r="201" spans="1:25" ht="15.75" customHeight="1" x14ac:dyDescent="0.25">
      <c r="A201" s="2">
        <v>44022</v>
      </c>
      <c r="B201" s="3">
        <v>66036</v>
      </c>
      <c r="C201" s="4" t="s">
        <v>31</v>
      </c>
      <c r="D201" s="4" t="str">
        <f t="shared" si="0"/>
        <v>Finance</v>
      </c>
      <c r="E201" s="4" t="str">
        <f t="shared" si="1"/>
        <v>Intern</v>
      </c>
      <c r="F201" s="13">
        <v>792</v>
      </c>
      <c r="G201" s="13">
        <v>4</v>
      </c>
      <c r="H201" s="13">
        <v>7</v>
      </c>
      <c r="I201" s="2">
        <v>31795</v>
      </c>
      <c r="J201" s="15">
        <v>679361</v>
      </c>
      <c r="K201" s="4" t="s">
        <v>21</v>
      </c>
      <c r="L201" s="27">
        <f t="shared" si="2"/>
        <v>1987</v>
      </c>
      <c r="M201" s="27">
        <f t="shared" si="3"/>
        <v>7</v>
      </c>
      <c r="N201" s="27">
        <f t="shared" ca="1" si="7"/>
        <v>39</v>
      </c>
      <c r="O201" s="27" t="str" cm="1">
        <f t="array" ref="O201">_xlfn.IFS($F201&gt;=750,"Excellent",$F201&gt;=700,"Good",$F201&gt;=650,"Moderate",
$F201&lt;650,"Risky"
)</f>
        <v>Excellent</v>
      </c>
      <c r="P201" s="27" t="str" cm="1">
        <f t="array" ref="P201">_xlfn.IFS(
AND(F201&gt;=750,H201&lt;=2),"Low Risk",
AND(F201&gt;=700,H201&lt;=5),"Medium Risk",
TRUE,"High Risk"
)</f>
        <v>High Risk</v>
      </c>
      <c r="Q201" s="5"/>
      <c r="R201" s="5"/>
      <c r="S201" s="5"/>
      <c r="T201" s="5"/>
      <c r="U201" s="5"/>
      <c r="V201" s="5"/>
      <c r="W201" s="5"/>
      <c r="X201" s="5"/>
      <c r="Y201" s="5"/>
    </row>
    <row r="202" spans="1:25" ht="15.75" customHeight="1" x14ac:dyDescent="0.25">
      <c r="A202" s="2">
        <v>44120</v>
      </c>
      <c r="B202" s="3">
        <v>41046</v>
      </c>
      <c r="C202" s="4" t="s">
        <v>39</v>
      </c>
      <c r="D202" s="4" t="str">
        <f t="shared" si="0"/>
        <v>Growth</v>
      </c>
      <c r="E202" s="4" t="str">
        <f t="shared" si="1"/>
        <v>Executive</v>
      </c>
      <c r="F202" s="13">
        <v>734</v>
      </c>
      <c r="G202" s="13">
        <v>2</v>
      </c>
      <c r="H202" s="13">
        <v>1</v>
      </c>
      <c r="I202" s="2">
        <v>31981</v>
      </c>
      <c r="J202" s="15">
        <v>509458</v>
      </c>
      <c r="K202" s="4" t="s">
        <v>21</v>
      </c>
      <c r="L202" s="27">
        <f t="shared" si="2"/>
        <v>1987</v>
      </c>
      <c r="M202" s="27">
        <f t="shared" si="3"/>
        <v>10</v>
      </c>
      <c r="N202" s="27">
        <f t="shared" ca="1" si="7"/>
        <v>39</v>
      </c>
      <c r="O202" s="27" t="str" cm="1">
        <f t="array" ref="O202">_xlfn.IFS($F202&gt;=750,"Excellent",$F202&gt;=700,"Good",$F202&gt;=650,"Moderate",
$F202&lt;650,"Risky"
)</f>
        <v>Good</v>
      </c>
      <c r="P202" s="27" t="str" cm="1">
        <f t="array" ref="P202">_xlfn.IFS(
AND(F202&gt;=750,H202&lt;=2),"Low Risk",
AND(F202&gt;=700,H202&lt;=5),"Medium Risk",
TRUE,"High Risk"
)</f>
        <v>Medium Risk</v>
      </c>
      <c r="Q202" s="5"/>
      <c r="R202" s="5"/>
      <c r="S202" s="5"/>
      <c r="T202" s="5"/>
      <c r="U202" s="5"/>
      <c r="V202" s="5"/>
      <c r="W202" s="5"/>
      <c r="X202" s="5"/>
      <c r="Y202" s="5"/>
    </row>
    <row r="203" spans="1:25" ht="15.75" customHeight="1" x14ac:dyDescent="0.25">
      <c r="A203" s="2">
        <v>43842</v>
      </c>
      <c r="B203" s="3">
        <v>64623</v>
      </c>
      <c r="C203" s="4" t="s">
        <v>32</v>
      </c>
      <c r="D203" s="4" t="str">
        <f t="shared" si="0"/>
        <v>Finance</v>
      </c>
      <c r="E203" s="4" t="str">
        <f t="shared" si="1"/>
        <v>Executive</v>
      </c>
      <c r="F203" s="13">
        <v>759</v>
      </c>
      <c r="G203" s="13">
        <v>1</v>
      </c>
      <c r="H203" s="13">
        <v>1</v>
      </c>
      <c r="I203" s="2">
        <v>31717</v>
      </c>
      <c r="J203" s="15">
        <v>874108</v>
      </c>
      <c r="K203" s="4" t="s">
        <v>14</v>
      </c>
      <c r="L203" s="27">
        <f t="shared" si="2"/>
        <v>1986</v>
      </c>
      <c r="M203" s="27">
        <f t="shared" si="3"/>
        <v>1</v>
      </c>
      <c r="N203" s="27">
        <f t="shared" ca="1" si="7"/>
        <v>40</v>
      </c>
      <c r="O203" s="27" t="str" cm="1">
        <f t="array" ref="O203">_xlfn.IFS($F203&gt;=750,"Excellent",$F203&gt;=700,"Good",$F203&gt;=650,"Moderate",
$F203&lt;650,"Risky"
)</f>
        <v>Excellent</v>
      </c>
      <c r="P203" s="27" t="str" cm="1">
        <f t="array" ref="P203">_xlfn.IFS(
AND(F203&gt;=750,H203&lt;=2),"Low Risk",
AND(F203&gt;=700,H203&lt;=5),"Medium Risk",
TRUE,"High Risk"
)</f>
        <v>Low Risk</v>
      </c>
      <c r="Q203" s="5"/>
      <c r="R203" s="5"/>
      <c r="S203" s="5"/>
      <c r="T203" s="5"/>
      <c r="U203" s="5"/>
      <c r="V203" s="5"/>
      <c r="W203" s="5"/>
      <c r="X203" s="5"/>
      <c r="Y203" s="5"/>
    </row>
    <row r="204" spans="1:25" ht="15.75" customHeight="1" x14ac:dyDescent="0.25">
      <c r="A204" s="2">
        <v>44091</v>
      </c>
      <c r="B204" s="3">
        <v>51441</v>
      </c>
      <c r="C204" s="4" t="s">
        <v>17</v>
      </c>
      <c r="D204" s="4" t="str">
        <f t="shared" si="0"/>
        <v>Growth</v>
      </c>
      <c r="E204" s="4" t="str">
        <f t="shared" si="1"/>
        <v>Manager</v>
      </c>
      <c r="F204" s="13">
        <v>762</v>
      </c>
      <c r="G204" s="13">
        <v>4</v>
      </c>
      <c r="H204" s="13">
        <v>6</v>
      </c>
      <c r="I204" s="2">
        <v>34077</v>
      </c>
      <c r="J204" s="15">
        <v>957814</v>
      </c>
      <c r="K204" s="4" t="s">
        <v>14</v>
      </c>
      <c r="L204" s="27">
        <f t="shared" si="2"/>
        <v>1993</v>
      </c>
      <c r="M204" s="27">
        <f t="shared" si="3"/>
        <v>9</v>
      </c>
      <c r="N204" s="27">
        <f t="shared" ca="1" si="7"/>
        <v>33</v>
      </c>
      <c r="O204" s="27" t="str" cm="1">
        <f t="array" ref="O204">_xlfn.IFS($F204&gt;=750,"Excellent",$F204&gt;=700,"Good",$F204&gt;=650,"Moderate",
$F204&lt;650,"Risky"
)</f>
        <v>Excellent</v>
      </c>
      <c r="P204" s="27" t="str" cm="1">
        <f t="array" ref="P204">_xlfn.IFS(
AND(F204&gt;=750,H204&lt;=2),"Low Risk",
AND(F204&gt;=700,H204&lt;=5),"Medium Risk",
TRUE,"High Risk"
)</f>
        <v>High Risk</v>
      </c>
      <c r="Q204" s="5"/>
      <c r="R204" s="5"/>
      <c r="S204" s="5"/>
      <c r="T204" s="5"/>
      <c r="U204" s="5"/>
      <c r="V204" s="5"/>
      <c r="W204" s="5"/>
      <c r="X204" s="5"/>
      <c r="Y204" s="5"/>
    </row>
    <row r="205" spans="1:25" ht="15.75" customHeight="1" x14ac:dyDescent="0.25">
      <c r="A205" s="2">
        <v>44093</v>
      </c>
      <c r="B205" s="3">
        <v>92190</v>
      </c>
      <c r="C205" s="4" t="s">
        <v>24</v>
      </c>
      <c r="D205" s="4" t="str">
        <f t="shared" si="0"/>
        <v>Strategy</v>
      </c>
      <c r="E205" s="4" t="str">
        <f t="shared" si="1"/>
        <v>Intern</v>
      </c>
      <c r="F205" s="13">
        <v>734</v>
      </c>
      <c r="G205" s="13">
        <v>4</v>
      </c>
      <c r="H205" s="13">
        <v>10</v>
      </c>
      <c r="I205" s="2">
        <v>31247</v>
      </c>
      <c r="J205" s="15">
        <v>587194</v>
      </c>
      <c r="K205" s="4" t="s">
        <v>14</v>
      </c>
      <c r="L205" s="27">
        <f t="shared" si="2"/>
        <v>1985</v>
      </c>
      <c r="M205" s="27">
        <f t="shared" si="3"/>
        <v>9</v>
      </c>
      <c r="N205" s="27">
        <f t="shared" ca="1" si="7"/>
        <v>41</v>
      </c>
      <c r="O205" s="27" t="str" cm="1">
        <f t="array" ref="O205">_xlfn.IFS($F205&gt;=750,"Excellent",$F205&gt;=700,"Good",$F205&gt;=650,"Moderate",
$F205&lt;650,"Risky"
)</f>
        <v>Good</v>
      </c>
      <c r="P205" s="27" t="str" cm="1">
        <f t="array" ref="P205">_xlfn.IFS(
AND(F205&gt;=750,H205&lt;=2),"Low Risk",
AND(F205&gt;=700,H205&lt;=5),"Medium Risk",
TRUE,"High Risk"
)</f>
        <v>High Risk</v>
      </c>
      <c r="Q205" s="5"/>
      <c r="R205" s="5"/>
      <c r="S205" s="5"/>
      <c r="T205" s="5"/>
      <c r="U205" s="5"/>
      <c r="V205" s="5"/>
      <c r="W205" s="5"/>
      <c r="X205" s="5"/>
      <c r="Y205" s="5"/>
    </row>
    <row r="206" spans="1:25" ht="15.75" customHeight="1" x14ac:dyDescent="0.25">
      <c r="A206" s="2">
        <v>44166</v>
      </c>
      <c r="B206" s="3">
        <v>47213</v>
      </c>
      <c r="C206" s="4" t="s">
        <v>13</v>
      </c>
      <c r="D206" s="4" t="str">
        <f t="shared" si="0"/>
        <v>Marketing</v>
      </c>
      <c r="E206" s="4" t="str">
        <f t="shared" si="1"/>
        <v>Director</v>
      </c>
      <c r="F206" s="13">
        <v>751</v>
      </c>
      <c r="G206" s="13">
        <v>3</v>
      </c>
      <c r="H206" s="13">
        <v>8</v>
      </c>
      <c r="I206" s="2">
        <v>31422</v>
      </c>
      <c r="J206" s="15">
        <v>695601</v>
      </c>
      <c r="K206" s="4" t="s">
        <v>18</v>
      </c>
      <c r="L206" s="27">
        <f t="shared" si="2"/>
        <v>1986</v>
      </c>
      <c r="M206" s="27">
        <f t="shared" si="3"/>
        <v>12</v>
      </c>
      <c r="N206" s="27">
        <f t="shared" ca="1" si="7"/>
        <v>40</v>
      </c>
      <c r="O206" s="27" t="str" cm="1">
        <f t="array" ref="O206">_xlfn.IFS($F206&gt;=750,"Excellent",$F206&gt;=700,"Good",$F206&gt;=650,"Moderate",
$F206&lt;650,"Risky"
)</f>
        <v>Excellent</v>
      </c>
      <c r="P206" s="27" t="str" cm="1">
        <f t="array" ref="P206">_xlfn.IFS(
AND(F206&gt;=750,H206&lt;=2),"Low Risk",
AND(F206&gt;=700,H206&lt;=5),"Medium Risk",
TRUE,"High Risk"
)</f>
        <v>High Risk</v>
      </c>
      <c r="Q206" s="5"/>
      <c r="R206" s="5"/>
      <c r="S206" s="5"/>
      <c r="T206" s="5"/>
      <c r="U206" s="5"/>
      <c r="V206" s="5"/>
      <c r="W206" s="5"/>
      <c r="X206" s="5"/>
      <c r="Y206" s="5"/>
    </row>
    <row r="207" spans="1:25" ht="15.75" customHeight="1" x14ac:dyDescent="0.25">
      <c r="A207" s="2">
        <v>44127</v>
      </c>
      <c r="B207" s="3">
        <v>40265</v>
      </c>
      <c r="C207" s="4" t="s">
        <v>13</v>
      </c>
      <c r="D207" s="4" t="str">
        <f t="shared" si="0"/>
        <v>Marketing</v>
      </c>
      <c r="E207" s="4" t="str">
        <f t="shared" si="1"/>
        <v>Director</v>
      </c>
      <c r="F207" s="13">
        <v>711</v>
      </c>
      <c r="G207" s="13">
        <v>5</v>
      </c>
      <c r="H207" s="13">
        <v>6</v>
      </c>
      <c r="I207" s="2">
        <v>33917</v>
      </c>
      <c r="J207" s="15">
        <v>514501</v>
      </c>
      <c r="K207" s="4" t="s">
        <v>14</v>
      </c>
      <c r="L207" s="27">
        <f t="shared" si="2"/>
        <v>1992</v>
      </c>
      <c r="M207" s="27">
        <f t="shared" si="3"/>
        <v>10</v>
      </c>
      <c r="N207" s="27">
        <f t="shared" ca="1" si="7"/>
        <v>34</v>
      </c>
      <c r="O207" s="27" t="str" cm="1">
        <f t="array" ref="O207">_xlfn.IFS($F207&gt;=750,"Excellent",$F207&gt;=700,"Good",$F207&gt;=650,"Moderate",
$F207&lt;650,"Risky"
)</f>
        <v>Good</v>
      </c>
      <c r="P207" s="27" t="str" cm="1">
        <f t="array" ref="P207">_xlfn.IFS(
AND(F207&gt;=750,H207&lt;=2),"Low Risk",
AND(F207&gt;=700,H207&lt;=5),"Medium Risk",
TRUE,"High Risk"
)</f>
        <v>High Risk</v>
      </c>
      <c r="Q207" s="5"/>
      <c r="R207" s="5"/>
      <c r="S207" s="5"/>
      <c r="T207" s="5"/>
      <c r="U207" s="5"/>
      <c r="V207" s="5"/>
      <c r="W207" s="5"/>
      <c r="X207" s="5"/>
      <c r="Y207" s="5"/>
    </row>
    <row r="208" spans="1:25" ht="15.75" customHeight="1" x14ac:dyDescent="0.25">
      <c r="A208" s="2">
        <v>44125</v>
      </c>
      <c r="B208" s="3">
        <v>49338</v>
      </c>
      <c r="C208" s="4" t="s">
        <v>15</v>
      </c>
      <c r="D208" s="4" t="str">
        <f t="shared" si="0"/>
        <v>Operation</v>
      </c>
      <c r="E208" s="4" t="str">
        <f t="shared" si="1"/>
        <v>Executive</v>
      </c>
      <c r="F208" s="13">
        <v>746</v>
      </c>
      <c r="G208" s="13">
        <v>4</v>
      </c>
      <c r="H208" s="13">
        <v>7</v>
      </c>
      <c r="I208" s="2">
        <v>34061</v>
      </c>
      <c r="J208" s="15">
        <v>809272</v>
      </c>
      <c r="K208" s="4" t="s">
        <v>21</v>
      </c>
      <c r="L208" s="27">
        <f t="shared" si="2"/>
        <v>1993</v>
      </c>
      <c r="M208" s="27">
        <f t="shared" si="3"/>
        <v>10</v>
      </c>
      <c r="N208" s="27">
        <f t="shared" ca="1" si="7"/>
        <v>33</v>
      </c>
      <c r="O208" s="27" t="str" cm="1">
        <f t="array" ref="O208">_xlfn.IFS($F208&gt;=750,"Excellent",$F208&gt;=700,"Good",$F208&gt;=650,"Moderate",
$F208&lt;650,"Risky"
)</f>
        <v>Good</v>
      </c>
      <c r="P208" s="27" t="str" cm="1">
        <f t="array" ref="P208">_xlfn.IFS(
AND(F208&gt;=750,H208&lt;=2),"Low Risk",
AND(F208&gt;=700,H208&lt;=5),"Medium Risk",
TRUE,"High Risk"
)</f>
        <v>High Risk</v>
      </c>
      <c r="Q208" s="5"/>
      <c r="R208" s="5"/>
      <c r="S208" s="5"/>
      <c r="T208" s="5"/>
      <c r="U208" s="5"/>
      <c r="V208" s="5"/>
      <c r="W208" s="5"/>
      <c r="X208" s="5"/>
      <c r="Y208" s="5"/>
    </row>
    <row r="209" spans="1:25" ht="15.75" customHeight="1" x14ac:dyDescent="0.25">
      <c r="A209" s="2">
        <v>44060</v>
      </c>
      <c r="B209" s="3">
        <v>58998</v>
      </c>
      <c r="C209" s="4" t="s">
        <v>32</v>
      </c>
      <c r="D209" s="4" t="str">
        <f t="shared" si="0"/>
        <v>Finance</v>
      </c>
      <c r="E209" s="4" t="str">
        <f t="shared" si="1"/>
        <v>Executive</v>
      </c>
      <c r="F209" s="13">
        <v>772</v>
      </c>
      <c r="G209" s="13">
        <v>2</v>
      </c>
      <c r="H209" s="13">
        <v>7</v>
      </c>
      <c r="I209" s="2">
        <v>30973</v>
      </c>
      <c r="J209" s="15">
        <v>663270</v>
      </c>
      <c r="K209" s="4" t="s">
        <v>18</v>
      </c>
      <c r="L209" s="27">
        <f t="shared" si="2"/>
        <v>1984</v>
      </c>
      <c r="M209" s="27">
        <f t="shared" si="3"/>
        <v>8</v>
      </c>
      <c r="N209" s="27">
        <f t="shared" ca="1" si="7"/>
        <v>42</v>
      </c>
      <c r="O209" s="27" t="str" cm="1">
        <f t="array" ref="O209">_xlfn.IFS($F209&gt;=750,"Excellent",$F209&gt;=700,"Good",$F209&gt;=650,"Moderate",
$F209&lt;650,"Risky"
)</f>
        <v>Excellent</v>
      </c>
      <c r="P209" s="27" t="str" cm="1">
        <f t="array" ref="P209">_xlfn.IFS(
AND(F209&gt;=750,H209&lt;=2),"Low Risk",
AND(F209&gt;=700,H209&lt;=5),"Medium Risk",
TRUE,"High Risk"
)</f>
        <v>High Risk</v>
      </c>
      <c r="Q209" s="5"/>
      <c r="R209" s="5"/>
      <c r="S209" s="5"/>
      <c r="T209" s="5"/>
      <c r="U209" s="5"/>
      <c r="V209" s="5"/>
      <c r="W209" s="5"/>
      <c r="X209" s="5"/>
      <c r="Y209" s="5"/>
    </row>
    <row r="210" spans="1:25" ht="15.75" customHeight="1" x14ac:dyDescent="0.25">
      <c r="A210" s="2">
        <v>43833</v>
      </c>
      <c r="B210" s="3">
        <v>71341</v>
      </c>
      <c r="C210" s="4" t="s">
        <v>36</v>
      </c>
      <c r="D210" s="4" t="str">
        <f t="shared" si="0"/>
        <v>Sales</v>
      </c>
      <c r="E210" s="4" t="str">
        <f t="shared" si="1"/>
        <v>Intern</v>
      </c>
      <c r="F210" s="13">
        <v>700</v>
      </c>
      <c r="G210" s="13">
        <v>4</v>
      </c>
      <c r="H210" s="13">
        <v>8</v>
      </c>
      <c r="I210" s="2">
        <v>33096</v>
      </c>
      <c r="J210" s="15">
        <v>548429</v>
      </c>
      <c r="K210" s="4" t="s">
        <v>18</v>
      </c>
      <c r="L210" s="27">
        <f t="shared" si="2"/>
        <v>1990</v>
      </c>
      <c r="M210" s="27">
        <f t="shared" si="3"/>
        <v>1</v>
      </c>
      <c r="N210" s="27">
        <f t="shared" ca="1" si="7"/>
        <v>36</v>
      </c>
      <c r="O210" s="27" t="str" cm="1">
        <f t="array" ref="O210">_xlfn.IFS($F210&gt;=750,"Excellent",$F210&gt;=700,"Good",$F210&gt;=650,"Moderate",
$F210&lt;650,"Risky"
)</f>
        <v>Good</v>
      </c>
      <c r="P210" s="27" t="str" cm="1">
        <f t="array" ref="P210">_xlfn.IFS(
AND(F210&gt;=750,H210&lt;=2),"Low Risk",
AND(F210&gt;=700,H210&lt;=5),"Medium Risk",
TRUE,"High Risk"
)</f>
        <v>High Risk</v>
      </c>
      <c r="Q210" s="5"/>
      <c r="R210" s="5"/>
      <c r="S210" s="5"/>
      <c r="T210" s="5"/>
      <c r="U210" s="5"/>
      <c r="V210" s="5"/>
      <c r="W210" s="5"/>
      <c r="X210" s="5"/>
      <c r="Y210" s="5"/>
    </row>
    <row r="211" spans="1:25" ht="15.75" customHeight="1" x14ac:dyDescent="0.25">
      <c r="A211" s="2">
        <v>43905</v>
      </c>
      <c r="B211" s="3">
        <v>13310</v>
      </c>
      <c r="C211" s="4" t="s">
        <v>28</v>
      </c>
      <c r="D211" s="4" t="str">
        <f t="shared" si="0"/>
        <v>Growth</v>
      </c>
      <c r="E211" s="4" t="str">
        <f t="shared" si="1"/>
        <v>Director</v>
      </c>
      <c r="F211" s="13">
        <v>750</v>
      </c>
      <c r="G211" s="13">
        <v>1</v>
      </c>
      <c r="H211" s="13">
        <v>7</v>
      </c>
      <c r="I211" s="2">
        <v>33323</v>
      </c>
      <c r="J211" s="15">
        <v>878663</v>
      </c>
      <c r="K211" s="4" t="s">
        <v>21</v>
      </c>
      <c r="L211" s="27">
        <f t="shared" si="2"/>
        <v>1991</v>
      </c>
      <c r="M211" s="27">
        <f t="shared" si="3"/>
        <v>3</v>
      </c>
      <c r="N211" s="27">
        <f t="shared" ca="1" si="7"/>
        <v>35</v>
      </c>
      <c r="O211" s="27" t="str" cm="1">
        <f t="array" ref="O211">_xlfn.IFS($F211&gt;=750,"Excellent",$F211&gt;=700,"Good",$F211&gt;=650,"Moderate",
$F211&lt;650,"Risky"
)</f>
        <v>Excellent</v>
      </c>
      <c r="P211" s="27" t="str" cm="1">
        <f t="array" ref="P211">_xlfn.IFS(
AND(F211&gt;=750,H211&lt;=2),"Low Risk",
AND(F211&gt;=700,H211&lt;=5),"Medium Risk",
TRUE,"High Risk"
)</f>
        <v>High Risk</v>
      </c>
      <c r="Q211" s="5"/>
      <c r="R211" s="5"/>
      <c r="S211" s="5"/>
      <c r="T211" s="5"/>
      <c r="U211" s="5"/>
      <c r="V211" s="5"/>
      <c r="W211" s="5"/>
      <c r="X211" s="5"/>
      <c r="Y211" s="5"/>
    </row>
    <row r="212" spans="1:25" ht="15.75" customHeight="1" x14ac:dyDescent="0.25">
      <c r="A212" s="2">
        <v>43917</v>
      </c>
      <c r="B212" s="3">
        <v>97483</v>
      </c>
      <c r="C212" s="4" t="s">
        <v>25</v>
      </c>
      <c r="D212" s="4" t="str">
        <f t="shared" si="0"/>
        <v>Sales</v>
      </c>
      <c r="E212" s="4" t="str">
        <f t="shared" si="1"/>
        <v>Manager</v>
      </c>
      <c r="F212" s="13">
        <v>708</v>
      </c>
      <c r="G212" s="13">
        <v>3</v>
      </c>
      <c r="H212" s="13">
        <v>5</v>
      </c>
      <c r="I212" s="2">
        <v>33761</v>
      </c>
      <c r="J212" s="15">
        <v>819768</v>
      </c>
      <c r="K212" s="4" t="s">
        <v>21</v>
      </c>
      <c r="L212" s="27">
        <f t="shared" si="2"/>
        <v>1992</v>
      </c>
      <c r="M212" s="27">
        <f t="shared" si="3"/>
        <v>3</v>
      </c>
      <c r="N212" s="27">
        <f t="shared" ca="1" si="7"/>
        <v>34</v>
      </c>
      <c r="O212" s="27" t="str" cm="1">
        <f t="array" ref="O212">_xlfn.IFS($F212&gt;=750,"Excellent",$F212&gt;=700,"Good",$F212&gt;=650,"Moderate",
$F212&lt;650,"Risky"
)</f>
        <v>Good</v>
      </c>
      <c r="P212" s="27" t="str" cm="1">
        <f t="array" ref="P212">_xlfn.IFS(
AND(F212&gt;=750,H212&lt;=2),"Low Risk",
AND(F212&gt;=700,H212&lt;=5),"Medium Risk",
TRUE,"High Risk"
)</f>
        <v>Medium Risk</v>
      </c>
      <c r="Q212" s="5"/>
      <c r="R212" s="5"/>
      <c r="S212" s="5"/>
      <c r="T212" s="5"/>
      <c r="U212" s="5"/>
      <c r="V212" s="5"/>
      <c r="W212" s="5"/>
      <c r="X212" s="5"/>
      <c r="Y212" s="5"/>
    </row>
    <row r="213" spans="1:25" ht="15.75" customHeight="1" x14ac:dyDescent="0.25">
      <c r="A213" s="2">
        <v>43890</v>
      </c>
      <c r="B213" s="3">
        <v>42773</v>
      </c>
      <c r="C213" s="4" t="s">
        <v>33</v>
      </c>
      <c r="D213" s="4" t="str">
        <f t="shared" si="0"/>
        <v>Sales</v>
      </c>
      <c r="E213" s="4" t="str">
        <f t="shared" si="1"/>
        <v>Executive</v>
      </c>
      <c r="F213" s="13">
        <v>714</v>
      </c>
      <c r="G213" s="13">
        <v>1</v>
      </c>
      <c r="H213" s="13">
        <v>3</v>
      </c>
      <c r="I213" s="2">
        <v>31688</v>
      </c>
      <c r="J213" s="15">
        <v>782564</v>
      </c>
      <c r="K213" s="4" t="s">
        <v>18</v>
      </c>
      <c r="L213" s="27">
        <f t="shared" si="2"/>
        <v>1986</v>
      </c>
      <c r="M213" s="27">
        <f t="shared" si="3"/>
        <v>2</v>
      </c>
      <c r="N213" s="27">
        <f t="shared" ca="1" si="7"/>
        <v>40</v>
      </c>
      <c r="O213" s="27" t="str" cm="1">
        <f t="array" ref="O213">_xlfn.IFS($F213&gt;=750,"Excellent",$F213&gt;=700,"Good",$F213&gt;=650,"Moderate",
$F213&lt;650,"Risky"
)</f>
        <v>Good</v>
      </c>
      <c r="P213" s="27" t="str" cm="1">
        <f t="array" ref="P213">_xlfn.IFS(
AND(F213&gt;=750,H213&lt;=2),"Low Risk",
AND(F213&gt;=700,H213&lt;=5),"Medium Risk",
TRUE,"High Risk"
)</f>
        <v>Medium Risk</v>
      </c>
      <c r="Q213" s="5"/>
      <c r="R213" s="5"/>
      <c r="S213" s="5"/>
      <c r="T213" s="5"/>
      <c r="U213" s="5"/>
      <c r="V213" s="5"/>
      <c r="W213" s="5"/>
      <c r="X213" s="5"/>
      <c r="Y213" s="5"/>
    </row>
    <row r="214" spans="1:25" ht="15.75" customHeight="1" x14ac:dyDescent="0.25">
      <c r="A214" s="2">
        <v>44000</v>
      </c>
      <c r="B214" s="3">
        <v>47900</v>
      </c>
      <c r="C214" s="4" t="s">
        <v>38</v>
      </c>
      <c r="D214" s="4" t="str">
        <f t="shared" si="0"/>
        <v>Finance</v>
      </c>
      <c r="E214" s="4" t="str">
        <f t="shared" si="1"/>
        <v>Manager</v>
      </c>
      <c r="F214" s="13">
        <v>713</v>
      </c>
      <c r="G214" s="13">
        <v>2</v>
      </c>
      <c r="H214" s="13">
        <v>3</v>
      </c>
      <c r="I214" s="2">
        <v>31339</v>
      </c>
      <c r="J214" s="15">
        <v>789114</v>
      </c>
      <c r="K214" s="4" t="s">
        <v>14</v>
      </c>
      <c r="L214" s="27">
        <f t="shared" si="2"/>
        <v>1985</v>
      </c>
      <c r="M214" s="27">
        <f t="shared" si="3"/>
        <v>6</v>
      </c>
      <c r="N214" s="27">
        <f t="shared" ca="1" si="7"/>
        <v>41</v>
      </c>
      <c r="O214" s="27" t="str" cm="1">
        <f t="array" ref="O214">_xlfn.IFS($F214&gt;=750,"Excellent",$F214&gt;=700,"Good",$F214&gt;=650,"Moderate",
$F214&lt;650,"Risky"
)</f>
        <v>Good</v>
      </c>
      <c r="P214" s="27" t="str" cm="1">
        <f t="array" ref="P214">_xlfn.IFS(
AND(F214&gt;=750,H214&lt;=2),"Low Risk",
AND(F214&gt;=700,H214&lt;=5),"Medium Risk",
TRUE,"High Risk"
)</f>
        <v>Medium Risk</v>
      </c>
      <c r="Q214" s="5"/>
      <c r="R214" s="5"/>
      <c r="S214" s="5"/>
      <c r="T214" s="5"/>
      <c r="U214" s="5"/>
      <c r="V214" s="5"/>
      <c r="W214" s="5"/>
      <c r="X214" s="5"/>
      <c r="Y214" s="5"/>
    </row>
    <row r="215" spans="1:25" ht="15.75" customHeight="1" x14ac:dyDescent="0.25">
      <c r="A215" s="2">
        <v>43952</v>
      </c>
      <c r="B215" s="3">
        <v>26257</v>
      </c>
      <c r="C215" s="4" t="s">
        <v>27</v>
      </c>
      <c r="D215" s="4" t="str">
        <f t="shared" si="0"/>
        <v>Operation</v>
      </c>
      <c r="E215" s="4" t="str">
        <f t="shared" si="1"/>
        <v>Intern</v>
      </c>
      <c r="F215" s="13">
        <v>778</v>
      </c>
      <c r="G215" s="13">
        <v>3</v>
      </c>
      <c r="H215" s="13">
        <v>4</v>
      </c>
      <c r="I215" s="2">
        <v>34167</v>
      </c>
      <c r="J215" s="15">
        <v>716401</v>
      </c>
      <c r="K215" s="4" t="s">
        <v>21</v>
      </c>
      <c r="L215" s="27">
        <f t="shared" si="2"/>
        <v>1993</v>
      </c>
      <c r="M215" s="27">
        <f t="shared" si="3"/>
        <v>5</v>
      </c>
      <c r="N215" s="27">
        <f t="shared" ca="1" si="7"/>
        <v>33</v>
      </c>
      <c r="O215" s="27" t="str" cm="1">
        <f t="array" ref="O215">_xlfn.IFS($F215&gt;=750,"Excellent",$F215&gt;=700,"Good",$F215&gt;=650,"Moderate",
$F215&lt;650,"Risky"
)</f>
        <v>Excellent</v>
      </c>
      <c r="P215" s="27" t="str" cm="1">
        <f t="array" ref="P215">_xlfn.IFS(
AND(F215&gt;=750,H215&lt;=2),"Low Risk",
AND(F215&gt;=700,H215&lt;=5),"Medium Risk",
TRUE,"High Risk"
)</f>
        <v>Medium Risk</v>
      </c>
      <c r="Q215" s="5"/>
      <c r="R215" s="5"/>
      <c r="S215" s="5"/>
      <c r="T215" s="5"/>
      <c r="U215" s="5"/>
      <c r="V215" s="5"/>
      <c r="W215" s="5"/>
      <c r="X215" s="5"/>
      <c r="Y215" s="5"/>
    </row>
    <row r="216" spans="1:25" ht="15.75" customHeight="1" x14ac:dyDescent="0.25">
      <c r="A216" s="2">
        <v>43915</v>
      </c>
      <c r="B216" s="3">
        <v>42871</v>
      </c>
      <c r="C216" s="4" t="s">
        <v>32</v>
      </c>
      <c r="D216" s="4" t="str">
        <f t="shared" si="0"/>
        <v>Finance</v>
      </c>
      <c r="E216" s="4" t="str">
        <f t="shared" si="1"/>
        <v>Executive</v>
      </c>
      <c r="F216" s="13">
        <v>718</v>
      </c>
      <c r="G216" s="13">
        <v>3</v>
      </c>
      <c r="H216" s="13">
        <v>7</v>
      </c>
      <c r="I216" s="2">
        <v>31331</v>
      </c>
      <c r="J216" s="15">
        <v>762595</v>
      </c>
      <c r="K216" s="4" t="s">
        <v>18</v>
      </c>
      <c r="L216" s="27">
        <f t="shared" si="2"/>
        <v>1985</v>
      </c>
      <c r="M216" s="27">
        <f t="shared" si="3"/>
        <v>3</v>
      </c>
      <c r="N216" s="27">
        <f t="shared" ca="1" si="7"/>
        <v>41</v>
      </c>
      <c r="O216" s="27" t="str" cm="1">
        <f t="array" ref="O216">_xlfn.IFS($F216&gt;=750,"Excellent",$F216&gt;=700,"Good",$F216&gt;=650,"Moderate",
$F216&lt;650,"Risky"
)</f>
        <v>Good</v>
      </c>
      <c r="P216" s="27" t="str" cm="1">
        <f t="array" ref="P216">_xlfn.IFS(
AND(F216&gt;=750,H216&lt;=2),"Low Risk",
AND(F216&gt;=700,H216&lt;=5),"Medium Risk",
TRUE,"High Risk"
)</f>
        <v>High Risk</v>
      </c>
      <c r="Q216" s="5"/>
      <c r="R216" s="5"/>
      <c r="S216" s="5"/>
      <c r="T216" s="5"/>
      <c r="U216" s="5"/>
      <c r="V216" s="5"/>
      <c r="W216" s="5"/>
      <c r="X216" s="5"/>
      <c r="Y216" s="5"/>
    </row>
    <row r="217" spans="1:25" ht="15.75" customHeight="1" x14ac:dyDescent="0.25">
      <c r="A217" s="2">
        <v>44057</v>
      </c>
      <c r="B217" s="3">
        <v>56883</v>
      </c>
      <c r="C217" s="4" t="s">
        <v>26</v>
      </c>
      <c r="D217" s="4" t="str">
        <f t="shared" si="0"/>
        <v>Strategy</v>
      </c>
      <c r="E217" s="4" t="str">
        <f t="shared" si="1"/>
        <v>Manager</v>
      </c>
      <c r="F217" s="13">
        <v>725</v>
      </c>
      <c r="G217" s="13">
        <v>2</v>
      </c>
      <c r="H217" s="13">
        <v>6</v>
      </c>
      <c r="I217" s="2">
        <v>31596</v>
      </c>
      <c r="J217" s="15">
        <v>870920</v>
      </c>
      <c r="K217" s="4" t="s">
        <v>18</v>
      </c>
      <c r="L217" s="27">
        <f t="shared" si="2"/>
        <v>1986</v>
      </c>
      <c r="M217" s="27">
        <f t="shared" si="3"/>
        <v>8</v>
      </c>
      <c r="N217" s="27">
        <f t="shared" ca="1" si="7"/>
        <v>40</v>
      </c>
      <c r="O217" s="27" t="str" cm="1">
        <f t="array" ref="O217">_xlfn.IFS($F217&gt;=750,"Excellent",$F217&gt;=700,"Good",$F217&gt;=650,"Moderate",
$F217&lt;650,"Risky"
)</f>
        <v>Good</v>
      </c>
      <c r="P217" s="27" t="str" cm="1">
        <f t="array" ref="P217">_xlfn.IFS(
AND(F217&gt;=750,H217&lt;=2),"Low Risk",
AND(F217&gt;=700,H217&lt;=5),"Medium Risk",
TRUE,"High Risk"
)</f>
        <v>High Risk</v>
      </c>
      <c r="Q217" s="5"/>
      <c r="R217" s="5"/>
      <c r="S217" s="5"/>
      <c r="T217" s="5"/>
      <c r="U217" s="5"/>
      <c r="V217" s="5"/>
      <c r="W217" s="5"/>
      <c r="X217" s="5"/>
      <c r="Y217" s="5"/>
    </row>
    <row r="218" spans="1:25" ht="15.75" customHeight="1" x14ac:dyDescent="0.25">
      <c r="A218" s="2">
        <v>43927</v>
      </c>
      <c r="B218" s="3">
        <v>89773</v>
      </c>
      <c r="C218" s="4" t="s">
        <v>28</v>
      </c>
      <c r="D218" s="4" t="str">
        <f t="shared" si="0"/>
        <v>Growth</v>
      </c>
      <c r="E218" s="4" t="str">
        <f t="shared" si="1"/>
        <v>Director</v>
      </c>
      <c r="F218" s="13">
        <v>756</v>
      </c>
      <c r="G218" s="13">
        <v>3</v>
      </c>
      <c r="H218" s="13">
        <v>7</v>
      </c>
      <c r="I218" s="2">
        <v>32261</v>
      </c>
      <c r="J218" s="15">
        <v>664462</v>
      </c>
      <c r="K218" s="4" t="s">
        <v>14</v>
      </c>
      <c r="L218" s="27">
        <f t="shared" si="2"/>
        <v>1988</v>
      </c>
      <c r="M218" s="27">
        <f t="shared" si="3"/>
        <v>4</v>
      </c>
      <c r="N218" s="27">
        <f t="shared" ca="1" si="7"/>
        <v>38</v>
      </c>
      <c r="O218" s="27" t="str" cm="1">
        <f t="array" ref="O218">_xlfn.IFS($F218&gt;=750,"Excellent",$F218&gt;=700,"Good",$F218&gt;=650,"Moderate",
$F218&lt;650,"Risky"
)</f>
        <v>Excellent</v>
      </c>
      <c r="P218" s="27" t="str" cm="1">
        <f t="array" ref="P218">_xlfn.IFS(
AND(F218&gt;=750,H218&lt;=2),"Low Risk",
AND(F218&gt;=700,H218&lt;=5),"Medium Risk",
TRUE,"High Risk"
)</f>
        <v>High Risk</v>
      </c>
      <c r="Q218" s="5"/>
      <c r="R218" s="5"/>
      <c r="S218" s="5"/>
      <c r="T218" s="5"/>
      <c r="U218" s="5"/>
      <c r="V218" s="5"/>
      <c r="W218" s="5"/>
      <c r="X218" s="5"/>
      <c r="Y218" s="5"/>
    </row>
    <row r="219" spans="1:25" ht="15.75" customHeight="1" x14ac:dyDescent="0.25">
      <c r="A219" s="2">
        <v>43984</v>
      </c>
      <c r="B219" s="3">
        <v>52756</v>
      </c>
      <c r="C219" s="4" t="s">
        <v>20</v>
      </c>
      <c r="D219" s="4" t="str">
        <f t="shared" si="0"/>
        <v>Operation</v>
      </c>
      <c r="E219" s="4" t="str">
        <f t="shared" si="1"/>
        <v>Manager</v>
      </c>
      <c r="F219" s="13">
        <v>710</v>
      </c>
      <c r="G219" s="13">
        <v>5</v>
      </c>
      <c r="H219" s="13">
        <v>9</v>
      </c>
      <c r="I219" s="2">
        <v>32738</v>
      </c>
      <c r="J219" s="15">
        <v>801711</v>
      </c>
      <c r="K219" s="4" t="s">
        <v>18</v>
      </c>
      <c r="L219" s="27">
        <f t="shared" si="2"/>
        <v>1989</v>
      </c>
      <c r="M219" s="27">
        <f t="shared" si="3"/>
        <v>6</v>
      </c>
      <c r="N219" s="27">
        <f t="shared" ca="1" si="7"/>
        <v>37</v>
      </c>
      <c r="O219" s="27" t="str" cm="1">
        <f t="array" ref="O219">_xlfn.IFS($F219&gt;=750,"Excellent",$F219&gt;=700,"Good",$F219&gt;=650,"Moderate",
$F219&lt;650,"Risky"
)</f>
        <v>Good</v>
      </c>
      <c r="P219" s="27" t="str" cm="1">
        <f t="array" ref="P219">_xlfn.IFS(
AND(F219&gt;=750,H219&lt;=2),"Low Risk",
AND(F219&gt;=700,H219&lt;=5),"Medium Risk",
TRUE,"High Risk"
)</f>
        <v>High Risk</v>
      </c>
      <c r="Q219" s="5"/>
      <c r="R219" s="5"/>
      <c r="S219" s="5"/>
      <c r="T219" s="5"/>
      <c r="U219" s="5"/>
      <c r="V219" s="5"/>
      <c r="W219" s="5"/>
      <c r="X219" s="5"/>
      <c r="Y219" s="5"/>
    </row>
    <row r="220" spans="1:25" ht="15.75" customHeight="1" x14ac:dyDescent="0.25">
      <c r="A220" s="2">
        <v>44154</v>
      </c>
      <c r="B220" s="3">
        <v>45544</v>
      </c>
      <c r="C220" s="4" t="s">
        <v>22</v>
      </c>
      <c r="D220" s="4" t="str">
        <f t="shared" si="0"/>
        <v>Strategy</v>
      </c>
      <c r="E220" s="4" t="str">
        <f t="shared" si="1"/>
        <v>Executive</v>
      </c>
      <c r="F220" s="13">
        <v>739</v>
      </c>
      <c r="G220" s="13">
        <v>3</v>
      </c>
      <c r="H220" s="13">
        <v>8</v>
      </c>
      <c r="I220" s="2">
        <v>33326</v>
      </c>
      <c r="J220" s="15">
        <v>904091</v>
      </c>
      <c r="K220" s="4" t="s">
        <v>18</v>
      </c>
      <c r="L220" s="27">
        <f t="shared" si="2"/>
        <v>1991</v>
      </c>
      <c r="M220" s="27">
        <f t="shared" si="3"/>
        <v>11</v>
      </c>
      <c r="N220" s="27">
        <f t="shared" ca="1" si="7"/>
        <v>35</v>
      </c>
      <c r="O220" s="27" t="str" cm="1">
        <f t="array" ref="O220">_xlfn.IFS($F220&gt;=750,"Excellent",$F220&gt;=700,"Good",$F220&gt;=650,"Moderate",
$F220&lt;650,"Risky"
)</f>
        <v>Good</v>
      </c>
      <c r="P220" s="27" t="str" cm="1">
        <f t="array" ref="P220">_xlfn.IFS(
AND(F220&gt;=750,H220&lt;=2),"Low Risk",
AND(F220&gt;=700,H220&lt;=5),"Medium Risk",
TRUE,"High Risk"
)</f>
        <v>High Risk</v>
      </c>
      <c r="Q220" s="5"/>
      <c r="R220" s="5"/>
      <c r="S220" s="5"/>
      <c r="T220" s="5"/>
      <c r="U220" s="5"/>
      <c r="V220" s="5"/>
      <c r="W220" s="5"/>
      <c r="X220" s="5"/>
      <c r="Y220" s="5"/>
    </row>
    <row r="221" spans="1:25" ht="15.75" customHeight="1" x14ac:dyDescent="0.25">
      <c r="A221" s="2">
        <v>44083</v>
      </c>
      <c r="B221" s="3">
        <v>87871</v>
      </c>
      <c r="C221" s="4" t="s">
        <v>23</v>
      </c>
      <c r="D221" s="4" t="str">
        <f t="shared" si="0"/>
        <v>Marketing</v>
      </c>
      <c r="E221" s="4" t="str">
        <f t="shared" si="1"/>
        <v>Intern</v>
      </c>
      <c r="F221" s="13">
        <v>754</v>
      </c>
      <c r="G221" s="13">
        <v>5</v>
      </c>
      <c r="H221" s="13">
        <v>4</v>
      </c>
      <c r="I221" s="2">
        <v>30590</v>
      </c>
      <c r="J221" s="15">
        <v>950799</v>
      </c>
      <c r="K221" s="4" t="s">
        <v>18</v>
      </c>
      <c r="L221" s="27">
        <f t="shared" si="2"/>
        <v>1983</v>
      </c>
      <c r="M221" s="27">
        <f t="shared" si="3"/>
        <v>9</v>
      </c>
      <c r="N221" s="27">
        <f t="shared" ca="1" si="7"/>
        <v>43</v>
      </c>
      <c r="O221" s="27" t="str" cm="1">
        <f t="array" ref="O221">_xlfn.IFS($F221&gt;=750,"Excellent",$F221&gt;=700,"Good",$F221&gt;=650,"Moderate",
$F221&lt;650,"Risky"
)</f>
        <v>Excellent</v>
      </c>
      <c r="P221" s="27" t="str" cm="1">
        <f t="array" ref="P221">_xlfn.IFS(
AND(F221&gt;=750,H221&lt;=2),"Low Risk",
AND(F221&gt;=700,H221&lt;=5),"Medium Risk",
TRUE,"High Risk"
)</f>
        <v>Medium Risk</v>
      </c>
      <c r="Q221" s="5"/>
      <c r="R221" s="5"/>
      <c r="S221" s="5"/>
      <c r="T221" s="5"/>
      <c r="U221" s="5"/>
      <c r="V221" s="5"/>
      <c r="W221" s="5"/>
      <c r="X221" s="5"/>
      <c r="Y221" s="5"/>
    </row>
    <row r="222" spans="1:25" ht="15.75" customHeight="1" x14ac:dyDescent="0.25">
      <c r="A222" s="2">
        <v>44005</v>
      </c>
      <c r="B222" s="3">
        <v>49718</v>
      </c>
      <c r="C222" s="4" t="s">
        <v>39</v>
      </c>
      <c r="D222" s="4" t="str">
        <f t="shared" si="0"/>
        <v>Growth</v>
      </c>
      <c r="E222" s="4" t="str">
        <f t="shared" si="1"/>
        <v>Executive</v>
      </c>
      <c r="F222" s="13">
        <v>791</v>
      </c>
      <c r="G222" s="13">
        <v>3</v>
      </c>
      <c r="H222" s="13">
        <v>6</v>
      </c>
      <c r="I222" s="2">
        <v>33711</v>
      </c>
      <c r="J222" s="15">
        <v>746853</v>
      </c>
      <c r="K222" s="4" t="s">
        <v>18</v>
      </c>
      <c r="L222" s="27">
        <f t="shared" si="2"/>
        <v>1992</v>
      </c>
      <c r="M222" s="27">
        <f t="shared" si="3"/>
        <v>6</v>
      </c>
      <c r="N222" s="27">
        <f t="shared" ca="1" si="7"/>
        <v>34</v>
      </c>
      <c r="O222" s="27" t="str" cm="1">
        <f t="array" ref="O222">_xlfn.IFS($F222&gt;=750,"Excellent",$F222&gt;=700,"Good",$F222&gt;=650,"Moderate",
$F222&lt;650,"Risky"
)</f>
        <v>Excellent</v>
      </c>
      <c r="P222" s="27" t="str" cm="1">
        <f t="array" ref="P222">_xlfn.IFS(
AND(F222&gt;=750,H222&lt;=2),"Low Risk",
AND(F222&gt;=700,H222&lt;=5),"Medium Risk",
TRUE,"High Risk"
)</f>
        <v>High Risk</v>
      </c>
      <c r="Q222" s="5"/>
      <c r="R222" s="5"/>
      <c r="S222" s="5"/>
      <c r="T222" s="5"/>
      <c r="U222" s="5"/>
      <c r="V222" s="5"/>
      <c r="W222" s="5"/>
      <c r="X222" s="5"/>
      <c r="Y222" s="5"/>
    </row>
    <row r="223" spans="1:25" ht="15.75" customHeight="1" x14ac:dyDescent="0.25">
      <c r="A223" s="2">
        <v>44028</v>
      </c>
      <c r="B223" s="3">
        <v>95002</v>
      </c>
      <c r="C223" s="4" t="s">
        <v>36</v>
      </c>
      <c r="D223" s="4" t="str">
        <f t="shared" si="0"/>
        <v>Sales</v>
      </c>
      <c r="E223" s="4" t="str">
        <f t="shared" si="1"/>
        <v>Intern</v>
      </c>
      <c r="F223" s="13">
        <v>768</v>
      </c>
      <c r="G223" s="13">
        <v>3</v>
      </c>
      <c r="H223" s="13">
        <v>4</v>
      </c>
      <c r="I223" s="2">
        <v>31099</v>
      </c>
      <c r="J223" s="15">
        <v>804508</v>
      </c>
      <c r="K223" s="4" t="s">
        <v>18</v>
      </c>
      <c r="L223" s="27">
        <f t="shared" si="2"/>
        <v>1985</v>
      </c>
      <c r="M223" s="27">
        <f t="shared" si="3"/>
        <v>7</v>
      </c>
      <c r="N223" s="27">
        <f t="shared" ca="1" si="7"/>
        <v>41</v>
      </c>
      <c r="O223" s="27" t="str" cm="1">
        <f t="array" ref="O223">_xlfn.IFS($F223&gt;=750,"Excellent",$F223&gt;=700,"Good",$F223&gt;=650,"Moderate",
$F223&lt;650,"Risky"
)</f>
        <v>Excellent</v>
      </c>
      <c r="P223" s="27" t="str" cm="1">
        <f t="array" ref="P223">_xlfn.IFS(
AND(F223&gt;=750,H223&lt;=2),"Low Risk",
AND(F223&gt;=700,H223&lt;=5),"Medium Risk",
TRUE,"High Risk"
)</f>
        <v>Medium Risk</v>
      </c>
      <c r="Q223" s="5"/>
      <c r="R223" s="5"/>
      <c r="S223" s="5"/>
      <c r="T223" s="5"/>
      <c r="U223" s="5"/>
      <c r="V223" s="5"/>
      <c r="W223" s="5"/>
      <c r="X223" s="5"/>
      <c r="Y223" s="5"/>
    </row>
    <row r="224" spans="1:25" ht="15.75" customHeight="1" x14ac:dyDescent="0.25">
      <c r="A224" s="2">
        <v>43858</v>
      </c>
      <c r="B224" s="3">
        <v>33261</v>
      </c>
      <c r="C224" s="4" t="s">
        <v>35</v>
      </c>
      <c r="D224" s="4" t="str">
        <f t="shared" si="0"/>
        <v>Growth</v>
      </c>
      <c r="E224" s="4" t="str">
        <f t="shared" si="1"/>
        <v>Intern</v>
      </c>
      <c r="F224" s="13">
        <v>767</v>
      </c>
      <c r="G224" s="13">
        <v>2</v>
      </c>
      <c r="H224" s="13">
        <v>6</v>
      </c>
      <c r="I224" s="2">
        <v>34691</v>
      </c>
      <c r="J224" s="15">
        <v>590668</v>
      </c>
      <c r="K224" s="4" t="s">
        <v>18</v>
      </c>
      <c r="L224" s="27">
        <f t="shared" si="2"/>
        <v>1994</v>
      </c>
      <c r="M224" s="27">
        <f t="shared" si="3"/>
        <v>1</v>
      </c>
      <c r="N224" s="27">
        <f t="shared" ca="1" si="7"/>
        <v>32</v>
      </c>
      <c r="O224" s="27" t="str" cm="1">
        <f t="array" ref="O224">_xlfn.IFS($F224&gt;=750,"Excellent",$F224&gt;=700,"Good",$F224&gt;=650,"Moderate",
$F224&lt;650,"Risky"
)</f>
        <v>Excellent</v>
      </c>
      <c r="P224" s="27" t="str" cm="1">
        <f t="array" ref="P224">_xlfn.IFS(
AND(F224&gt;=750,H224&lt;=2),"Low Risk",
AND(F224&gt;=700,H224&lt;=5),"Medium Risk",
TRUE,"High Risk"
)</f>
        <v>High Risk</v>
      </c>
      <c r="Q224" s="5"/>
      <c r="R224" s="5"/>
      <c r="S224" s="5"/>
      <c r="T224" s="5"/>
      <c r="U224" s="5"/>
      <c r="V224" s="5"/>
      <c r="W224" s="5"/>
      <c r="X224" s="5"/>
      <c r="Y224" s="5"/>
    </row>
    <row r="225" spans="1:25" ht="15.75" customHeight="1" x14ac:dyDescent="0.25">
      <c r="A225" s="2">
        <v>43894</v>
      </c>
      <c r="B225" s="3">
        <v>73294</v>
      </c>
      <c r="C225" s="4" t="s">
        <v>30</v>
      </c>
      <c r="D225" s="4" t="str">
        <f t="shared" si="0"/>
        <v>Operation</v>
      </c>
      <c r="E225" s="4" t="str">
        <f t="shared" si="1"/>
        <v>Director</v>
      </c>
      <c r="F225" s="13">
        <v>800</v>
      </c>
      <c r="G225" s="13">
        <v>5</v>
      </c>
      <c r="H225" s="13">
        <v>3</v>
      </c>
      <c r="I225" s="2">
        <v>33669</v>
      </c>
      <c r="J225" s="15">
        <v>642085</v>
      </c>
      <c r="K225" s="4" t="s">
        <v>21</v>
      </c>
      <c r="L225" s="27">
        <f t="shared" si="2"/>
        <v>1992</v>
      </c>
      <c r="M225" s="27">
        <f t="shared" si="3"/>
        <v>3</v>
      </c>
      <c r="N225" s="27">
        <f t="shared" ca="1" si="7"/>
        <v>34</v>
      </c>
      <c r="O225" s="27" t="str" cm="1">
        <f t="array" ref="O225">_xlfn.IFS($F225&gt;=750,"Excellent",$F225&gt;=700,"Good",$F225&gt;=650,"Moderate",
$F225&lt;650,"Risky"
)</f>
        <v>Excellent</v>
      </c>
      <c r="P225" s="27" t="str" cm="1">
        <f t="array" ref="P225">_xlfn.IFS(
AND(F225&gt;=750,H225&lt;=2),"Low Risk",
AND(F225&gt;=700,H225&lt;=5),"Medium Risk",
TRUE,"High Risk"
)</f>
        <v>Medium Risk</v>
      </c>
      <c r="Q225" s="5"/>
      <c r="R225" s="5"/>
      <c r="S225" s="5"/>
      <c r="T225" s="5"/>
      <c r="U225" s="5"/>
      <c r="V225" s="5"/>
      <c r="W225" s="5"/>
      <c r="X225" s="5"/>
      <c r="Y225" s="5"/>
    </row>
    <row r="226" spans="1:25" ht="15.75" customHeight="1" x14ac:dyDescent="0.25">
      <c r="A226" s="2">
        <v>44147</v>
      </c>
      <c r="B226" s="3">
        <v>48447</v>
      </c>
      <c r="C226" s="4" t="s">
        <v>27</v>
      </c>
      <c r="D226" s="4" t="str">
        <f t="shared" si="0"/>
        <v>Operation</v>
      </c>
      <c r="E226" s="4" t="str">
        <f t="shared" si="1"/>
        <v>Intern</v>
      </c>
      <c r="F226" s="13">
        <v>753</v>
      </c>
      <c r="G226" s="13">
        <v>2</v>
      </c>
      <c r="H226" s="13">
        <v>3</v>
      </c>
      <c r="I226" s="2">
        <v>30746</v>
      </c>
      <c r="J226" s="15">
        <v>827902</v>
      </c>
      <c r="K226" s="4" t="s">
        <v>18</v>
      </c>
      <c r="L226" s="27">
        <f t="shared" si="2"/>
        <v>1984</v>
      </c>
      <c r="M226" s="27">
        <f t="shared" si="3"/>
        <v>11</v>
      </c>
      <c r="N226" s="27">
        <f t="shared" ca="1" si="7"/>
        <v>42</v>
      </c>
      <c r="O226" s="27" t="str" cm="1">
        <f t="array" ref="O226">_xlfn.IFS($F226&gt;=750,"Excellent",$F226&gt;=700,"Good",$F226&gt;=650,"Moderate",
$F226&lt;650,"Risky"
)</f>
        <v>Excellent</v>
      </c>
      <c r="P226" s="27" t="str" cm="1">
        <f t="array" ref="P226">_xlfn.IFS(
AND(F226&gt;=750,H226&lt;=2),"Low Risk",
AND(F226&gt;=700,H226&lt;=5),"Medium Risk",
TRUE,"High Risk"
)</f>
        <v>Medium Risk</v>
      </c>
      <c r="Q226" s="5"/>
      <c r="R226" s="5"/>
      <c r="S226" s="5"/>
      <c r="T226" s="5"/>
      <c r="U226" s="5"/>
      <c r="V226" s="5"/>
      <c r="W226" s="5"/>
      <c r="X226" s="5"/>
      <c r="Y226" s="5"/>
    </row>
    <row r="227" spans="1:25" ht="15.75" customHeight="1" x14ac:dyDescent="0.25">
      <c r="A227" s="2">
        <v>43947</v>
      </c>
      <c r="B227" s="3">
        <v>64135</v>
      </c>
      <c r="C227" s="4" t="s">
        <v>32</v>
      </c>
      <c r="D227" s="4" t="str">
        <f t="shared" si="0"/>
        <v>Finance</v>
      </c>
      <c r="E227" s="4" t="str">
        <f t="shared" si="1"/>
        <v>Executive</v>
      </c>
      <c r="F227" s="13">
        <v>707</v>
      </c>
      <c r="G227" s="13">
        <v>5</v>
      </c>
      <c r="H227" s="13">
        <v>2</v>
      </c>
      <c r="I227" s="2">
        <v>30465</v>
      </c>
      <c r="J227" s="15">
        <v>926909</v>
      </c>
      <c r="K227" s="4" t="s">
        <v>21</v>
      </c>
      <c r="L227" s="27">
        <f t="shared" si="2"/>
        <v>1983</v>
      </c>
      <c r="M227" s="27">
        <f t="shared" si="3"/>
        <v>4</v>
      </c>
      <c r="N227" s="27">
        <f t="shared" ca="1" si="7"/>
        <v>43</v>
      </c>
      <c r="O227" s="27" t="str" cm="1">
        <f t="array" ref="O227">_xlfn.IFS($F227&gt;=750,"Excellent",$F227&gt;=700,"Good",$F227&gt;=650,"Moderate",
$F227&lt;650,"Risky"
)</f>
        <v>Good</v>
      </c>
      <c r="P227" s="27" t="str" cm="1">
        <f t="array" ref="P227">_xlfn.IFS(
AND(F227&gt;=750,H227&lt;=2),"Low Risk",
AND(F227&gt;=700,H227&lt;=5),"Medium Risk",
TRUE,"High Risk"
)</f>
        <v>Medium Risk</v>
      </c>
      <c r="Q227" s="5"/>
      <c r="R227" s="5"/>
      <c r="S227" s="5"/>
      <c r="T227" s="5"/>
      <c r="U227" s="5"/>
      <c r="V227" s="5"/>
      <c r="W227" s="5"/>
      <c r="X227" s="5"/>
      <c r="Y227" s="5"/>
    </row>
    <row r="228" spans="1:25" ht="15.75" customHeight="1" x14ac:dyDescent="0.25">
      <c r="A228" s="2">
        <v>44082</v>
      </c>
      <c r="B228" s="3">
        <v>75746</v>
      </c>
      <c r="C228" s="4" t="s">
        <v>16</v>
      </c>
      <c r="D228" s="4" t="str">
        <f t="shared" si="0"/>
        <v>Marketing</v>
      </c>
      <c r="E228" s="4" t="str">
        <f t="shared" si="1"/>
        <v>Executive</v>
      </c>
      <c r="F228" s="13">
        <v>725</v>
      </c>
      <c r="G228" s="13">
        <v>4</v>
      </c>
      <c r="H228" s="13">
        <v>8</v>
      </c>
      <c r="I228" s="2">
        <v>30388</v>
      </c>
      <c r="J228" s="15">
        <v>932068</v>
      </c>
      <c r="K228" s="4" t="s">
        <v>14</v>
      </c>
      <c r="L228" s="27">
        <f t="shared" si="2"/>
        <v>1983</v>
      </c>
      <c r="M228" s="27">
        <f t="shared" si="3"/>
        <v>9</v>
      </c>
      <c r="N228" s="27">
        <f t="shared" ca="1" si="7"/>
        <v>43</v>
      </c>
      <c r="O228" s="27" t="str" cm="1">
        <f t="array" ref="O228">_xlfn.IFS($F228&gt;=750,"Excellent",$F228&gt;=700,"Good",$F228&gt;=650,"Moderate",
$F228&lt;650,"Risky"
)</f>
        <v>Good</v>
      </c>
      <c r="P228" s="27" t="str" cm="1">
        <f t="array" ref="P228">_xlfn.IFS(
AND(F228&gt;=750,H228&lt;=2),"Low Risk",
AND(F228&gt;=700,H228&lt;=5),"Medium Risk",
TRUE,"High Risk"
)</f>
        <v>High Risk</v>
      </c>
      <c r="Q228" s="5"/>
      <c r="R228" s="5"/>
      <c r="S228" s="5"/>
      <c r="T228" s="5"/>
      <c r="U228" s="5"/>
      <c r="V228" s="5"/>
      <c r="W228" s="5"/>
      <c r="X228" s="5"/>
      <c r="Y228" s="5"/>
    </row>
    <row r="229" spans="1:25" ht="15.75" customHeight="1" x14ac:dyDescent="0.25">
      <c r="A229" s="2">
        <v>44148</v>
      </c>
      <c r="B229" s="3">
        <v>59661</v>
      </c>
      <c r="C229" s="4" t="s">
        <v>34</v>
      </c>
      <c r="D229" s="4" t="str">
        <f t="shared" si="0"/>
        <v>Finance</v>
      </c>
      <c r="E229" s="4" t="str">
        <f t="shared" si="1"/>
        <v>Director</v>
      </c>
      <c r="F229" s="13">
        <v>743</v>
      </c>
      <c r="G229" s="13">
        <v>2</v>
      </c>
      <c r="H229" s="13">
        <v>1</v>
      </c>
      <c r="I229" s="2">
        <v>32349</v>
      </c>
      <c r="J229" s="15">
        <v>680509</v>
      </c>
      <c r="K229" s="4" t="s">
        <v>14</v>
      </c>
      <c r="L229" s="27">
        <f t="shared" si="2"/>
        <v>1988</v>
      </c>
      <c r="M229" s="27">
        <f t="shared" si="3"/>
        <v>11</v>
      </c>
      <c r="N229" s="27">
        <f t="shared" ca="1" si="7"/>
        <v>38</v>
      </c>
      <c r="O229" s="27" t="str" cm="1">
        <f t="array" ref="O229">_xlfn.IFS($F229&gt;=750,"Excellent",$F229&gt;=700,"Good",$F229&gt;=650,"Moderate",
$F229&lt;650,"Risky"
)</f>
        <v>Good</v>
      </c>
      <c r="P229" s="27" t="str" cm="1">
        <f t="array" ref="P229">_xlfn.IFS(
AND(F229&gt;=750,H229&lt;=2),"Low Risk",
AND(F229&gt;=700,H229&lt;=5),"Medium Risk",
TRUE,"High Risk"
)</f>
        <v>Medium Risk</v>
      </c>
      <c r="Q229" s="5"/>
      <c r="R229" s="5"/>
      <c r="S229" s="5"/>
      <c r="T229" s="5"/>
      <c r="U229" s="5"/>
      <c r="V229" s="5"/>
      <c r="W229" s="5"/>
      <c r="X229" s="5"/>
      <c r="Y229" s="5"/>
    </row>
    <row r="230" spans="1:25" ht="15.75" customHeight="1" x14ac:dyDescent="0.25">
      <c r="A230" s="2">
        <v>43885</v>
      </c>
      <c r="B230" s="3">
        <v>13915</v>
      </c>
      <c r="C230" s="4" t="s">
        <v>29</v>
      </c>
      <c r="D230" s="4" t="str">
        <f t="shared" si="0"/>
        <v>Sales</v>
      </c>
      <c r="E230" s="4" t="str">
        <f t="shared" si="1"/>
        <v>Director</v>
      </c>
      <c r="F230" s="13">
        <v>712</v>
      </c>
      <c r="G230" s="13">
        <v>2</v>
      </c>
      <c r="H230" s="13">
        <v>7</v>
      </c>
      <c r="I230" s="2">
        <v>29392</v>
      </c>
      <c r="J230" s="15">
        <v>532527</v>
      </c>
      <c r="K230" s="4" t="s">
        <v>14</v>
      </c>
      <c r="L230" s="27">
        <f t="shared" si="2"/>
        <v>1980</v>
      </c>
      <c r="M230" s="27">
        <f t="shared" si="3"/>
        <v>2</v>
      </c>
      <c r="N230" s="27">
        <f t="shared" ca="1" si="7"/>
        <v>46</v>
      </c>
      <c r="O230" s="27" t="str" cm="1">
        <f t="array" ref="O230">_xlfn.IFS($F230&gt;=750,"Excellent",$F230&gt;=700,"Good",$F230&gt;=650,"Moderate",
$F230&lt;650,"Risky"
)</f>
        <v>Good</v>
      </c>
      <c r="P230" s="27" t="str" cm="1">
        <f t="array" ref="P230">_xlfn.IFS(
AND(F230&gt;=750,H230&lt;=2),"Low Risk",
AND(F230&gt;=700,H230&lt;=5),"Medium Risk",
TRUE,"High Risk"
)</f>
        <v>High Risk</v>
      </c>
      <c r="Q230" s="5"/>
      <c r="R230" s="5"/>
      <c r="S230" s="5"/>
      <c r="T230" s="5"/>
      <c r="U230" s="5"/>
      <c r="V230" s="5"/>
      <c r="W230" s="5"/>
      <c r="X230" s="5"/>
      <c r="Y230" s="5"/>
    </row>
    <row r="231" spans="1:25" ht="15.75" customHeight="1" x14ac:dyDescent="0.25">
      <c r="A231" s="2">
        <v>43874</v>
      </c>
      <c r="B231" s="3">
        <v>86610</v>
      </c>
      <c r="C231" s="4" t="s">
        <v>25</v>
      </c>
      <c r="D231" s="4" t="str">
        <f t="shared" si="0"/>
        <v>Sales</v>
      </c>
      <c r="E231" s="4" t="str">
        <f t="shared" si="1"/>
        <v>Manager</v>
      </c>
      <c r="F231" s="13">
        <v>727</v>
      </c>
      <c r="G231" s="13">
        <v>3</v>
      </c>
      <c r="H231" s="13">
        <v>9</v>
      </c>
      <c r="I231" s="2">
        <v>32103</v>
      </c>
      <c r="J231" s="15">
        <v>828115</v>
      </c>
      <c r="K231" s="4" t="s">
        <v>14</v>
      </c>
      <c r="L231" s="27">
        <f t="shared" si="2"/>
        <v>1987</v>
      </c>
      <c r="M231" s="27">
        <f t="shared" si="3"/>
        <v>2</v>
      </c>
      <c r="N231" s="27">
        <f t="shared" ca="1" si="7"/>
        <v>39</v>
      </c>
      <c r="O231" s="27" t="str" cm="1">
        <f t="array" ref="O231">_xlfn.IFS($F231&gt;=750,"Excellent",$F231&gt;=700,"Good",$F231&gt;=650,"Moderate",
$F231&lt;650,"Risky"
)</f>
        <v>Good</v>
      </c>
      <c r="P231" s="27" t="str" cm="1">
        <f t="array" ref="P231">_xlfn.IFS(
AND(F231&gt;=750,H231&lt;=2),"Low Risk",
AND(F231&gt;=700,H231&lt;=5),"Medium Risk",
TRUE,"High Risk"
)</f>
        <v>High Risk</v>
      </c>
      <c r="Q231" s="5"/>
      <c r="R231" s="5"/>
      <c r="S231" s="5"/>
      <c r="T231" s="5"/>
      <c r="U231" s="5"/>
      <c r="V231" s="5"/>
      <c r="W231" s="5"/>
      <c r="X231" s="5"/>
      <c r="Y231" s="5"/>
    </row>
    <row r="232" spans="1:25" ht="15.75" customHeight="1" x14ac:dyDescent="0.25">
      <c r="A232" s="2">
        <v>44095</v>
      </c>
      <c r="B232" s="3">
        <v>57481</v>
      </c>
      <c r="C232" s="4" t="s">
        <v>16</v>
      </c>
      <c r="D232" s="4" t="str">
        <f t="shared" si="0"/>
        <v>Marketing</v>
      </c>
      <c r="E232" s="4" t="str">
        <f t="shared" si="1"/>
        <v>Executive</v>
      </c>
      <c r="F232" s="13">
        <v>798</v>
      </c>
      <c r="G232" s="13">
        <v>2</v>
      </c>
      <c r="H232" s="13">
        <v>5</v>
      </c>
      <c r="I232" s="2">
        <v>30412</v>
      </c>
      <c r="J232" s="15">
        <v>964222</v>
      </c>
      <c r="K232" s="4" t="s">
        <v>18</v>
      </c>
      <c r="L232" s="27">
        <f t="shared" si="2"/>
        <v>1983</v>
      </c>
      <c r="M232" s="27">
        <f t="shared" si="3"/>
        <v>9</v>
      </c>
      <c r="N232" s="27">
        <f t="shared" ca="1" si="7"/>
        <v>43</v>
      </c>
      <c r="O232" s="27" t="str" cm="1">
        <f t="array" ref="O232">_xlfn.IFS($F232&gt;=750,"Excellent",$F232&gt;=700,"Good",$F232&gt;=650,"Moderate",
$F232&lt;650,"Risky"
)</f>
        <v>Excellent</v>
      </c>
      <c r="P232" s="27" t="str" cm="1">
        <f t="array" ref="P232">_xlfn.IFS(
AND(F232&gt;=750,H232&lt;=2),"Low Risk",
AND(F232&gt;=700,H232&lt;=5),"Medium Risk",
TRUE,"High Risk"
)</f>
        <v>Medium Risk</v>
      </c>
      <c r="Q232" s="5"/>
      <c r="R232" s="5"/>
      <c r="S232" s="5"/>
      <c r="T232" s="5"/>
      <c r="U232" s="5"/>
      <c r="V232" s="5"/>
      <c r="W232" s="5"/>
      <c r="X232" s="5"/>
      <c r="Y232" s="5"/>
    </row>
    <row r="233" spans="1:25" ht="15.75" customHeight="1" x14ac:dyDescent="0.25">
      <c r="A233" s="2">
        <v>44044</v>
      </c>
      <c r="B233" s="3">
        <v>78269</v>
      </c>
      <c r="C233" s="4" t="s">
        <v>32</v>
      </c>
      <c r="D233" s="4" t="str">
        <f t="shared" si="0"/>
        <v>Finance</v>
      </c>
      <c r="E233" s="4" t="str">
        <f t="shared" si="1"/>
        <v>Executive</v>
      </c>
      <c r="F233" s="13">
        <v>728</v>
      </c>
      <c r="G233" s="13">
        <v>5</v>
      </c>
      <c r="H233" s="13">
        <v>3</v>
      </c>
      <c r="I233" s="2">
        <v>29767</v>
      </c>
      <c r="J233" s="15">
        <v>626846</v>
      </c>
      <c r="K233" s="4" t="s">
        <v>21</v>
      </c>
      <c r="L233" s="27">
        <f t="shared" si="2"/>
        <v>1981</v>
      </c>
      <c r="M233" s="27">
        <f t="shared" si="3"/>
        <v>8</v>
      </c>
      <c r="N233" s="27">
        <f t="shared" ca="1" si="7"/>
        <v>45</v>
      </c>
      <c r="O233" s="27" t="str" cm="1">
        <f t="array" ref="O233">_xlfn.IFS($F233&gt;=750,"Excellent",$F233&gt;=700,"Good",$F233&gt;=650,"Moderate",
$F233&lt;650,"Risky"
)</f>
        <v>Good</v>
      </c>
      <c r="P233" s="27" t="str" cm="1">
        <f t="array" ref="P233">_xlfn.IFS(
AND(F233&gt;=750,H233&lt;=2),"Low Risk",
AND(F233&gt;=700,H233&lt;=5),"Medium Risk",
TRUE,"High Risk"
)</f>
        <v>Medium Risk</v>
      </c>
      <c r="Q233" s="5"/>
      <c r="R233" s="5"/>
      <c r="S233" s="5"/>
      <c r="T233" s="5"/>
      <c r="U233" s="5"/>
      <c r="V233" s="5"/>
      <c r="W233" s="5"/>
      <c r="X233" s="5"/>
      <c r="Y233" s="5"/>
    </row>
    <row r="234" spans="1:25" ht="15.75" customHeight="1" x14ac:dyDescent="0.25">
      <c r="A234" s="2">
        <v>43852</v>
      </c>
      <c r="B234" s="3">
        <v>18296</v>
      </c>
      <c r="C234" s="4" t="s">
        <v>16</v>
      </c>
      <c r="D234" s="4" t="str">
        <f t="shared" si="0"/>
        <v>Marketing</v>
      </c>
      <c r="E234" s="4" t="str">
        <f t="shared" si="1"/>
        <v>Executive</v>
      </c>
      <c r="F234" s="13">
        <v>706</v>
      </c>
      <c r="G234" s="13">
        <v>5</v>
      </c>
      <c r="H234" s="13">
        <v>9</v>
      </c>
      <c r="I234" s="2">
        <v>31983</v>
      </c>
      <c r="J234" s="15">
        <v>689432</v>
      </c>
      <c r="K234" s="4" t="s">
        <v>18</v>
      </c>
      <c r="L234" s="27">
        <f t="shared" si="2"/>
        <v>1987</v>
      </c>
      <c r="M234" s="27">
        <f t="shared" si="3"/>
        <v>1</v>
      </c>
      <c r="N234" s="27">
        <f t="shared" ca="1" si="7"/>
        <v>39</v>
      </c>
      <c r="O234" s="27" t="str" cm="1">
        <f t="array" ref="O234">_xlfn.IFS($F234&gt;=750,"Excellent",$F234&gt;=700,"Good",$F234&gt;=650,"Moderate",
$F234&lt;650,"Risky"
)</f>
        <v>Good</v>
      </c>
      <c r="P234" s="27" t="str" cm="1">
        <f t="array" ref="P234">_xlfn.IFS(
AND(F234&gt;=750,H234&lt;=2),"Low Risk",
AND(F234&gt;=700,H234&lt;=5),"Medium Risk",
TRUE,"High Risk"
)</f>
        <v>High Risk</v>
      </c>
      <c r="Q234" s="5"/>
      <c r="R234" s="5"/>
      <c r="S234" s="5"/>
      <c r="T234" s="5"/>
      <c r="U234" s="5"/>
      <c r="V234" s="5"/>
      <c r="W234" s="5"/>
      <c r="X234" s="5"/>
      <c r="Y234" s="5"/>
    </row>
    <row r="235" spans="1:25" ht="15.75" customHeight="1" x14ac:dyDescent="0.25">
      <c r="A235" s="2">
        <v>44005</v>
      </c>
      <c r="B235" s="3">
        <v>10540</v>
      </c>
      <c r="C235" s="4" t="s">
        <v>32</v>
      </c>
      <c r="D235" s="4" t="str">
        <f t="shared" si="0"/>
        <v>Finance</v>
      </c>
      <c r="E235" s="4" t="str">
        <f t="shared" si="1"/>
        <v>Executive</v>
      </c>
      <c r="F235" s="13">
        <v>792</v>
      </c>
      <c r="G235" s="13">
        <v>1</v>
      </c>
      <c r="H235" s="13">
        <v>2</v>
      </c>
      <c r="I235" s="2">
        <v>30635</v>
      </c>
      <c r="J235" s="15">
        <v>845416</v>
      </c>
      <c r="K235" s="4" t="s">
        <v>21</v>
      </c>
      <c r="L235" s="27">
        <f t="shared" si="2"/>
        <v>1983</v>
      </c>
      <c r="M235" s="27">
        <f t="shared" si="3"/>
        <v>6</v>
      </c>
      <c r="N235" s="27">
        <f t="shared" ca="1" si="7"/>
        <v>43</v>
      </c>
      <c r="O235" s="27" t="str" cm="1">
        <f t="array" ref="O235">_xlfn.IFS($F235&gt;=750,"Excellent",$F235&gt;=700,"Good",$F235&gt;=650,"Moderate",
$F235&lt;650,"Risky"
)</f>
        <v>Excellent</v>
      </c>
      <c r="P235" s="27" t="str" cm="1">
        <f t="array" ref="P235">_xlfn.IFS(
AND(F235&gt;=750,H235&lt;=2),"Low Risk",
AND(F235&gt;=700,H235&lt;=5),"Medium Risk",
TRUE,"High Risk"
)</f>
        <v>Low Risk</v>
      </c>
      <c r="Q235" s="5"/>
      <c r="R235" s="5"/>
      <c r="S235" s="5"/>
      <c r="T235" s="5"/>
      <c r="U235" s="5"/>
      <c r="V235" s="5"/>
      <c r="W235" s="5"/>
      <c r="X235" s="5"/>
      <c r="Y235" s="5"/>
    </row>
    <row r="236" spans="1:25" ht="15.75" customHeight="1" x14ac:dyDescent="0.25">
      <c r="A236" s="2">
        <v>44165</v>
      </c>
      <c r="B236" s="3">
        <v>12777</v>
      </c>
      <c r="C236" s="4" t="s">
        <v>35</v>
      </c>
      <c r="D236" s="4" t="str">
        <f t="shared" si="0"/>
        <v>Growth</v>
      </c>
      <c r="E236" s="4" t="str">
        <f t="shared" si="1"/>
        <v>Intern</v>
      </c>
      <c r="F236" s="13">
        <v>785</v>
      </c>
      <c r="G236" s="13">
        <v>2</v>
      </c>
      <c r="H236" s="13">
        <v>2</v>
      </c>
      <c r="I236" s="2">
        <v>32989</v>
      </c>
      <c r="J236" s="15">
        <v>629797</v>
      </c>
      <c r="K236" s="4" t="s">
        <v>14</v>
      </c>
      <c r="L236" s="27">
        <f t="shared" si="2"/>
        <v>1990</v>
      </c>
      <c r="M236" s="27">
        <f t="shared" si="3"/>
        <v>11</v>
      </c>
      <c r="N236" s="27">
        <f t="shared" ca="1" si="7"/>
        <v>36</v>
      </c>
      <c r="O236" s="27" t="str" cm="1">
        <f t="array" ref="O236">_xlfn.IFS($F236&gt;=750,"Excellent",$F236&gt;=700,"Good",$F236&gt;=650,"Moderate",
$F236&lt;650,"Risky"
)</f>
        <v>Excellent</v>
      </c>
      <c r="P236" s="27" t="str" cm="1">
        <f t="array" ref="P236">_xlfn.IFS(
AND(F236&gt;=750,H236&lt;=2),"Low Risk",
AND(F236&gt;=700,H236&lt;=5),"Medium Risk",
TRUE,"High Risk"
)</f>
        <v>Low Risk</v>
      </c>
      <c r="Q236" s="5"/>
      <c r="R236" s="5"/>
      <c r="S236" s="5"/>
      <c r="T236" s="5"/>
      <c r="U236" s="5"/>
      <c r="V236" s="5"/>
      <c r="W236" s="5"/>
      <c r="X236" s="5"/>
      <c r="Y236" s="5"/>
    </row>
    <row r="237" spans="1:25" ht="15.75" customHeight="1" x14ac:dyDescent="0.25">
      <c r="A237" s="2">
        <v>44084</v>
      </c>
      <c r="B237" s="3">
        <v>38488</v>
      </c>
      <c r="C237" s="4" t="s">
        <v>26</v>
      </c>
      <c r="D237" s="4" t="str">
        <f t="shared" si="0"/>
        <v>Strategy</v>
      </c>
      <c r="E237" s="4" t="str">
        <f t="shared" si="1"/>
        <v>Manager</v>
      </c>
      <c r="F237" s="13">
        <v>733</v>
      </c>
      <c r="G237" s="13">
        <v>5</v>
      </c>
      <c r="H237" s="13">
        <v>6</v>
      </c>
      <c r="I237" s="2">
        <v>34263</v>
      </c>
      <c r="J237" s="15">
        <v>649924</v>
      </c>
      <c r="K237" s="4" t="s">
        <v>18</v>
      </c>
      <c r="L237" s="27">
        <f t="shared" si="2"/>
        <v>1993</v>
      </c>
      <c r="M237" s="27">
        <f t="shared" si="3"/>
        <v>9</v>
      </c>
      <c r="N237" s="27">
        <f t="shared" ca="1" si="7"/>
        <v>33</v>
      </c>
      <c r="O237" s="27" t="str" cm="1">
        <f t="array" ref="O237">_xlfn.IFS($F237&gt;=750,"Excellent",$F237&gt;=700,"Good",$F237&gt;=650,"Moderate",
$F237&lt;650,"Risky"
)</f>
        <v>Good</v>
      </c>
      <c r="P237" s="27" t="str" cm="1">
        <f t="array" ref="P237">_xlfn.IFS(
AND(F237&gt;=750,H237&lt;=2),"Low Risk",
AND(F237&gt;=700,H237&lt;=5),"Medium Risk",
TRUE,"High Risk"
)</f>
        <v>High Risk</v>
      </c>
      <c r="Q237" s="5"/>
      <c r="R237" s="5"/>
      <c r="S237" s="5"/>
      <c r="T237" s="5"/>
      <c r="U237" s="5"/>
      <c r="V237" s="5"/>
      <c r="W237" s="5"/>
      <c r="X237" s="5"/>
      <c r="Y237" s="5"/>
    </row>
    <row r="238" spans="1:25" ht="15.75" customHeight="1" x14ac:dyDescent="0.25">
      <c r="A238" s="2">
        <v>44165</v>
      </c>
      <c r="B238" s="3">
        <v>96429</v>
      </c>
      <c r="C238" s="4" t="s">
        <v>37</v>
      </c>
      <c r="D238" s="4" t="str">
        <f t="shared" si="0"/>
        <v>Strategy</v>
      </c>
      <c r="E238" s="4" t="str">
        <f t="shared" si="1"/>
        <v>Director</v>
      </c>
      <c r="F238" s="13">
        <v>800</v>
      </c>
      <c r="G238" s="13">
        <v>4</v>
      </c>
      <c r="H238" s="13">
        <v>10</v>
      </c>
      <c r="I238" s="2">
        <v>32593</v>
      </c>
      <c r="J238" s="15">
        <v>604205</v>
      </c>
      <c r="K238" s="4" t="s">
        <v>21</v>
      </c>
      <c r="L238" s="27">
        <f t="shared" si="2"/>
        <v>1989</v>
      </c>
      <c r="M238" s="27">
        <f t="shared" si="3"/>
        <v>11</v>
      </c>
      <c r="N238" s="27">
        <f t="shared" ca="1" si="7"/>
        <v>37</v>
      </c>
      <c r="O238" s="27" t="str" cm="1">
        <f t="array" ref="O238">_xlfn.IFS($F238&gt;=750,"Excellent",$F238&gt;=700,"Good",$F238&gt;=650,"Moderate",
$F238&lt;650,"Risky"
)</f>
        <v>Excellent</v>
      </c>
      <c r="P238" s="27" t="str" cm="1">
        <f t="array" ref="P238">_xlfn.IFS(
AND(F238&gt;=750,H238&lt;=2),"Low Risk",
AND(F238&gt;=700,H238&lt;=5),"Medium Risk",
TRUE,"High Risk"
)</f>
        <v>High Risk</v>
      </c>
      <c r="Q238" s="5"/>
      <c r="R238" s="5"/>
      <c r="S238" s="5"/>
      <c r="T238" s="5"/>
      <c r="U238" s="5"/>
      <c r="V238" s="5"/>
      <c r="W238" s="5"/>
      <c r="X238" s="5"/>
      <c r="Y238" s="5"/>
    </row>
    <row r="239" spans="1:25" ht="15.75" customHeight="1" x14ac:dyDescent="0.25">
      <c r="A239" s="2">
        <v>44011</v>
      </c>
      <c r="B239" s="3">
        <v>62361</v>
      </c>
      <c r="C239" s="4" t="s">
        <v>38</v>
      </c>
      <c r="D239" s="4" t="str">
        <f t="shared" si="0"/>
        <v>Finance</v>
      </c>
      <c r="E239" s="4" t="str">
        <f t="shared" si="1"/>
        <v>Manager</v>
      </c>
      <c r="F239" s="13">
        <v>732</v>
      </c>
      <c r="G239" s="13">
        <v>2</v>
      </c>
      <c r="H239" s="13">
        <v>5</v>
      </c>
      <c r="I239" s="2">
        <v>31552</v>
      </c>
      <c r="J239" s="15">
        <v>558654</v>
      </c>
      <c r="K239" s="4" t="s">
        <v>21</v>
      </c>
      <c r="L239" s="27">
        <f t="shared" si="2"/>
        <v>1986</v>
      </c>
      <c r="M239" s="27">
        <f t="shared" si="3"/>
        <v>6</v>
      </c>
      <c r="N239" s="27">
        <f t="shared" ca="1" si="7"/>
        <v>40</v>
      </c>
      <c r="O239" s="27" t="str" cm="1">
        <f t="array" ref="O239">_xlfn.IFS($F239&gt;=750,"Excellent",$F239&gt;=700,"Good",$F239&gt;=650,"Moderate",
$F239&lt;650,"Risky"
)</f>
        <v>Good</v>
      </c>
      <c r="P239" s="27" t="str" cm="1">
        <f t="array" ref="P239">_xlfn.IFS(
AND(F239&gt;=750,H239&lt;=2),"Low Risk",
AND(F239&gt;=700,H239&lt;=5),"Medium Risk",
TRUE,"High Risk"
)</f>
        <v>Medium Risk</v>
      </c>
      <c r="Q239" s="5"/>
      <c r="R239" s="5"/>
      <c r="S239" s="5"/>
      <c r="T239" s="5"/>
      <c r="U239" s="5"/>
      <c r="V239" s="5"/>
      <c r="W239" s="5"/>
      <c r="X239" s="5"/>
      <c r="Y239" s="5"/>
    </row>
    <row r="240" spans="1:25" ht="15.75" customHeight="1" x14ac:dyDescent="0.25">
      <c r="A240" s="2">
        <v>44070</v>
      </c>
      <c r="B240" s="3">
        <v>58389</v>
      </c>
      <c r="C240" s="4" t="s">
        <v>38</v>
      </c>
      <c r="D240" s="4" t="str">
        <f t="shared" si="0"/>
        <v>Finance</v>
      </c>
      <c r="E240" s="4" t="str">
        <f t="shared" si="1"/>
        <v>Manager</v>
      </c>
      <c r="F240" s="13">
        <v>734</v>
      </c>
      <c r="G240" s="13">
        <v>1</v>
      </c>
      <c r="H240" s="13">
        <v>7</v>
      </c>
      <c r="I240" s="2">
        <v>29594</v>
      </c>
      <c r="J240" s="15">
        <v>694705</v>
      </c>
      <c r="K240" s="4" t="s">
        <v>21</v>
      </c>
      <c r="L240" s="27">
        <f t="shared" si="2"/>
        <v>1981</v>
      </c>
      <c r="M240" s="27">
        <f t="shared" si="3"/>
        <v>8</v>
      </c>
      <c r="N240" s="27">
        <f t="shared" ca="1" si="7"/>
        <v>45</v>
      </c>
      <c r="O240" s="27" t="str" cm="1">
        <f t="array" ref="O240">_xlfn.IFS($F240&gt;=750,"Excellent",$F240&gt;=700,"Good",$F240&gt;=650,"Moderate",
$F240&lt;650,"Risky"
)</f>
        <v>Good</v>
      </c>
      <c r="P240" s="27" t="str" cm="1">
        <f t="array" ref="P240">_xlfn.IFS(
AND(F240&gt;=750,H240&lt;=2),"Low Risk",
AND(F240&gt;=700,H240&lt;=5),"Medium Risk",
TRUE,"High Risk"
)</f>
        <v>High Risk</v>
      </c>
      <c r="Q240" s="5"/>
      <c r="R240" s="5"/>
      <c r="S240" s="5"/>
      <c r="T240" s="5"/>
      <c r="U240" s="5"/>
      <c r="V240" s="5"/>
      <c r="W240" s="5"/>
      <c r="X240" s="5"/>
      <c r="Y240" s="5"/>
    </row>
    <row r="241" spans="1:25" ht="15.75" customHeight="1" x14ac:dyDescent="0.25">
      <c r="A241" s="2">
        <v>44065</v>
      </c>
      <c r="B241" s="3">
        <v>18563</v>
      </c>
      <c r="C241" s="4" t="s">
        <v>32</v>
      </c>
      <c r="D241" s="4" t="str">
        <f t="shared" si="0"/>
        <v>Finance</v>
      </c>
      <c r="E241" s="4" t="str">
        <f t="shared" si="1"/>
        <v>Executive</v>
      </c>
      <c r="F241" s="13">
        <v>730</v>
      </c>
      <c r="G241" s="13">
        <v>2</v>
      </c>
      <c r="H241" s="13">
        <v>10</v>
      </c>
      <c r="I241" s="2">
        <v>32016</v>
      </c>
      <c r="J241" s="15">
        <v>566400</v>
      </c>
      <c r="K241" s="4" t="s">
        <v>21</v>
      </c>
      <c r="L241" s="27">
        <f t="shared" si="2"/>
        <v>1987</v>
      </c>
      <c r="M241" s="27">
        <f t="shared" si="3"/>
        <v>8</v>
      </c>
      <c r="N241" s="27">
        <f t="shared" ca="1" si="7"/>
        <v>39</v>
      </c>
      <c r="O241" s="27" t="str" cm="1">
        <f t="array" ref="O241">_xlfn.IFS($F241&gt;=750,"Excellent",$F241&gt;=700,"Good",$F241&gt;=650,"Moderate",
$F241&lt;650,"Risky"
)</f>
        <v>Good</v>
      </c>
      <c r="P241" s="27" t="str" cm="1">
        <f t="array" ref="P241">_xlfn.IFS(
AND(F241&gt;=750,H241&lt;=2),"Low Risk",
AND(F241&gt;=700,H241&lt;=5),"Medium Risk",
TRUE,"High Risk"
)</f>
        <v>High Risk</v>
      </c>
      <c r="Q241" s="5"/>
      <c r="R241" s="5"/>
      <c r="S241" s="5"/>
      <c r="T241" s="5"/>
      <c r="U241" s="5"/>
      <c r="V241" s="5"/>
      <c r="W241" s="5"/>
      <c r="X241" s="5"/>
      <c r="Y241" s="5"/>
    </row>
    <row r="242" spans="1:25" ht="15.75" customHeight="1" x14ac:dyDescent="0.25">
      <c r="A242" s="2">
        <v>43842</v>
      </c>
      <c r="B242" s="3">
        <v>27941</v>
      </c>
      <c r="C242" s="4" t="s">
        <v>26</v>
      </c>
      <c r="D242" s="4" t="str">
        <f t="shared" si="0"/>
        <v>Strategy</v>
      </c>
      <c r="E242" s="4" t="str">
        <f t="shared" si="1"/>
        <v>Manager</v>
      </c>
      <c r="F242" s="13">
        <v>729</v>
      </c>
      <c r="G242" s="13">
        <v>1</v>
      </c>
      <c r="H242" s="13">
        <v>2</v>
      </c>
      <c r="I242" s="2">
        <v>30354</v>
      </c>
      <c r="J242" s="15">
        <v>566128</v>
      </c>
      <c r="K242" s="4" t="s">
        <v>18</v>
      </c>
      <c r="L242" s="27">
        <f t="shared" si="2"/>
        <v>1983</v>
      </c>
      <c r="M242" s="27">
        <f t="shared" si="3"/>
        <v>1</v>
      </c>
      <c r="N242" s="27">
        <f t="shared" ca="1" si="7"/>
        <v>43</v>
      </c>
      <c r="O242" s="27" t="str" cm="1">
        <f t="array" ref="O242">_xlfn.IFS($F242&gt;=750,"Excellent",$F242&gt;=700,"Good",$F242&gt;=650,"Moderate",
$F242&lt;650,"Risky"
)</f>
        <v>Good</v>
      </c>
      <c r="P242" s="27" t="str" cm="1">
        <f t="array" ref="P242">_xlfn.IFS(
AND(F242&gt;=750,H242&lt;=2),"Low Risk",
AND(F242&gt;=700,H242&lt;=5),"Medium Risk",
TRUE,"High Risk"
)</f>
        <v>Medium Risk</v>
      </c>
      <c r="Q242" s="5"/>
      <c r="R242" s="5"/>
      <c r="S242" s="5"/>
      <c r="T242" s="5"/>
      <c r="U242" s="5"/>
      <c r="V242" s="5"/>
      <c r="W242" s="5"/>
      <c r="X242" s="5"/>
      <c r="Y242" s="5"/>
    </row>
    <row r="243" spans="1:25" ht="15.75" customHeight="1" x14ac:dyDescent="0.25">
      <c r="A243" s="2">
        <v>44108</v>
      </c>
      <c r="B243" s="3">
        <v>18719</v>
      </c>
      <c r="C243" s="4" t="s">
        <v>30</v>
      </c>
      <c r="D243" s="4" t="str">
        <f t="shared" si="0"/>
        <v>Operation</v>
      </c>
      <c r="E243" s="4" t="str">
        <f t="shared" si="1"/>
        <v>Director</v>
      </c>
      <c r="F243" s="13">
        <v>798</v>
      </c>
      <c r="G243" s="13">
        <v>5</v>
      </c>
      <c r="H243" s="13">
        <v>1</v>
      </c>
      <c r="I243" s="2">
        <v>31544</v>
      </c>
      <c r="J243" s="15">
        <v>663937</v>
      </c>
      <c r="K243" s="4" t="s">
        <v>14</v>
      </c>
      <c r="L243" s="27">
        <f t="shared" si="2"/>
        <v>1986</v>
      </c>
      <c r="M243" s="27">
        <f t="shared" si="3"/>
        <v>10</v>
      </c>
      <c r="N243" s="27">
        <f t="shared" ca="1" si="7"/>
        <v>40</v>
      </c>
      <c r="O243" s="27" t="str" cm="1">
        <f t="array" ref="O243">_xlfn.IFS($F243&gt;=750,"Excellent",$F243&gt;=700,"Good",$F243&gt;=650,"Moderate",
$F243&lt;650,"Risky"
)</f>
        <v>Excellent</v>
      </c>
      <c r="P243" s="27" t="str" cm="1">
        <f t="array" ref="P243">_xlfn.IFS(
AND(F243&gt;=750,H243&lt;=2),"Low Risk",
AND(F243&gt;=700,H243&lt;=5),"Medium Risk",
TRUE,"High Risk"
)</f>
        <v>Low Risk</v>
      </c>
      <c r="Q243" s="5"/>
      <c r="R243" s="5"/>
      <c r="S243" s="5"/>
      <c r="T243" s="5"/>
      <c r="U243" s="5"/>
      <c r="V243" s="5"/>
      <c r="W243" s="5"/>
      <c r="X243" s="5"/>
      <c r="Y243" s="5"/>
    </row>
    <row r="244" spans="1:25" ht="15.75" customHeight="1" x14ac:dyDescent="0.25">
      <c r="A244" s="2">
        <v>43873</v>
      </c>
      <c r="B244" s="3">
        <v>66252</v>
      </c>
      <c r="C244" s="4" t="s">
        <v>37</v>
      </c>
      <c r="D244" s="4" t="str">
        <f t="shared" si="0"/>
        <v>Strategy</v>
      </c>
      <c r="E244" s="4" t="str">
        <f t="shared" si="1"/>
        <v>Director</v>
      </c>
      <c r="F244" s="13">
        <v>720</v>
      </c>
      <c r="G244" s="13">
        <v>2</v>
      </c>
      <c r="H244" s="13">
        <v>1</v>
      </c>
      <c r="I244" s="2">
        <v>30128</v>
      </c>
      <c r="J244" s="15">
        <v>998053</v>
      </c>
      <c r="K244" s="4" t="s">
        <v>18</v>
      </c>
      <c r="L244" s="27">
        <f t="shared" si="2"/>
        <v>1982</v>
      </c>
      <c r="M244" s="27">
        <f t="shared" si="3"/>
        <v>2</v>
      </c>
      <c r="N244" s="27">
        <f t="shared" ca="1" si="7"/>
        <v>44</v>
      </c>
      <c r="O244" s="27" t="str" cm="1">
        <f t="array" ref="O244">_xlfn.IFS($F244&gt;=750,"Excellent",$F244&gt;=700,"Good",$F244&gt;=650,"Moderate",
$F244&lt;650,"Risky"
)</f>
        <v>Good</v>
      </c>
      <c r="P244" s="27" t="str" cm="1">
        <f t="array" ref="P244">_xlfn.IFS(
AND(F244&gt;=750,H244&lt;=2),"Low Risk",
AND(F244&gt;=700,H244&lt;=5),"Medium Risk",
TRUE,"High Risk"
)</f>
        <v>Medium Risk</v>
      </c>
      <c r="Q244" s="5"/>
      <c r="R244" s="5"/>
      <c r="S244" s="5"/>
      <c r="T244" s="5"/>
      <c r="U244" s="5"/>
      <c r="V244" s="5"/>
      <c r="W244" s="5"/>
      <c r="X244" s="5"/>
      <c r="Y244" s="5"/>
    </row>
    <row r="245" spans="1:25" ht="15.75" customHeight="1" x14ac:dyDescent="0.25">
      <c r="A245" s="2">
        <v>44029</v>
      </c>
      <c r="B245" s="3">
        <v>31301</v>
      </c>
      <c r="C245" s="4" t="s">
        <v>25</v>
      </c>
      <c r="D245" s="4" t="str">
        <f t="shared" si="0"/>
        <v>Sales</v>
      </c>
      <c r="E245" s="4" t="str">
        <f t="shared" si="1"/>
        <v>Manager</v>
      </c>
      <c r="F245" s="13">
        <v>733</v>
      </c>
      <c r="G245" s="13">
        <v>1</v>
      </c>
      <c r="H245" s="13">
        <v>6</v>
      </c>
      <c r="I245" s="2">
        <v>34113</v>
      </c>
      <c r="J245" s="15">
        <v>708004</v>
      </c>
      <c r="K245" s="4" t="s">
        <v>18</v>
      </c>
      <c r="L245" s="27">
        <f t="shared" si="2"/>
        <v>1993</v>
      </c>
      <c r="M245" s="27">
        <f t="shared" si="3"/>
        <v>7</v>
      </c>
      <c r="N245" s="27">
        <f t="shared" ca="1" si="7"/>
        <v>33</v>
      </c>
      <c r="O245" s="27" t="str" cm="1">
        <f t="array" ref="O245">_xlfn.IFS($F245&gt;=750,"Excellent",$F245&gt;=700,"Good",$F245&gt;=650,"Moderate",
$F245&lt;650,"Risky"
)</f>
        <v>Good</v>
      </c>
      <c r="P245" s="27" t="str" cm="1">
        <f t="array" ref="P245">_xlfn.IFS(
AND(F245&gt;=750,H245&lt;=2),"Low Risk",
AND(F245&gt;=700,H245&lt;=5),"Medium Risk",
TRUE,"High Risk"
)</f>
        <v>High Risk</v>
      </c>
      <c r="Q245" s="5"/>
      <c r="R245" s="5"/>
      <c r="S245" s="5"/>
      <c r="T245" s="5"/>
      <c r="U245" s="5"/>
      <c r="V245" s="5"/>
      <c r="W245" s="5"/>
      <c r="X245" s="5"/>
      <c r="Y245" s="5"/>
    </row>
    <row r="246" spans="1:25" ht="15.75" customHeight="1" x14ac:dyDescent="0.25">
      <c r="A246" s="2">
        <v>43831</v>
      </c>
      <c r="B246" s="3">
        <v>45985</v>
      </c>
      <c r="C246" s="4" t="s">
        <v>36</v>
      </c>
      <c r="D246" s="4" t="str">
        <f t="shared" si="0"/>
        <v>Sales</v>
      </c>
      <c r="E246" s="4" t="str">
        <f t="shared" si="1"/>
        <v>Intern</v>
      </c>
      <c r="F246" s="13">
        <v>727</v>
      </c>
      <c r="G246" s="13">
        <v>3</v>
      </c>
      <c r="H246" s="13">
        <v>2</v>
      </c>
      <c r="I246" s="2">
        <v>33053</v>
      </c>
      <c r="J246" s="15">
        <v>878224</v>
      </c>
      <c r="K246" s="4" t="s">
        <v>18</v>
      </c>
      <c r="L246" s="27">
        <f t="shared" si="2"/>
        <v>1990</v>
      </c>
      <c r="M246" s="27">
        <f t="shared" si="3"/>
        <v>1</v>
      </c>
      <c r="N246" s="27">
        <f t="shared" ca="1" si="7"/>
        <v>36</v>
      </c>
      <c r="O246" s="27" t="str" cm="1">
        <f t="array" ref="O246">_xlfn.IFS($F246&gt;=750,"Excellent",$F246&gt;=700,"Good",$F246&gt;=650,"Moderate",
$F246&lt;650,"Risky"
)</f>
        <v>Good</v>
      </c>
      <c r="P246" s="27" t="str" cm="1">
        <f t="array" ref="P246">_xlfn.IFS(
AND(F246&gt;=750,H246&lt;=2),"Low Risk",
AND(F246&gt;=700,H246&lt;=5),"Medium Risk",
TRUE,"High Risk"
)</f>
        <v>Medium Risk</v>
      </c>
      <c r="Q246" s="5"/>
      <c r="R246" s="5"/>
      <c r="S246" s="5"/>
      <c r="T246" s="5"/>
      <c r="U246" s="5"/>
      <c r="V246" s="5"/>
      <c r="W246" s="5"/>
      <c r="X246" s="5"/>
      <c r="Y246" s="5"/>
    </row>
    <row r="247" spans="1:25" ht="15.75" customHeight="1" x14ac:dyDescent="0.25">
      <c r="A247" s="2">
        <v>43989</v>
      </c>
      <c r="B247" s="3">
        <v>73036</v>
      </c>
      <c r="C247" s="4" t="s">
        <v>34</v>
      </c>
      <c r="D247" s="4" t="str">
        <f t="shared" si="0"/>
        <v>Finance</v>
      </c>
      <c r="E247" s="4" t="str">
        <f t="shared" si="1"/>
        <v>Director</v>
      </c>
      <c r="F247" s="13">
        <v>756</v>
      </c>
      <c r="G247" s="13">
        <v>1</v>
      </c>
      <c r="H247" s="13">
        <v>4</v>
      </c>
      <c r="I247" s="2">
        <v>31346</v>
      </c>
      <c r="J247" s="15">
        <v>522993</v>
      </c>
      <c r="K247" s="4" t="s">
        <v>18</v>
      </c>
      <c r="L247" s="27">
        <f t="shared" si="2"/>
        <v>1985</v>
      </c>
      <c r="M247" s="27">
        <f t="shared" si="3"/>
        <v>6</v>
      </c>
      <c r="N247" s="27">
        <f t="shared" ca="1" si="7"/>
        <v>41</v>
      </c>
      <c r="O247" s="27" t="str" cm="1">
        <f t="array" ref="O247">_xlfn.IFS($F247&gt;=750,"Excellent",$F247&gt;=700,"Good",$F247&gt;=650,"Moderate",
$F247&lt;650,"Risky"
)</f>
        <v>Excellent</v>
      </c>
      <c r="P247" s="27" t="str" cm="1">
        <f t="array" ref="P247">_xlfn.IFS(
AND(F247&gt;=750,H247&lt;=2),"Low Risk",
AND(F247&gt;=700,H247&lt;=5),"Medium Risk",
TRUE,"High Risk"
)</f>
        <v>Medium Risk</v>
      </c>
      <c r="Q247" s="5"/>
      <c r="R247" s="5"/>
      <c r="S247" s="5"/>
      <c r="T247" s="5"/>
      <c r="U247" s="5"/>
      <c r="V247" s="5"/>
      <c r="W247" s="5"/>
      <c r="X247" s="5"/>
      <c r="Y247" s="5"/>
    </row>
    <row r="248" spans="1:25" ht="15.75" customHeight="1" x14ac:dyDescent="0.25">
      <c r="A248" s="2">
        <v>43916</v>
      </c>
      <c r="B248" s="3">
        <v>87856</v>
      </c>
      <c r="C248" s="4" t="s">
        <v>34</v>
      </c>
      <c r="D248" s="4" t="str">
        <f t="shared" si="0"/>
        <v>Finance</v>
      </c>
      <c r="E248" s="4" t="str">
        <f t="shared" si="1"/>
        <v>Director</v>
      </c>
      <c r="F248" s="13">
        <v>709</v>
      </c>
      <c r="G248" s="13">
        <v>1</v>
      </c>
      <c r="H248" s="13">
        <v>6</v>
      </c>
      <c r="I248" s="2">
        <v>34405</v>
      </c>
      <c r="J248" s="15">
        <v>976648</v>
      </c>
      <c r="K248" s="4" t="s">
        <v>21</v>
      </c>
      <c r="L248" s="27">
        <f t="shared" si="2"/>
        <v>1994</v>
      </c>
      <c r="M248" s="27">
        <f t="shared" si="3"/>
        <v>3</v>
      </c>
      <c r="N248" s="27">
        <f t="shared" ca="1" si="7"/>
        <v>32</v>
      </c>
      <c r="O248" s="27" t="str" cm="1">
        <f t="array" ref="O248">_xlfn.IFS($F248&gt;=750,"Excellent",$F248&gt;=700,"Good",$F248&gt;=650,"Moderate",
$F248&lt;650,"Risky"
)</f>
        <v>Good</v>
      </c>
      <c r="P248" s="27" t="str" cm="1">
        <f t="array" ref="P248">_xlfn.IFS(
AND(F248&gt;=750,H248&lt;=2),"Low Risk",
AND(F248&gt;=700,H248&lt;=5),"Medium Risk",
TRUE,"High Risk"
)</f>
        <v>High Risk</v>
      </c>
      <c r="Q248" s="5"/>
      <c r="R248" s="5"/>
      <c r="S248" s="5"/>
      <c r="T248" s="5"/>
      <c r="U248" s="5"/>
      <c r="V248" s="5"/>
      <c r="W248" s="5"/>
      <c r="X248" s="5"/>
      <c r="Y248" s="5"/>
    </row>
    <row r="249" spans="1:25" ht="15.75" customHeight="1" x14ac:dyDescent="0.25">
      <c r="A249" s="2">
        <v>44096</v>
      </c>
      <c r="B249" s="3">
        <v>13688</v>
      </c>
      <c r="C249" s="4" t="s">
        <v>28</v>
      </c>
      <c r="D249" s="4" t="str">
        <f t="shared" si="0"/>
        <v>Growth</v>
      </c>
      <c r="E249" s="4" t="str">
        <f t="shared" si="1"/>
        <v>Director</v>
      </c>
      <c r="F249" s="13">
        <v>781</v>
      </c>
      <c r="G249" s="13">
        <v>4</v>
      </c>
      <c r="H249" s="13">
        <v>10</v>
      </c>
      <c r="I249" s="2">
        <v>32314</v>
      </c>
      <c r="J249" s="15">
        <v>711385</v>
      </c>
      <c r="K249" s="4" t="s">
        <v>21</v>
      </c>
      <c r="L249" s="27">
        <f t="shared" si="2"/>
        <v>1988</v>
      </c>
      <c r="M249" s="27">
        <f t="shared" si="3"/>
        <v>9</v>
      </c>
      <c r="N249" s="27">
        <f t="shared" ca="1" si="7"/>
        <v>38</v>
      </c>
      <c r="O249" s="27" t="str" cm="1">
        <f t="array" ref="O249">_xlfn.IFS($F249&gt;=750,"Excellent",$F249&gt;=700,"Good",$F249&gt;=650,"Moderate",
$F249&lt;650,"Risky"
)</f>
        <v>Excellent</v>
      </c>
      <c r="P249" s="27" t="str" cm="1">
        <f t="array" ref="P249">_xlfn.IFS(
AND(F249&gt;=750,H249&lt;=2),"Low Risk",
AND(F249&gt;=700,H249&lt;=5),"Medium Risk",
TRUE,"High Risk"
)</f>
        <v>High Risk</v>
      </c>
      <c r="Q249" s="5"/>
      <c r="R249" s="5"/>
      <c r="S249" s="5"/>
      <c r="T249" s="5"/>
      <c r="U249" s="5"/>
      <c r="V249" s="5"/>
      <c r="W249" s="5"/>
      <c r="X249" s="5"/>
      <c r="Y249" s="5"/>
    </row>
    <row r="250" spans="1:25" ht="15.75" customHeight="1" x14ac:dyDescent="0.25">
      <c r="A250" s="2">
        <v>44060</v>
      </c>
      <c r="B250" s="3">
        <v>59416</v>
      </c>
      <c r="C250" s="4" t="s">
        <v>36</v>
      </c>
      <c r="D250" s="4" t="str">
        <f t="shared" si="0"/>
        <v>Sales</v>
      </c>
      <c r="E250" s="4" t="str">
        <f t="shared" si="1"/>
        <v>Intern</v>
      </c>
      <c r="F250" s="13">
        <v>735</v>
      </c>
      <c r="G250" s="13">
        <v>1</v>
      </c>
      <c r="H250" s="13">
        <v>9</v>
      </c>
      <c r="I250" s="2">
        <v>32376</v>
      </c>
      <c r="J250" s="15">
        <v>893259</v>
      </c>
      <c r="K250" s="4" t="s">
        <v>18</v>
      </c>
      <c r="L250" s="27">
        <f t="shared" si="2"/>
        <v>1988</v>
      </c>
      <c r="M250" s="27">
        <f t="shared" si="3"/>
        <v>8</v>
      </c>
      <c r="N250" s="27">
        <f t="shared" ca="1" si="7"/>
        <v>38</v>
      </c>
      <c r="O250" s="27" t="str" cm="1">
        <f t="array" ref="O250">_xlfn.IFS($F250&gt;=750,"Excellent",$F250&gt;=700,"Good",$F250&gt;=650,"Moderate",
$F250&lt;650,"Risky"
)</f>
        <v>Good</v>
      </c>
      <c r="P250" s="27" t="str" cm="1">
        <f t="array" ref="P250">_xlfn.IFS(
AND(F250&gt;=750,H250&lt;=2),"Low Risk",
AND(F250&gt;=700,H250&lt;=5),"Medium Risk",
TRUE,"High Risk"
)</f>
        <v>High Risk</v>
      </c>
      <c r="Q250" s="5"/>
      <c r="R250" s="5"/>
      <c r="S250" s="5"/>
      <c r="T250" s="5"/>
      <c r="U250" s="5"/>
      <c r="V250" s="5"/>
      <c r="W250" s="5"/>
      <c r="X250" s="5"/>
      <c r="Y250" s="5"/>
    </row>
    <row r="251" spans="1:25" ht="15.75" customHeight="1" x14ac:dyDescent="0.25">
      <c r="A251" s="2">
        <v>43948</v>
      </c>
      <c r="B251" s="3">
        <v>17176</v>
      </c>
      <c r="C251" s="4" t="s">
        <v>23</v>
      </c>
      <c r="D251" s="4" t="str">
        <f t="shared" si="0"/>
        <v>Marketing</v>
      </c>
      <c r="E251" s="4" t="str">
        <f t="shared" si="1"/>
        <v>Intern</v>
      </c>
      <c r="F251" s="13">
        <v>774</v>
      </c>
      <c r="G251" s="13">
        <v>1</v>
      </c>
      <c r="H251" s="13">
        <v>4</v>
      </c>
      <c r="I251" s="2">
        <v>30684</v>
      </c>
      <c r="J251" s="15">
        <v>700475</v>
      </c>
      <c r="K251" s="4" t="s">
        <v>14</v>
      </c>
      <c r="L251" s="27">
        <f t="shared" si="2"/>
        <v>1984</v>
      </c>
      <c r="M251" s="27">
        <f t="shared" si="3"/>
        <v>4</v>
      </c>
      <c r="N251" s="27">
        <f t="shared" ca="1" si="7"/>
        <v>42</v>
      </c>
      <c r="O251" s="27" t="str" cm="1">
        <f t="array" ref="O251">_xlfn.IFS($F251&gt;=750,"Excellent",$F251&gt;=700,"Good",$F251&gt;=650,"Moderate",
$F251&lt;650,"Risky"
)</f>
        <v>Excellent</v>
      </c>
      <c r="P251" s="27" t="str" cm="1">
        <f t="array" ref="P251">_xlfn.IFS(
AND(F251&gt;=750,H251&lt;=2),"Low Risk",
AND(F251&gt;=700,H251&lt;=5),"Medium Risk",
TRUE,"High Risk"
)</f>
        <v>Medium Risk</v>
      </c>
      <c r="Q251" s="5"/>
      <c r="R251" s="5"/>
      <c r="S251" s="5"/>
      <c r="T251" s="5"/>
      <c r="U251" s="5"/>
      <c r="V251" s="5"/>
      <c r="W251" s="5"/>
      <c r="X251" s="5"/>
      <c r="Y251" s="5"/>
    </row>
    <row r="252" spans="1:25" ht="15.75" customHeight="1" x14ac:dyDescent="0.25">
      <c r="A252" s="2">
        <v>44156</v>
      </c>
      <c r="B252" s="3">
        <v>48314</v>
      </c>
      <c r="C252" s="4" t="s">
        <v>19</v>
      </c>
      <c r="D252" s="4" t="str">
        <f t="shared" si="0"/>
        <v>Marketing</v>
      </c>
      <c r="E252" s="4" t="str">
        <f t="shared" si="1"/>
        <v>Manager</v>
      </c>
      <c r="F252" s="13">
        <v>741</v>
      </c>
      <c r="G252" s="13">
        <v>2</v>
      </c>
      <c r="H252" s="13">
        <v>5</v>
      </c>
      <c r="I252" s="2">
        <v>32729</v>
      </c>
      <c r="J252" s="15">
        <v>975582</v>
      </c>
      <c r="K252" s="4" t="s">
        <v>18</v>
      </c>
      <c r="L252" s="27">
        <f t="shared" si="2"/>
        <v>1989</v>
      </c>
      <c r="M252" s="27">
        <f t="shared" si="3"/>
        <v>11</v>
      </c>
      <c r="N252" s="27">
        <f t="shared" ca="1" si="7"/>
        <v>37</v>
      </c>
      <c r="O252" s="27" t="str" cm="1">
        <f t="array" ref="O252">_xlfn.IFS($F252&gt;=750,"Excellent",$F252&gt;=700,"Good",$F252&gt;=650,"Moderate",
$F252&lt;650,"Risky"
)</f>
        <v>Good</v>
      </c>
      <c r="P252" s="27" t="str" cm="1">
        <f t="array" ref="P252">_xlfn.IFS(
AND(F252&gt;=750,H252&lt;=2),"Low Risk",
AND(F252&gt;=700,H252&lt;=5),"Medium Risk",
TRUE,"High Risk"
)</f>
        <v>Medium Risk</v>
      </c>
      <c r="Q252" s="5"/>
      <c r="R252" s="5"/>
      <c r="S252" s="5"/>
      <c r="T252" s="5"/>
      <c r="U252" s="5"/>
      <c r="V252" s="5"/>
      <c r="W252" s="5"/>
      <c r="X252" s="5"/>
      <c r="Y252" s="5"/>
    </row>
    <row r="253" spans="1:25" ht="15.75" customHeight="1" x14ac:dyDescent="0.25">
      <c r="A253" s="2">
        <v>44117</v>
      </c>
      <c r="B253" s="3">
        <v>40553</v>
      </c>
      <c r="C253" s="4" t="s">
        <v>28</v>
      </c>
      <c r="D253" s="4" t="str">
        <f t="shared" si="0"/>
        <v>Growth</v>
      </c>
      <c r="E253" s="4" t="str">
        <f t="shared" si="1"/>
        <v>Director</v>
      </c>
      <c r="F253" s="13">
        <v>714</v>
      </c>
      <c r="G253" s="13">
        <v>1</v>
      </c>
      <c r="H253" s="13">
        <v>9</v>
      </c>
      <c r="I253" s="2">
        <v>34064</v>
      </c>
      <c r="J253" s="15">
        <v>666637</v>
      </c>
      <c r="K253" s="4" t="s">
        <v>21</v>
      </c>
      <c r="L253" s="27">
        <f t="shared" si="2"/>
        <v>1993</v>
      </c>
      <c r="M253" s="27">
        <f t="shared" si="3"/>
        <v>10</v>
      </c>
      <c r="N253" s="27">
        <f t="shared" ca="1" si="7"/>
        <v>33</v>
      </c>
      <c r="O253" s="27" t="str" cm="1">
        <f t="array" ref="O253">_xlfn.IFS($F253&gt;=750,"Excellent",$F253&gt;=700,"Good",$F253&gt;=650,"Moderate",
$F253&lt;650,"Risky"
)</f>
        <v>Good</v>
      </c>
      <c r="P253" s="27" t="str" cm="1">
        <f t="array" ref="P253">_xlfn.IFS(
AND(F253&gt;=750,H253&lt;=2),"Low Risk",
AND(F253&gt;=700,H253&lt;=5),"Medium Risk",
TRUE,"High Risk"
)</f>
        <v>High Risk</v>
      </c>
      <c r="Q253" s="5"/>
      <c r="R253" s="5"/>
      <c r="S253" s="5"/>
      <c r="T253" s="5"/>
      <c r="U253" s="5"/>
      <c r="V253" s="5"/>
      <c r="W253" s="5"/>
      <c r="X253" s="5"/>
      <c r="Y253" s="5"/>
    </row>
    <row r="254" spans="1:25" ht="15.75" customHeight="1" x14ac:dyDescent="0.25">
      <c r="A254" s="2">
        <v>44025</v>
      </c>
      <c r="B254" s="3">
        <v>92451</v>
      </c>
      <c r="C254" s="4" t="s">
        <v>28</v>
      </c>
      <c r="D254" s="4" t="str">
        <f t="shared" si="0"/>
        <v>Growth</v>
      </c>
      <c r="E254" s="4" t="str">
        <f t="shared" si="1"/>
        <v>Director</v>
      </c>
      <c r="F254" s="13">
        <v>724</v>
      </c>
      <c r="G254" s="13">
        <v>1</v>
      </c>
      <c r="H254" s="13">
        <v>6</v>
      </c>
      <c r="I254" s="2">
        <v>32007</v>
      </c>
      <c r="J254" s="15">
        <v>984971</v>
      </c>
      <c r="K254" s="4" t="s">
        <v>14</v>
      </c>
      <c r="L254" s="27">
        <f t="shared" si="2"/>
        <v>1987</v>
      </c>
      <c r="M254" s="27">
        <f t="shared" si="3"/>
        <v>7</v>
      </c>
      <c r="N254" s="27">
        <f t="shared" ca="1" si="7"/>
        <v>39</v>
      </c>
      <c r="O254" s="27" t="str" cm="1">
        <f t="array" ref="O254">_xlfn.IFS($F254&gt;=750,"Excellent",$F254&gt;=700,"Good",$F254&gt;=650,"Moderate",
$F254&lt;650,"Risky"
)</f>
        <v>Good</v>
      </c>
      <c r="P254" s="27" t="str" cm="1">
        <f t="array" ref="P254">_xlfn.IFS(
AND(F254&gt;=750,H254&lt;=2),"Low Risk",
AND(F254&gt;=700,H254&lt;=5),"Medium Risk",
TRUE,"High Risk"
)</f>
        <v>High Risk</v>
      </c>
      <c r="Q254" s="5"/>
      <c r="R254" s="5"/>
      <c r="S254" s="5"/>
      <c r="T254" s="5"/>
      <c r="U254" s="5"/>
      <c r="V254" s="5"/>
      <c r="W254" s="5"/>
      <c r="X254" s="5"/>
      <c r="Y254" s="5"/>
    </row>
    <row r="255" spans="1:25" ht="15.75" customHeight="1" x14ac:dyDescent="0.25">
      <c r="A255" s="2">
        <v>44161</v>
      </c>
      <c r="B255" s="3">
        <v>93809</v>
      </c>
      <c r="C255" s="4" t="s">
        <v>37</v>
      </c>
      <c r="D255" s="4" t="str">
        <f t="shared" si="0"/>
        <v>Strategy</v>
      </c>
      <c r="E255" s="4" t="str">
        <f t="shared" si="1"/>
        <v>Director</v>
      </c>
      <c r="F255" s="13">
        <v>756</v>
      </c>
      <c r="G255" s="13">
        <v>5</v>
      </c>
      <c r="H255" s="13">
        <v>2</v>
      </c>
      <c r="I255" s="2">
        <v>32884</v>
      </c>
      <c r="J255" s="15">
        <v>717282</v>
      </c>
      <c r="K255" s="4" t="s">
        <v>14</v>
      </c>
      <c r="L255" s="27">
        <f t="shared" si="2"/>
        <v>1990</v>
      </c>
      <c r="M255" s="27">
        <f t="shared" si="3"/>
        <v>11</v>
      </c>
      <c r="N255" s="27">
        <f t="shared" ca="1" si="7"/>
        <v>36</v>
      </c>
      <c r="O255" s="27" t="str" cm="1">
        <f t="array" ref="O255">_xlfn.IFS($F255&gt;=750,"Excellent",$F255&gt;=700,"Good",$F255&gt;=650,"Moderate",
$F255&lt;650,"Risky"
)</f>
        <v>Excellent</v>
      </c>
      <c r="P255" s="27" t="str" cm="1">
        <f t="array" ref="P255">_xlfn.IFS(
AND(F255&gt;=750,H255&lt;=2),"Low Risk",
AND(F255&gt;=700,H255&lt;=5),"Medium Risk",
TRUE,"High Risk"
)</f>
        <v>Low Risk</v>
      </c>
      <c r="Q255" s="5"/>
      <c r="R255" s="5"/>
      <c r="S255" s="5"/>
      <c r="T255" s="5"/>
      <c r="U255" s="5"/>
      <c r="V255" s="5"/>
      <c r="W255" s="5"/>
      <c r="X255" s="5"/>
      <c r="Y255" s="5"/>
    </row>
    <row r="256" spans="1:25" ht="15.75" customHeight="1" x14ac:dyDescent="0.25">
      <c r="A256" s="2">
        <v>43964</v>
      </c>
      <c r="B256" s="3">
        <v>96468</v>
      </c>
      <c r="C256" s="4" t="s">
        <v>25</v>
      </c>
      <c r="D256" s="4" t="str">
        <f t="shared" si="0"/>
        <v>Sales</v>
      </c>
      <c r="E256" s="4" t="str">
        <f t="shared" si="1"/>
        <v>Manager</v>
      </c>
      <c r="F256" s="13">
        <v>795</v>
      </c>
      <c r="G256" s="13">
        <v>5</v>
      </c>
      <c r="H256" s="13">
        <v>8</v>
      </c>
      <c r="I256" s="2">
        <v>34342</v>
      </c>
      <c r="J256" s="15">
        <v>738818</v>
      </c>
      <c r="K256" s="4" t="s">
        <v>21</v>
      </c>
      <c r="L256" s="27">
        <f t="shared" si="2"/>
        <v>1994</v>
      </c>
      <c r="M256" s="27">
        <f t="shared" si="3"/>
        <v>5</v>
      </c>
      <c r="N256" s="27">
        <f t="shared" ca="1" si="7"/>
        <v>32</v>
      </c>
      <c r="O256" s="27" t="str" cm="1">
        <f t="array" ref="O256">_xlfn.IFS($F256&gt;=750,"Excellent",$F256&gt;=700,"Good",$F256&gt;=650,"Moderate",
$F256&lt;650,"Risky"
)</f>
        <v>Excellent</v>
      </c>
      <c r="P256" s="27" t="str" cm="1">
        <f t="array" ref="P256">_xlfn.IFS(
AND(F256&gt;=750,H256&lt;=2),"Low Risk",
AND(F256&gt;=700,H256&lt;=5),"Medium Risk",
TRUE,"High Risk"
)</f>
        <v>High Risk</v>
      </c>
      <c r="Q256" s="5"/>
      <c r="R256" s="5"/>
      <c r="S256" s="5"/>
      <c r="T256" s="5"/>
      <c r="U256" s="5"/>
      <c r="V256" s="5"/>
      <c r="W256" s="5"/>
      <c r="X256" s="5"/>
      <c r="Y256" s="5"/>
    </row>
    <row r="257" spans="1:25" ht="15.75" customHeight="1" x14ac:dyDescent="0.25">
      <c r="A257" s="2">
        <v>44146</v>
      </c>
      <c r="B257" s="3">
        <v>94057</v>
      </c>
      <c r="C257" s="4" t="s">
        <v>28</v>
      </c>
      <c r="D257" s="4" t="str">
        <f t="shared" ref="D257:D511" si="8">TRIM(LEFT(C257,FIND("-",C257,1)-1))</f>
        <v>Growth</v>
      </c>
      <c r="E257" s="4" t="str">
        <f t="shared" ref="E257:E511" si="9">TRIM(RIGHT(C257,LEN(C257)-(FIND("-",C257,1))))</f>
        <v>Director</v>
      </c>
      <c r="F257" s="13">
        <v>700</v>
      </c>
      <c r="G257" s="13">
        <v>3</v>
      </c>
      <c r="H257" s="13">
        <v>2</v>
      </c>
      <c r="I257" s="2">
        <v>32832</v>
      </c>
      <c r="J257" s="15">
        <v>868936</v>
      </c>
      <c r="K257" s="4" t="s">
        <v>18</v>
      </c>
      <c r="L257" s="27">
        <f t="shared" ref="L257:L511" si="10">YEAR(I257)</f>
        <v>1989</v>
      </c>
      <c r="M257" s="27">
        <f t="shared" ref="M257:M511" si="11">MONTH(A257)</f>
        <v>11</v>
      </c>
      <c r="N257" s="27">
        <f t="shared" ca="1" si="7"/>
        <v>37</v>
      </c>
      <c r="O257" s="27" t="str" cm="1">
        <f t="array" ref="O257">_xlfn.IFS($F257&gt;=750,"Excellent",$F257&gt;=700,"Good",$F257&gt;=650,"Moderate",
$F257&lt;650,"Risky"
)</f>
        <v>Good</v>
      </c>
      <c r="P257" s="27" t="str" cm="1">
        <f t="array" ref="P257">_xlfn.IFS(
AND(F257&gt;=750,H257&lt;=2),"Low Risk",
AND(F257&gt;=700,H257&lt;=5),"Medium Risk",
TRUE,"High Risk"
)</f>
        <v>Medium Risk</v>
      </c>
      <c r="Q257" s="5"/>
      <c r="R257" s="5"/>
      <c r="S257" s="5"/>
      <c r="T257" s="5"/>
      <c r="U257" s="5"/>
      <c r="V257" s="5"/>
      <c r="W257" s="5"/>
      <c r="X257" s="5"/>
      <c r="Y257" s="5"/>
    </row>
    <row r="258" spans="1:25" ht="15.75" customHeight="1" x14ac:dyDescent="0.25">
      <c r="A258" s="2">
        <v>43857</v>
      </c>
      <c r="B258" s="3">
        <v>82883</v>
      </c>
      <c r="C258" s="4" t="s">
        <v>33</v>
      </c>
      <c r="D258" s="4" t="str">
        <f t="shared" si="8"/>
        <v>Sales</v>
      </c>
      <c r="E258" s="4" t="str">
        <f t="shared" si="9"/>
        <v>Executive</v>
      </c>
      <c r="F258" s="13">
        <v>770</v>
      </c>
      <c r="G258" s="13">
        <v>4</v>
      </c>
      <c r="H258" s="13">
        <v>2</v>
      </c>
      <c r="I258" s="2">
        <v>33470</v>
      </c>
      <c r="J258" s="15">
        <v>604217</v>
      </c>
      <c r="K258" s="4" t="s">
        <v>18</v>
      </c>
      <c r="L258" s="27">
        <f t="shared" si="10"/>
        <v>1991</v>
      </c>
      <c r="M258" s="27">
        <f t="shared" si="11"/>
        <v>1</v>
      </c>
      <c r="N258" s="27">
        <f t="shared" ca="1" si="7"/>
        <v>35</v>
      </c>
      <c r="O258" s="27" t="str" cm="1">
        <f t="array" ref="O258">_xlfn.IFS($F258&gt;=750,"Excellent",$F258&gt;=700,"Good",$F258&gt;=650,"Moderate",
$F258&lt;650,"Risky"
)</f>
        <v>Excellent</v>
      </c>
      <c r="P258" s="27" t="str" cm="1">
        <f t="array" ref="P258">_xlfn.IFS(
AND(F258&gt;=750,H258&lt;=2),"Low Risk",
AND(F258&gt;=700,H258&lt;=5),"Medium Risk",
TRUE,"High Risk"
)</f>
        <v>Low Risk</v>
      </c>
      <c r="Q258" s="5"/>
      <c r="R258" s="5"/>
      <c r="S258" s="5"/>
      <c r="T258" s="5"/>
      <c r="U258" s="5"/>
      <c r="V258" s="5"/>
      <c r="W258" s="5"/>
      <c r="X258" s="5"/>
      <c r="Y258" s="5"/>
    </row>
    <row r="259" spans="1:25" ht="15.75" customHeight="1" x14ac:dyDescent="0.25">
      <c r="A259" s="2">
        <v>43882</v>
      </c>
      <c r="B259" s="3">
        <v>66160</v>
      </c>
      <c r="C259" s="4" t="s">
        <v>13</v>
      </c>
      <c r="D259" s="4" t="str">
        <f t="shared" si="8"/>
        <v>Marketing</v>
      </c>
      <c r="E259" s="4" t="str">
        <f t="shared" si="9"/>
        <v>Director</v>
      </c>
      <c r="F259" s="13">
        <v>752</v>
      </c>
      <c r="G259" s="13">
        <v>4</v>
      </c>
      <c r="H259" s="13">
        <v>10</v>
      </c>
      <c r="I259" s="2">
        <v>29572</v>
      </c>
      <c r="J259" s="15">
        <v>911874</v>
      </c>
      <c r="K259" s="4" t="s">
        <v>21</v>
      </c>
      <c r="L259" s="27">
        <f t="shared" si="10"/>
        <v>1980</v>
      </c>
      <c r="M259" s="27">
        <f t="shared" si="11"/>
        <v>2</v>
      </c>
      <c r="N259" s="27">
        <f t="shared" ref="N259:N322" ca="1" si="12" xml:space="preserve"> YEAR(TODAY()) - $L259</f>
        <v>46</v>
      </c>
      <c r="O259" s="27" t="str" cm="1">
        <f t="array" ref="O259">_xlfn.IFS($F259&gt;=750,"Excellent",$F259&gt;=700,"Good",$F259&gt;=650,"Moderate",
$F259&lt;650,"Risky"
)</f>
        <v>Excellent</v>
      </c>
      <c r="P259" s="27" t="str" cm="1">
        <f t="array" ref="P259">_xlfn.IFS(
AND(F259&gt;=750,H259&lt;=2),"Low Risk",
AND(F259&gt;=700,H259&lt;=5),"Medium Risk",
TRUE,"High Risk"
)</f>
        <v>High Risk</v>
      </c>
      <c r="Q259" s="5"/>
      <c r="R259" s="5"/>
      <c r="S259" s="5"/>
      <c r="T259" s="5"/>
      <c r="U259" s="5"/>
      <c r="V259" s="5"/>
      <c r="W259" s="5"/>
      <c r="X259" s="5"/>
      <c r="Y259" s="5"/>
    </row>
    <row r="260" spans="1:25" ht="15.75" customHeight="1" x14ac:dyDescent="0.25">
      <c r="A260" s="2">
        <v>43854</v>
      </c>
      <c r="B260" s="3">
        <v>42358</v>
      </c>
      <c r="C260" s="4" t="s">
        <v>22</v>
      </c>
      <c r="D260" s="4" t="str">
        <f t="shared" si="8"/>
        <v>Strategy</v>
      </c>
      <c r="E260" s="4" t="str">
        <f t="shared" si="9"/>
        <v>Executive</v>
      </c>
      <c r="F260" s="13">
        <v>709</v>
      </c>
      <c r="G260" s="13">
        <v>5</v>
      </c>
      <c r="H260" s="13">
        <v>8</v>
      </c>
      <c r="I260" s="2">
        <v>31345</v>
      </c>
      <c r="J260" s="15">
        <v>909738</v>
      </c>
      <c r="K260" s="4" t="s">
        <v>14</v>
      </c>
      <c r="L260" s="27">
        <f t="shared" si="10"/>
        <v>1985</v>
      </c>
      <c r="M260" s="27">
        <f t="shared" si="11"/>
        <v>1</v>
      </c>
      <c r="N260" s="27">
        <f t="shared" ca="1" si="12"/>
        <v>41</v>
      </c>
      <c r="O260" s="27" t="str" cm="1">
        <f t="array" ref="O260">_xlfn.IFS($F260&gt;=750,"Excellent",$F260&gt;=700,"Good",$F260&gt;=650,"Moderate",
$F260&lt;650,"Risky"
)</f>
        <v>Good</v>
      </c>
      <c r="P260" s="27" t="str" cm="1">
        <f t="array" ref="P260">_xlfn.IFS(
AND(F260&gt;=750,H260&lt;=2),"Low Risk",
AND(F260&gt;=700,H260&lt;=5),"Medium Risk",
TRUE,"High Risk"
)</f>
        <v>High Risk</v>
      </c>
      <c r="Q260" s="5"/>
      <c r="R260" s="5"/>
      <c r="S260" s="5"/>
      <c r="T260" s="5"/>
      <c r="U260" s="5"/>
      <c r="V260" s="5"/>
      <c r="W260" s="5"/>
      <c r="X260" s="5"/>
      <c r="Y260" s="5"/>
    </row>
    <row r="261" spans="1:25" ht="15.75" customHeight="1" x14ac:dyDescent="0.25">
      <c r="A261" s="2">
        <v>43833</v>
      </c>
      <c r="B261" s="3">
        <v>29159</v>
      </c>
      <c r="C261" s="4" t="s">
        <v>34</v>
      </c>
      <c r="D261" s="4" t="str">
        <f t="shared" si="8"/>
        <v>Finance</v>
      </c>
      <c r="E261" s="4" t="str">
        <f t="shared" si="9"/>
        <v>Director</v>
      </c>
      <c r="F261" s="13">
        <v>726</v>
      </c>
      <c r="G261" s="13">
        <v>3</v>
      </c>
      <c r="H261" s="13">
        <v>5</v>
      </c>
      <c r="I261" s="2">
        <v>31375</v>
      </c>
      <c r="J261" s="15">
        <v>519569</v>
      </c>
      <c r="K261" s="4" t="s">
        <v>18</v>
      </c>
      <c r="L261" s="27">
        <f t="shared" si="10"/>
        <v>1985</v>
      </c>
      <c r="M261" s="27">
        <f t="shared" si="11"/>
        <v>1</v>
      </c>
      <c r="N261" s="27">
        <f t="shared" ca="1" si="12"/>
        <v>41</v>
      </c>
      <c r="O261" s="27" t="str" cm="1">
        <f t="array" ref="O261">_xlfn.IFS($F261&gt;=750,"Excellent",$F261&gt;=700,"Good",$F261&gt;=650,"Moderate",
$F261&lt;650,"Risky"
)</f>
        <v>Good</v>
      </c>
      <c r="P261" s="27" t="str" cm="1">
        <f t="array" ref="P261">_xlfn.IFS(
AND(F261&gt;=750,H261&lt;=2),"Low Risk",
AND(F261&gt;=700,H261&lt;=5),"Medium Risk",
TRUE,"High Risk"
)</f>
        <v>Medium Risk</v>
      </c>
      <c r="Q261" s="5"/>
      <c r="R261" s="5"/>
      <c r="S261" s="5"/>
      <c r="T261" s="5"/>
      <c r="U261" s="5"/>
      <c r="V261" s="5"/>
      <c r="W261" s="5"/>
      <c r="X261" s="5"/>
      <c r="Y261" s="5"/>
    </row>
    <row r="262" spans="1:25" ht="15.75" customHeight="1" x14ac:dyDescent="0.25">
      <c r="A262" s="2">
        <v>44053</v>
      </c>
      <c r="B262" s="3">
        <v>69415</v>
      </c>
      <c r="C262" s="4" t="s">
        <v>36</v>
      </c>
      <c r="D262" s="4" t="str">
        <f t="shared" si="8"/>
        <v>Sales</v>
      </c>
      <c r="E262" s="4" t="str">
        <f t="shared" si="9"/>
        <v>Intern</v>
      </c>
      <c r="F262" s="13">
        <v>733</v>
      </c>
      <c r="G262" s="13">
        <v>1</v>
      </c>
      <c r="H262" s="13">
        <v>9</v>
      </c>
      <c r="I262" s="2">
        <v>30514</v>
      </c>
      <c r="J262" s="15">
        <v>999312</v>
      </c>
      <c r="K262" s="4" t="s">
        <v>18</v>
      </c>
      <c r="L262" s="27">
        <f t="shared" si="10"/>
        <v>1983</v>
      </c>
      <c r="M262" s="27">
        <f t="shared" si="11"/>
        <v>8</v>
      </c>
      <c r="N262" s="27">
        <f t="shared" ca="1" si="12"/>
        <v>43</v>
      </c>
      <c r="O262" s="27" t="str" cm="1">
        <f t="array" ref="O262">_xlfn.IFS($F262&gt;=750,"Excellent",$F262&gt;=700,"Good",$F262&gt;=650,"Moderate",
$F262&lt;650,"Risky"
)</f>
        <v>Good</v>
      </c>
      <c r="P262" s="27" t="str" cm="1">
        <f t="array" ref="P262">_xlfn.IFS(
AND(F262&gt;=750,H262&lt;=2),"Low Risk",
AND(F262&gt;=700,H262&lt;=5),"Medium Risk",
TRUE,"High Risk"
)</f>
        <v>High Risk</v>
      </c>
      <c r="Q262" s="5"/>
      <c r="R262" s="5"/>
      <c r="S262" s="5"/>
      <c r="T262" s="5"/>
      <c r="U262" s="5"/>
      <c r="V262" s="5"/>
      <c r="W262" s="5"/>
      <c r="X262" s="5"/>
      <c r="Y262" s="5"/>
    </row>
    <row r="263" spans="1:25" ht="15.75" customHeight="1" x14ac:dyDescent="0.25">
      <c r="A263" s="2">
        <v>43831</v>
      </c>
      <c r="B263" s="3">
        <v>44131</v>
      </c>
      <c r="C263" s="4" t="s">
        <v>34</v>
      </c>
      <c r="D263" s="4" t="str">
        <f t="shared" si="8"/>
        <v>Finance</v>
      </c>
      <c r="E263" s="4" t="str">
        <f t="shared" si="9"/>
        <v>Director</v>
      </c>
      <c r="F263" s="13">
        <v>740</v>
      </c>
      <c r="G263" s="13">
        <v>4</v>
      </c>
      <c r="H263" s="13">
        <v>10</v>
      </c>
      <c r="I263" s="2">
        <v>29596</v>
      </c>
      <c r="J263" s="15">
        <v>562764</v>
      </c>
      <c r="K263" s="4" t="s">
        <v>21</v>
      </c>
      <c r="L263" s="27">
        <f t="shared" si="10"/>
        <v>1981</v>
      </c>
      <c r="M263" s="27">
        <f t="shared" si="11"/>
        <v>1</v>
      </c>
      <c r="N263" s="27">
        <f t="shared" ca="1" si="12"/>
        <v>45</v>
      </c>
      <c r="O263" s="27" t="str" cm="1">
        <f t="array" ref="O263">_xlfn.IFS($F263&gt;=750,"Excellent",$F263&gt;=700,"Good",$F263&gt;=650,"Moderate",
$F263&lt;650,"Risky"
)</f>
        <v>Good</v>
      </c>
      <c r="P263" s="27" t="str" cm="1">
        <f t="array" ref="P263">_xlfn.IFS(
AND(F263&gt;=750,H263&lt;=2),"Low Risk",
AND(F263&gt;=700,H263&lt;=5),"Medium Risk",
TRUE,"High Risk"
)</f>
        <v>High Risk</v>
      </c>
      <c r="Q263" s="5"/>
      <c r="R263" s="5"/>
      <c r="S263" s="5"/>
      <c r="T263" s="5"/>
      <c r="U263" s="5"/>
      <c r="V263" s="5"/>
      <c r="W263" s="5"/>
      <c r="X263" s="5"/>
      <c r="Y263" s="5"/>
    </row>
    <row r="264" spans="1:25" ht="15.75" customHeight="1" x14ac:dyDescent="0.25">
      <c r="A264" s="2">
        <v>44126</v>
      </c>
      <c r="B264" s="3">
        <v>77836</v>
      </c>
      <c r="C264" s="4" t="s">
        <v>17</v>
      </c>
      <c r="D264" s="4" t="str">
        <f t="shared" si="8"/>
        <v>Growth</v>
      </c>
      <c r="E264" s="4" t="str">
        <f t="shared" si="9"/>
        <v>Manager</v>
      </c>
      <c r="F264" s="13">
        <v>709</v>
      </c>
      <c r="G264" s="13">
        <v>2</v>
      </c>
      <c r="H264" s="13">
        <v>4</v>
      </c>
      <c r="I264" s="2">
        <v>31101</v>
      </c>
      <c r="J264" s="15">
        <v>534712</v>
      </c>
      <c r="K264" s="4" t="s">
        <v>14</v>
      </c>
      <c r="L264" s="27">
        <f t="shared" si="10"/>
        <v>1985</v>
      </c>
      <c r="M264" s="27">
        <f t="shared" si="11"/>
        <v>10</v>
      </c>
      <c r="N264" s="27">
        <f t="shared" ca="1" si="12"/>
        <v>41</v>
      </c>
      <c r="O264" s="27" t="str" cm="1">
        <f t="array" ref="O264">_xlfn.IFS($F264&gt;=750,"Excellent",$F264&gt;=700,"Good",$F264&gt;=650,"Moderate",
$F264&lt;650,"Risky"
)</f>
        <v>Good</v>
      </c>
      <c r="P264" s="27" t="str" cm="1">
        <f t="array" ref="P264">_xlfn.IFS(
AND(F264&gt;=750,H264&lt;=2),"Low Risk",
AND(F264&gt;=700,H264&lt;=5),"Medium Risk",
TRUE,"High Risk"
)</f>
        <v>Medium Risk</v>
      </c>
      <c r="Q264" s="5"/>
      <c r="R264" s="5"/>
      <c r="S264" s="5"/>
      <c r="T264" s="5"/>
      <c r="U264" s="5"/>
      <c r="V264" s="5"/>
      <c r="W264" s="5"/>
      <c r="X264" s="5"/>
      <c r="Y264" s="5"/>
    </row>
    <row r="265" spans="1:25" ht="15.75" customHeight="1" x14ac:dyDescent="0.25">
      <c r="A265" s="2">
        <v>44146</v>
      </c>
      <c r="B265" s="3">
        <v>96059</v>
      </c>
      <c r="C265" s="4" t="s">
        <v>28</v>
      </c>
      <c r="D265" s="4" t="str">
        <f t="shared" si="8"/>
        <v>Growth</v>
      </c>
      <c r="E265" s="4" t="str">
        <f t="shared" si="9"/>
        <v>Director</v>
      </c>
      <c r="F265" s="13">
        <v>710</v>
      </c>
      <c r="G265" s="13">
        <v>2</v>
      </c>
      <c r="H265" s="13">
        <v>9</v>
      </c>
      <c r="I265" s="2">
        <v>34695</v>
      </c>
      <c r="J265" s="15">
        <v>694056</v>
      </c>
      <c r="K265" s="4" t="s">
        <v>18</v>
      </c>
      <c r="L265" s="27">
        <f t="shared" si="10"/>
        <v>1994</v>
      </c>
      <c r="M265" s="27">
        <f t="shared" si="11"/>
        <v>11</v>
      </c>
      <c r="N265" s="27">
        <f t="shared" ca="1" si="12"/>
        <v>32</v>
      </c>
      <c r="O265" s="27" t="str" cm="1">
        <f t="array" ref="O265">_xlfn.IFS($F265&gt;=750,"Excellent",$F265&gt;=700,"Good",$F265&gt;=650,"Moderate",
$F265&lt;650,"Risky"
)</f>
        <v>Good</v>
      </c>
      <c r="P265" s="27" t="str" cm="1">
        <f t="array" ref="P265">_xlfn.IFS(
AND(F265&gt;=750,H265&lt;=2),"Low Risk",
AND(F265&gt;=700,H265&lt;=5),"Medium Risk",
TRUE,"High Risk"
)</f>
        <v>High Risk</v>
      </c>
      <c r="Q265" s="5"/>
      <c r="R265" s="5"/>
      <c r="S265" s="5"/>
      <c r="T265" s="5"/>
      <c r="U265" s="5"/>
      <c r="V265" s="5"/>
      <c r="W265" s="5"/>
      <c r="X265" s="5"/>
      <c r="Y265" s="5"/>
    </row>
    <row r="266" spans="1:25" ht="15.75" customHeight="1" x14ac:dyDescent="0.25">
      <c r="A266" s="2">
        <v>43875</v>
      </c>
      <c r="B266" s="3">
        <v>34538</v>
      </c>
      <c r="C266" s="4" t="s">
        <v>29</v>
      </c>
      <c r="D266" s="4" t="str">
        <f t="shared" si="8"/>
        <v>Sales</v>
      </c>
      <c r="E266" s="4" t="str">
        <f t="shared" si="9"/>
        <v>Director</v>
      </c>
      <c r="F266" s="13">
        <v>765</v>
      </c>
      <c r="G266" s="13">
        <v>2</v>
      </c>
      <c r="H266" s="13">
        <v>4</v>
      </c>
      <c r="I266" s="2">
        <v>31352</v>
      </c>
      <c r="J266" s="15">
        <v>903357</v>
      </c>
      <c r="K266" s="4" t="s">
        <v>14</v>
      </c>
      <c r="L266" s="27">
        <f t="shared" si="10"/>
        <v>1985</v>
      </c>
      <c r="M266" s="27">
        <f t="shared" si="11"/>
        <v>2</v>
      </c>
      <c r="N266" s="27">
        <f t="shared" ca="1" si="12"/>
        <v>41</v>
      </c>
      <c r="O266" s="27" t="str" cm="1">
        <f t="array" ref="O266">_xlfn.IFS($F266&gt;=750,"Excellent",$F266&gt;=700,"Good",$F266&gt;=650,"Moderate",
$F266&lt;650,"Risky"
)</f>
        <v>Excellent</v>
      </c>
      <c r="P266" s="27" t="str" cm="1">
        <f t="array" ref="P266">_xlfn.IFS(
AND(F266&gt;=750,H266&lt;=2),"Low Risk",
AND(F266&gt;=700,H266&lt;=5),"Medium Risk",
TRUE,"High Risk"
)</f>
        <v>Medium Risk</v>
      </c>
      <c r="Q266" s="5"/>
      <c r="R266" s="5"/>
      <c r="S266" s="5"/>
      <c r="T266" s="5"/>
      <c r="U266" s="5"/>
      <c r="V266" s="5"/>
      <c r="W266" s="5"/>
      <c r="X266" s="5"/>
      <c r="Y266" s="5"/>
    </row>
    <row r="267" spans="1:25" ht="15.75" customHeight="1" x14ac:dyDescent="0.25">
      <c r="A267" s="2">
        <v>44173</v>
      </c>
      <c r="B267" s="3">
        <v>92135</v>
      </c>
      <c r="C267" s="4" t="s">
        <v>17</v>
      </c>
      <c r="D267" s="4" t="str">
        <f t="shared" si="8"/>
        <v>Growth</v>
      </c>
      <c r="E267" s="4" t="str">
        <f t="shared" si="9"/>
        <v>Manager</v>
      </c>
      <c r="F267" s="13">
        <v>756</v>
      </c>
      <c r="G267" s="13">
        <v>5</v>
      </c>
      <c r="H267" s="13">
        <v>7</v>
      </c>
      <c r="I267" s="2">
        <v>34477</v>
      </c>
      <c r="J267" s="15">
        <v>832938</v>
      </c>
      <c r="K267" s="4" t="s">
        <v>21</v>
      </c>
      <c r="L267" s="27">
        <f t="shared" si="10"/>
        <v>1994</v>
      </c>
      <c r="M267" s="27">
        <f t="shared" si="11"/>
        <v>12</v>
      </c>
      <c r="N267" s="27">
        <f t="shared" ca="1" si="12"/>
        <v>32</v>
      </c>
      <c r="O267" s="27" t="str" cm="1">
        <f t="array" ref="O267">_xlfn.IFS($F267&gt;=750,"Excellent",$F267&gt;=700,"Good",$F267&gt;=650,"Moderate",
$F267&lt;650,"Risky"
)</f>
        <v>Excellent</v>
      </c>
      <c r="P267" s="27" t="str" cm="1">
        <f t="array" ref="P267">_xlfn.IFS(
AND(F267&gt;=750,H267&lt;=2),"Low Risk",
AND(F267&gt;=700,H267&lt;=5),"Medium Risk",
TRUE,"High Risk"
)</f>
        <v>High Risk</v>
      </c>
      <c r="Q267" s="5"/>
      <c r="R267" s="5"/>
      <c r="S267" s="5"/>
      <c r="T267" s="5"/>
      <c r="U267" s="5"/>
      <c r="V267" s="5"/>
      <c r="W267" s="5"/>
      <c r="X267" s="5"/>
      <c r="Y267" s="5"/>
    </row>
    <row r="268" spans="1:25" ht="15.75" customHeight="1" x14ac:dyDescent="0.25">
      <c r="A268" s="2">
        <v>43920</v>
      </c>
      <c r="B268" s="3">
        <v>15317</v>
      </c>
      <c r="C268" s="4" t="s">
        <v>16</v>
      </c>
      <c r="D268" s="4" t="str">
        <f t="shared" si="8"/>
        <v>Marketing</v>
      </c>
      <c r="E268" s="4" t="str">
        <f t="shared" si="9"/>
        <v>Executive</v>
      </c>
      <c r="F268" s="13">
        <v>759</v>
      </c>
      <c r="G268" s="13">
        <v>1</v>
      </c>
      <c r="H268" s="13">
        <v>7</v>
      </c>
      <c r="I268" s="2">
        <v>32845</v>
      </c>
      <c r="J268" s="15">
        <v>662493</v>
      </c>
      <c r="K268" s="4" t="s">
        <v>21</v>
      </c>
      <c r="L268" s="27">
        <f t="shared" si="10"/>
        <v>1989</v>
      </c>
      <c r="M268" s="27">
        <f t="shared" si="11"/>
        <v>3</v>
      </c>
      <c r="N268" s="27">
        <f t="shared" ca="1" si="12"/>
        <v>37</v>
      </c>
      <c r="O268" s="27" t="str" cm="1">
        <f t="array" ref="O268">_xlfn.IFS($F268&gt;=750,"Excellent",$F268&gt;=700,"Good",$F268&gt;=650,"Moderate",
$F268&lt;650,"Risky"
)</f>
        <v>Excellent</v>
      </c>
      <c r="P268" s="27" t="str" cm="1">
        <f t="array" ref="P268">_xlfn.IFS(
AND(F268&gt;=750,H268&lt;=2),"Low Risk",
AND(F268&gt;=700,H268&lt;=5),"Medium Risk",
TRUE,"High Risk"
)</f>
        <v>High Risk</v>
      </c>
      <c r="Q268" s="5"/>
      <c r="R268" s="5"/>
      <c r="S268" s="5"/>
      <c r="T268" s="5"/>
      <c r="U268" s="5"/>
      <c r="V268" s="5"/>
      <c r="W268" s="5"/>
      <c r="X268" s="5"/>
      <c r="Y268" s="5"/>
    </row>
    <row r="269" spans="1:25" ht="15.75" customHeight="1" x14ac:dyDescent="0.25">
      <c r="A269" s="2">
        <v>44165</v>
      </c>
      <c r="B269" s="3">
        <v>89382</v>
      </c>
      <c r="C269" s="4" t="s">
        <v>20</v>
      </c>
      <c r="D269" s="4" t="str">
        <f t="shared" si="8"/>
        <v>Operation</v>
      </c>
      <c r="E269" s="4" t="str">
        <f t="shared" si="9"/>
        <v>Manager</v>
      </c>
      <c r="F269" s="13">
        <v>747</v>
      </c>
      <c r="G269" s="13">
        <v>2</v>
      </c>
      <c r="H269" s="13">
        <v>3</v>
      </c>
      <c r="I269" s="2">
        <v>30393</v>
      </c>
      <c r="J269" s="15">
        <v>971686</v>
      </c>
      <c r="K269" s="4" t="s">
        <v>18</v>
      </c>
      <c r="L269" s="27">
        <f t="shared" si="10"/>
        <v>1983</v>
      </c>
      <c r="M269" s="27">
        <f t="shared" si="11"/>
        <v>11</v>
      </c>
      <c r="N269" s="27">
        <f t="shared" ca="1" si="12"/>
        <v>43</v>
      </c>
      <c r="O269" s="27" t="str" cm="1">
        <f t="array" ref="O269">_xlfn.IFS($F269&gt;=750,"Excellent",$F269&gt;=700,"Good",$F269&gt;=650,"Moderate",
$F269&lt;650,"Risky"
)</f>
        <v>Good</v>
      </c>
      <c r="P269" s="27" t="str" cm="1">
        <f t="array" ref="P269">_xlfn.IFS(
AND(F269&gt;=750,H269&lt;=2),"Low Risk",
AND(F269&gt;=700,H269&lt;=5),"Medium Risk",
TRUE,"High Risk"
)</f>
        <v>Medium Risk</v>
      </c>
      <c r="Q269" s="5"/>
      <c r="R269" s="5"/>
      <c r="S269" s="5"/>
      <c r="T269" s="5"/>
      <c r="U269" s="5"/>
      <c r="V269" s="5"/>
      <c r="W269" s="5"/>
      <c r="X269" s="5"/>
      <c r="Y269" s="5"/>
    </row>
    <row r="270" spans="1:25" ht="15.75" customHeight="1" x14ac:dyDescent="0.25">
      <c r="A270" s="2">
        <v>43842</v>
      </c>
      <c r="B270" s="3">
        <v>84716</v>
      </c>
      <c r="C270" s="4" t="s">
        <v>19</v>
      </c>
      <c r="D270" s="4" t="str">
        <f t="shared" si="8"/>
        <v>Marketing</v>
      </c>
      <c r="E270" s="4" t="str">
        <f t="shared" si="9"/>
        <v>Manager</v>
      </c>
      <c r="F270" s="13">
        <v>731</v>
      </c>
      <c r="G270" s="13">
        <v>1</v>
      </c>
      <c r="H270" s="13">
        <v>8</v>
      </c>
      <c r="I270" s="2">
        <v>33409</v>
      </c>
      <c r="J270" s="15">
        <v>747191</v>
      </c>
      <c r="K270" s="4" t="s">
        <v>18</v>
      </c>
      <c r="L270" s="27">
        <f t="shared" si="10"/>
        <v>1991</v>
      </c>
      <c r="M270" s="27">
        <f t="shared" si="11"/>
        <v>1</v>
      </c>
      <c r="N270" s="27">
        <f t="shared" ca="1" si="12"/>
        <v>35</v>
      </c>
      <c r="O270" s="27" t="str" cm="1">
        <f t="array" ref="O270">_xlfn.IFS($F270&gt;=750,"Excellent",$F270&gt;=700,"Good",$F270&gt;=650,"Moderate",
$F270&lt;650,"Risky"
)</f>
        <v>Good</v>
      </c>
      <c r="P270" s="27" t="str" cm="1">
        <f t="array" ref="P270">_xlfn.IFS(
AND(F270&gt;=750,H270&lt;=2),"Low Risk",
AND(F270&gt;=700,H270&lt;=5),"Medium Risk",
TRUE,"High Risk"
)</f>
        <v>High Risk</v>
      </c>
      <c r="Q270" s="5"/>
      <c r="R270" s="5"/>
      <c r="S270" s="5"/>
      <c r="T270" s="5"/>
      <c r="U270" s="5"/>
      <c r="V270" s="5"/>
      <c r="W270" s="5"/>
      <c r="X270" s="5"/>
      <c r="Y270" s="5"/>
    </row>
    <row r="271" spans="1:25" ht="15.75" customHeight="1" x14ac:dyDescent="0.25">
      <c r="A271" s="2">
        <v>44172</v>
      </c>
      <c r="B271" s="3">
        <v>79316</v>
      </c>
      <c r="C271" s="4" t="s">
        <v>22</v>
      </c>
      <c r="D271" s="4" t="str">
        <f t="shared" si="8"/>
        <v>Strategy</v>
      </c>
      <c r="E271" s="4" t="str">
        <f t="shared" si="9"/>
        <v>Executive</v>
      </c>
      <c r="F271" s="13">
        <v>731</v>
      </c>
      <c r="G271" s="13">
        <v>2</v>
      </c>
      <c r="H271" s="13">
        <v>6</v>
      </c>
      <c r="I271" s="2">
        <v>32750</v>
      </c>
      <c r="J271" s="15">
        <v>739629</v>
      </c>
      <c r="K271" s="4" t="s">
        <v>14</v>
      </c>
      <c r="L271" s="27">
        <f t="shared" si="10"/>
        <v>1989</v>
      </c>
      <c r="M271" s="27">
        <f t="shared" si="11"/>
        <v>12</v>
      </c>
      <c r="N271" s="27">
        <f t="shared" ca="1" si="12"/>
        <v>37</v>
      </c>
      <c r="O271" s="27" t="str" cm="1">
        <f t="array" ref="O271">_xlfn.IFS($F271&gt;=750,"Excellent",$F271&gt;=700,"Good",$F271&gt;=650,"Moderate",
$F271&lt;650,"Risky"
)</f>
        <v>Good</v>
      </c>
      <c r="P271" s="27" t="str" cm="1">
        <f t="array" ref="P271">_xlfn.IFS(
AND(F271&gt;=750,H271&lt;=2),"Low Risk",
AND(F271&gt;=700,H271&lt;=5),"Medium Risk",
TRUE,"High Risk"
)</f>
        <v>High Risk</v>
      </c>
      <c r="Q271" s="5"/>
      <c r="R271" s="5"/>
      <c r="S271" s="5"/>
      <c r="T271" s="5"/>
      <c r="U271" s="5"/>
      <c r="V271" s="5"/>
      <c r="W271" s="5"/>
      <c r="X271" s="5"/>
      <c r="Y271" s="5"/>
    </row>
    <row r="272" spans="1:25" ht="15.75" customHeight="1" x14ac:dyDescent="0.25">
      <c r="A272" s="2">
        <v>43906</v>
      </c>
      <c r="B272" s="3">
        <v>23154</v>
      </c>
      <c r="C272" s="4" t="s">
        <v>13</v>
      </c>
      <c r="D272" s="4" t="str">
        <f t="shared" si="8"/>
        <v>Marketing</v>
      </c>
      <c r="E272" s="4" t="str">
        <f t="shared" si="9"/>
        <v>Director</v>
      </c>
      <c r="F272" s="13">
        <v>781</v>
      </c>
      <c r="G272" s="13">
        <v>5</v>
      </c>
      <c r="H272" s="13">
        <v>1</v>
      </c>
      <c r="I272" s="2">
        <v>32768</v>
      </c>
      <c r="J272" s="15">
        <v>578137</v>
      </c>
      <c r="K272" s="4" t="s">
        <v>18</v>
      </c>
      <c r="L272" s="27">
        <f t="shared" si="10"/>
        <v>1989</v>
      </c>
      <c r="M272" s="27">
        <f t="shared" si="11"/>
        <v>3</v>
      </c>
      <c r="N272" s="27">
        <f t="shared" ca="1" si="12"/>
        <v>37</v>
      </c>
      <c r="O272" s="27" t="str" cm="1">
        <f t="array" ref="O272">_xlfn.IFS($F272&gt;=750,"Excellent",$F272&gt;=700,"Good",$F272&gt;=650,"Moderate",
$F272&lt;650,"Risky"
)</f>
        <v>Excellent</v>
      </c>
      <c r="P272" s="27" t="str" cm="1">
        <f t="array" ref="P272">_xlfn.IFS(
AND(F272&gt;=750,H272&lt;=2),"Low Risk",
AND(F272&gt;=700,H272&lt;=5),"Medium Risk",
TRUE,"High Risk"
)</f>
        <v>Low Risk</v>
      </c>
      <c r="Q272" s="5"/>
      <c r="R272" s="5"/>
      <c r="S272" s="5"/>
      <c r="T272" s="5"/>
      <c r="U272" s="5"/>
      <c r="V272" s="5"/>
      <c r="W272" s="5"/>
      <c r="X272" s="5"/>
      <c r="Y272" s="5"/>
    </row>
    <row r="273" spans="1:25" ht="15.75" customHeight="1" x14ac:dyDescent="0.25">
      <c r="A273" s="2">
        <v>43935</v>
      </c>
      <c r="B273" s="3">
        <v>64093</v>
      </c>
      <c r="C273" s="4" t="s">
        <v>16</v>
      </c>
      <c r="D273" s="4" t="str">
        <f t="shared" si="8"/>
        <v>Marketing</v>
      </c>
      <c r="E273" s="4" t="str">
        <f t="shared" si="9"/>
        <v>Executive</v>
      </c>
      <c r="F273" s="13">
        <v>731</v>
      </c>
      <c r="G273" s="13">
        <v>5</v>
      </c>
      <c r="H273" s="13">
        <v>8</v>
      </c>
      <c r="I273" s="2">
        <v>34179</v>
      </c>
      <c r="J273" s="15">
        <v>829772</v>
      </c>
      <c r="K273" s="4" t="s">
        <v>18</v>
      </c>
      <c r="L273" s="27">
        <f t="shared" si="10"/>
        <v>1993</v>
      </c>
      <c r="M273" s="27">
        <f t="shared" si="11"/>
        <v>4</v>
      </c>
      <c r="N273" s="27">
        <f t="shared" ca="1" si="12"/>
        <v>33</v>
      </c>
      <c r="O273" s="27" t="str" cm="1">
        <f t="array" ref="O273">_xlfn.IFS($F273&gt;=750,"Excellent",$F273&gt;=700,"Good",$F273&gt;=650,"Moderate",
$F273&lt;650,"Risky"
)</f>
        <v>Good</v>
      </c>
      <c r="P273" s="27" t="str" cm="1">
        <f t="array" ref="P273">_xlfn.IFS(
AND(F273&gt;=750,H273&lt;=2),"Low Risk",
AND(F273&gt;=700,H273&lt;=5),"Medium Risk",
TRUE,"High Risk"
)</f>
        <v>High Risk</v>
      </c>
      <c r="Q273" s="5"/>
      <c r="R273" s="5"/>
      <c r="S273" s="5"/>
      <c r="T273" s="5"/>
      <c r="U273" s="5"/>
      <c r="V273" s="5"/>
      <c r="W273" s="5"/>
      <c r="X273" s="5"/>
      <c r="Y273" s="5"/>
    </row>
    <row r="274" spans="1:25" ht="15.75" customHeight="1" x14ac:dyDescent="0.25">
      <c r="A274" s="2">
        <v>43875</v>
      </c>
      <c r="B274" s="3">
        <v>79339</v>
      </c>
      <c r="C274" s="4" t="s">
        <v>31</v>
      </c>
      <c r="D274" s="4" t="str">
        <f t="shared" si="8"/>
        <v>Finance</v>
      </c>
      <c r="E274" s="4" t="str">
        <f t="shared" si="9"/>
        <v>Intern</v>
      </c>
      <c r="F274" s="13">
        <v>733</v>
      </c>
      <c r="G274" s="13">
        <v>3</v>
      </c>
      <c r="H274" s="13">
        <v>8</v>
      </c>
      <c r="I274" s="2">
        <v>30835</v>
      </c>
      <c r="J274" s="15">
        <v>863737</v>
      </c>
      <c r="K274" s="4" t="s">
        <v>21</v>
      </c>
      <c r="L274" s="27">
        <f t="shared" si="10"/>
        <v>1984</v>
      </c>
      <c r="M274" s="27">
        <f t="shared" si="11"/>
        <v>2</v>
      </c>
      <c r="N274" s="27">
        <f t="shared" ca="1" si="12"/>
        <v>42</v>
      </c>
      <c r="O274" s="27" t="str" cm="1">
        <f t="array" ref="O274">_xlfn.IFS($F274&gt;=750,"Excellent",$F274&gt;=700,"Good",$F274&gt;=650,"Moderate",
$F274&lt;650,"Risky"
)</f>
        <v>Good</v>
      </c>
      <c r="P274" s="27" t="str" cm="1">
        <f t="array" ref="P274">_xlfn.IFS(
AND(F274&gt;=750,H274&lt;=2),"Low Risk",
AND(F274&gt;=700,H274&lt;=5),"Medium Risk",
TRUE,"High Risk"
)</f>
        <v>High Risk</v>
      </c>
      <c r="Q274" s="5"/>
      <c r="R274" s="5"/>
      <c r="S274" s="5"/>
      <c r="T274" s="5"/>
      <c r="U274" s="5"/>
      <c r="V274" s="5"/>
      <c r="W274" s="5"/>
      <c r="X274" s="5"/>
      <c r="Y274" s="5"/>
    </row>
    <row r="275" spans="1:25" ht="15.75" customHeight="1" x14ac:dyDescent="0.25">
      <c r="A275" s="2">
        <v>44048</v>
      </c>
      <c r="B275" s="3">
        <v>87135</v>
      </c>
      <c r="C275" s="4" t="s">
        <v>32</v>
      </c>
      <c r="D275" s="4" t="str">
        <f t="shared" si="8"/>
        <v>Finance</v>
      </c>
      <c r="E275" s="4" t="str">
        <f t="shared" si="9"/>
        <v>Executive</v>
      </c>
      <c r="F275" s="13">
        <v>750</v>
      </c>
      <c r="G275" s="13">
        <v>2</v>
      </c>
      <c r="H275" s="13">
        <v>8</v>
      </c>
      <c r="I275" s="2">
        <v>33264</v>
      </c>
      <c r="J275" s="15">
        <v>970202</v>
      </c>
      <c r="K275" s="4" t="s">
        <v>21</v>
      </c>
      <c r="L275" s="27">
        <f t="shared" si="10"/>
        <v>1991</v>
      </c>
      <c r="M275" s="27">
        <f t="shared" si="11"/>
        <v>8</v>
      </c>
      <c r="N275" s="27">
        <f t="shared" ca="1" si="12"/>
        <v>35</v>
      </c>
      <c r="O275" s="27" t="str" cm="1">
        <f t="array" ref="O275">_xlfn.IFS($F275&gt;=750,"Excellent",$F275&gt;=700,"Good",$F275&gt;=650,"Moderate",
$F275&lt;650,"Risky"
)</f>
        <v>Excellent</v>
      </c>
      <c r="P275" s="27" t="str" cm="1">
        <f t="array" ref="P275">_xlfn.IFS(
AND(F275&gt;=750,H275&lt;=2),"Low Risk",
AND(F275&gt;=700,H275&lt;=5),"Medium Risk",
TRUE,"High Risk"
)</f>
        <v>High Risk</v>
      </c>
      <c r="Q275" s="5"/>
      <c r="R275" s="5"/>
      <c r="S275" s="5"/>
      <c r="T275" s="5"/>
      <c r="U275" s="5"/>
      <c r="V275" s="5"/>
      <c r="W275" s="5"/>
      <c r="X275" s="5"/>
      <c r="Y275" s="5"/>
    </row>
    <row r="276" spans="1:25" ht="15.75" customHeight="1" x14ac:dyDescent="0.25">
      <c r="A276" s="2">
        <v>43920</v>
      </c>
      <c r="B276" s="3">
        <v>77077</v>
      </c>
      <c r="C276" s="4" t="s">
        <v>33</v>
      </c>
      <c r="D276" s="4" t="str">
        <f t="shared" si="8"/>
        <v>Sales</v>
      </c>
      <c r="E276" s="4" t="str">
        <f t="shared" si="9"/>
        <v>Executive</v>
      </c>
      <c r="F276" s="13">
        <v>703</v>
      </c>
      <c r="G276" s="13">
        <v>1</v>
      </c>
      <c r="H276" s="13">
        <v>2</v>
      </c>
      <c r="I276" s="2">
        <v>30880</v>
      </c>
      <c r="J276" s="15">
        <v>645814</v>
      </c>
      <c r="K276" s="4" t="s">
        <v>14</v>
      </c>
      <c r="L276" s="27">
        <f t="shared" si="10"/>
        <v>1984</v>
      </c>
      <c r="M276" s="27">
        <f t="shared" si="11"/>
        <v>3</v>
      </c>
      <c r="N276" s="27">
        <f t="shared" ca="1" si="12"/>
        <v>42</v>
      </c>
      <c r="O276" s="27" t="str" cm="1">
        <f t="array" ref="O276">_xlfn.IFS($F276&gt;=750,"Excellent",$F276&gt;=700,"Good",$F276&gt;=650,"Moderate",
$F276&lt;650,"Risky"
)</f>
        <v>Good</v>
      </c>
      <c r="P276" s="27" t="str" cm="1">
        <f t="array" ref="P276">_xlfn.IFS(
AND(F276&gt;=750,H276&lt;=2),"Low Risk",
AND(F276&gt;=700,H276&lt;=5),"Medium Risk",
TRUE,"High Risk"
)</f>
        <v>Medium Risk</v>
      </c>
      <c r="Q276" s="5"/>
      <c r="R276" s="5"/>
      <c r="S276" s="5"/>
      <c r="T276" s="5"/>
      <c r="U276" s="5"/>
      <c r="V276" s="5"/>
      <c r="W276" s="5"/>
      <c r="X276" s="5"/>
      <c r="Y276" s="5"/>
    </row>
    <row r="277" spans="1:25" ht="15.75" customHeight="1" x14ac:dyDescent="0.25">
      <c r="A277" s="2">
        <v>44000</v>
      </c>
      <c r="B277" s="3">
        <v>44930</v>
      </c>
      <c r="C277" s="4" t="s">
        <v>16</v>
      </c>
      <c r="D277" s="4" t="str">
        <f t="shared" si="8"/>
        <v>Marketing</v>
      </c>
      <c r="E277" s="4" t="str">
        <f t="shared" si="9"/>
        <v>Executive</v>
      </c>
      <c r="F277" s="13">
        <v>791</v>
      </c>
      <c r="G277" s="13">
        <v>3</v>
      </c>
      <c r="H277" s="13">
        <v>6</v>
      </c>
      <c r="I277" s="2">
        <v>29847</v>
      </c>
      <c r="J277" s="15">
        <v>537339</v>
      </c>
      <c r="K277" s="4" t="s">
        <v>14</v>
      </c>
      <c r="L277" s="27">
        <f t="shared" si="10"/>
        <v>1981</v>
      </c>
      <c r="M277" s="27">
        <f t="shared" si="11"/>
        <v>6</v>
      </c>
      <c r="N277" s="27">
        <f t="shared" ca="1" si="12"/>
        <v>45</v>
      </c>
      <c r="O277" s="27" t="str" cm="1">
        <f t="array" ref="O277">_xlfn.IFS($F277&gt;=750,"Excellent",$F277&gt;=700,"Good",$F277&gt;=650,"Moderate",
$F277&lt;650,"Risky"
)</f>
        <v>Excellent</v>
      </c>
      <c r="P277" s="27" t="str" cm="1">
        <f t="array" ref="P277">_xlfn.IFS(
AND(F277&gt;=750,H277&lt;=2),"Low Risk",
AND(F277&gt;=700,H277&lt;=5),"Medium Risk",
TRUE,"High Risk"
)</f>
        <v>High Risk</v>
      </c>
      <c r="Q277" s="5"/>
      <c r="R277" s="5"/>
      <c r="S277" s="5"/>
      <c r="T277" s="5"/>
      <c r="U277" s="5"/>
      <c r="V277" s="5"/>
      <c r="W277" s="5"/>
      <c r="X277" s="5"/>
      <c r="Y277" s="5"/>
    </row>
    <row r="278" spans="1:25" ht="15.75" customHeight="1" x14ac:dyDescent="0.25">
      <c r="A278" s="2">
        <v>44135</v>
      </c>
      <c r="B278" s="3">
        <v>47921</v>
      </c>
      <c r="C278" s="4" t="s">
        <v>39</v>
      </c>
      <c r="D278" s="4" t="str">
        <f t="shared" si="8"/>
        <v>Growth</v>
      </c>
      <c r="E278" s="4" t="str">
        <f t="shared" si="9"/>
        <v>Executive</v>
      </c>
      <c r="F278" s="13">
        <v>746</v>
      </c>
      <c r="G278" s="13">
        <v>1</v>
      </c>
      <c r="H278" s="13">
        <v>4</v>
      </c>
      <c r="I278" s="2">
        <v>32286</v>
      </c>
      <c r="J278" s="15">
        <v>787731</v>
      </c>
      <c r="K278" s="4" t="s">
        <v>18</v>
      </c>
      <c r="L278" s="27">
        <f t="shared" si="10"/>
        <v>1988</v>
      </c>
      <c r="M278" s="27">
        <f t="shared" si="11"/>
        <v>10</v>
      </c>
      <c r="N278" s="27">
        <f t="shared" ca="1" si="12"/>
        <v>38</v>
      </c>
      <c r="O278" s="27" t="str" cm="1">
        <f t="array" ref="O278">_xlfn.IFS($F278&gt;=750,"Excellent",$F278&gt;=700,"Good",$F278&gt;=650,"Moderate",
$F278&lt;650,"Risky"
)</f>
        <v>Good</v>
      </c>
      <c r="P278" s="27" t="str" cm="1">
        <f t="array" ref="P278">_xlfn.IFS(
AND(F278&gt;=750,H278&lt;=2),"Low Risk",
AND(F278&gt;=700,H278&lt;=5),"Medium Risk",
TRUE,"High Risk"
)</f>
        <v>Medium Risk</v>
      </c>
      <c r="Q278" s="5"/>
      <c r="R278" s="5"/>
      <c r="S278" s="5"/>
      <c r="T278" s="5"/>
      <c r="U278" s="5"/>
      <c r="V278" s="5"/>
      <c r="W278" s="5"/>
      <c r="X278" s="5"/>
      <c r="Y278" s="5"/>
    </row>
    <row r="279" spans="1:25" ht="15.75" customHeight="1" x14ac:dyDescent="0.25">
      <c r="A279" s="2">
        <v>43982</v>
      </c>
      <c r="B279" s="3">
        <v>56375</v>
      </c>
      <c r="C279" s="4" t="s">
        <v>28</v>
      </c>
      <c r="D279" s="4" t="str">
        <f t="shared" si="8"/>
        <v>Growth</v>
      </c>
      <c r="E279" s="4" t="str">
        <f t="shared" si="9"/>
        <v>Director</v>
      </c>
      <c r="F279" s="13">
        <v>780</v>
      </c>
      <c r="G279" s="13">
        <v>5</v>
      </c>
      <c r="H279" s="13">
        <v>4</v>
      </c>
      <c r="I279" s="2">
        <v>30852</v>
      </c>
      <c r="J279" s="15">
        <v>671383</v>
      </c>
      <c r="K279" s="4" t="s">
        <v>14</v>
      </c>
      <c r="L279" s="27">
        <f t="shared" si="10"/>
        <v>1984</v>
      </c>
      <c r="M279" s="27">
        <f t="shared" si="11"/>
        <v>5</v>
      </c>
      <c r="N279" s="27">
        <f t="shared" ca="1" si="12"/>
        <v>42</v>
      </c>
      <c r="O279" s="27" t="str" cm="1">
        <f t="array" ref="O279">_xlfn.IFS($F279&gt;=750,"Excellent",$F279&gt;=700,"Good",$F279&gt;=650,"Moderate",
$F279&lt;650,"Risky"
)</f>
        <v>Excellent</v>
      </c>
      <c r="P279" s="27" t="str" cm="1">
        <f t="array" ref="P279">_xlfn.IFS(
AND(F279&gt;=750,H279&lt;=2),"Low Risk",
AND(F279&gt;=700,H279&lt;=5),"Medium Risk",
TRUE,"High Risk"
)</f>
        <v>Medium Risk</v>
      </c>
      <c r="Q279" s="5"/>
      <c r="R279" s="5"/>
      <c r="S279" s="5"/>
      <c r="T279" s="5"/>
      <c r="U279" s="5"/>
      <c r="V279" s="5"/>
      <c r="W279" s="5"/>
      <c r="X279" s="5"/>
      <c r="Y279" s="5"/>
    </row>
    <row r="280" spans="1:25" ht="15.75" customHeight="1" x14ac:dyDescent="0.25">
      <c r="A280" s="2">
        <v>44063</v>
      </c>
      <c r="B280" s="3">
        <v>52933</v>
      </c>
      <c r="C280" s="4" t="s">
        <v>20</v>
      </c>
      <c r="D280" s="4" t="str">
        <f t="shared" si="8"/>
        <v>Operation</v>
      </c>
      <c r="E280" s="4" t="str">
        <f t="shared" si="9"/>
        <v>Manager</v>
      </c>
      <c r="F280" s="13">
        <v>712</v>
      </c>
      <c r="G280" s="13">
        <v>3</v>
      </c>
      <c r="H280" s="13">
        <v>6</v>
      </c>
      <c r="I280" s="2">
        <v>33845</v>
      </c>
      <c r="J280" s="15">
        <v>947863</v>
      </c>
      <c r="K280" s="4" t="s">
        <v>21</v>
      </c>
      <c r="L280" s="27">
        <f t="shared" si="10"/>
        <v>1992</v>
      </c>
      <c r="M280" s="27">
        <f t="shared" si="11"/>
        <v>8</v>
      </c>
      <c r="N280" s="27">
        <f t="shared" ca="1" si="12"/>
        <v>34</v>
      </c>
      <c r="O280" s="27" t="str" cm="1">
        <f t="array" ref="O280">_xlfn.IFS($F280&gt;=750,"Excellent",$F280&gt;=700,"Good",$F280&gt;=650,"Moderate",
$F280&lt;650,"Risky"
)</f>
        <v>Good</v>
      </c>
      <c r="P280" s="27" t="str" cm="1">
        <f t="array" ref="P280">_xlfn.IFS(
AND(F280&gt;=750,H280&lt;=2),"Low Risk",
AND(F280&gt;=700,H280&lt;=5),"Medium Risk",
TRUE,"High Risk"
)</f>
        <v>High Risk</v>
      </c>
      <c r="Q280" s="5"/>
      <c r="R280" s="5"/>
      <c r="S280" s="5"/>
      <c r="T280" s="5"/>
      <c r="U280" s="5"/>
      <c r="V280" s="5"/>
      <c r="W280" s="5"/>
      <c r="X280" s="5"/>
      <c r="Y280" s="5"/>
    </row>
    <row r="281" spans="1:25" ht="15.75" customHeight="1" x14ac:dyDescent="0.25">
      <c r="A281" s="2">
        <v>44063</v>
      </c>
      <c r="B281" s="3">
        <v>86869</v>
      </c>
      <c r="C281" s="4" t="s">
        <v>13</v>
      </c>
      <c r="D281" s="4" t="str">
        <f t="shared" si="8"/>
        <v>Marketing</v>
      </c>
      <c r="E281" s="4" t="str">
        <f t="shared" si="9"/>
        <v>Director</v>
      </c>
      <c r="F281" s="13">
        <v>744</v>
      </c>
      <c r="G281" s="13">
        <v>4</v>
      </c>
      <c r="H281" s="13">
        <v>4</v>
      </c>
      <c r="I281" s="2">
        <v>33647</v>
      </c>
      <c r="J281" s="15">
        <v>790279</v>
      </c>
      <c r="K281" s="4" t="s">
        <v>21</v>
      </c>
      <c r="L281" s="27">
        <f t="shared" si="10"/>
        <v>1992</v>
      </c>
      <c r="M281" s="27">
        <f t="shared" si="11"/>
        <v>8</v>
      </c>
      <c r="N281" s="27">
        <f t="shared" ca="1" si="12"/>
        <v>34</v>
      </c>
      <c r="O281" s="27" t="str" cm="1">
        <f t="array" ref="O281">_xlfn.IFS($F281&gt;=750,"Excellent",$F281&gt;=700,"Good",$F281&gt;=650,"Moderate",
$F281&lt;650,"Risky"
)</f>
        <v>Good</v>
      </c>
      <c r="P281" s="27" t="str" cm="1">
        <f t="array" ref="P281">_xlfn.IFS(
AND(F281&gt;=750,H281&lt;=2),"Low Risk",
AND(F281&gt;=700,H281&lt;=5),"Medium Risk",
TRUE,"High Risk"
)</f>
        <v>Medium Risk</v>
      </c>
      <c r="Q281" s="5"/>
      <c r="R281" s="5"/>
      <c r="S281" s="5"/>
      <c r="T281" s="5"/>
      <c r="U281" s="5"/>
      <c r="V281" s="5"/>
      <c r="W281" s="5"/>
      <c r="X281" s="5"/>
      <c r="Y281" s="5"/>
    </row>
    <row r="282" spans="1:25" ht="15.75" customHeight="1" x14ac:dyDescent="0.25">
      <c r="A282" s="2">
        <v>43935</v>
      </c>
      <c r="B282" s="3">
        <v>66099</v>
      </c>
      <c r="C282" s="4" t="s">
        <v>33</v>
      </c>
      <c r="D282" s="4" t="str">
        <f t="shared" si="8"/>
        <v>Sales</v>
      </c>
      <c r="E282" s="4" t="str">
        <f t="shared" si="9"/>
        <v>Executive</v>
      </c>
      <c r="F282" s="13">
        <v>785</v>
      </c>
      <c r="G282" s="13">
        <v>4</v>
      </c>
      <c r="H282" s="13">
        <v>2</v>
      </c>
      <c r="I282" s="2">
        <v>31197</v>
      </c>
      <c r="J282" s="15">
        <v>910895</v>
      </c>
      <c r="K282" s="4" t="s">
        <v>18</v>
      </c>
      <c r="L282" s="27">
        <f t="shared" si="10"/>
        <v>1985</v>
      </c>
      <c r="M282" s="27">
        <f t="shared" si="11"/>
        <v>4</v>
      </c>
      <c r="N282" s="27">
        <f t="shared" ca="1" si="12"/>
        <v>41</v>
      </c>
      <c r="O282" s="27" t="str" cm="1">
        <f t="array" ref="O282">_xlfn.IFS($F282&gt;=750,"Excellent",$F282&gt;=700,"Good",$F282&gt;=650,"Moderate",
$F282&lt;650,"Risky"
)</f>
        <v>Excellent</v>
      </c>
      <c r="P282" s="27" t="str" cm="1">
        <f t="array" ref="P282">_xlfn.IFS(
AND(F282&gt;=750,H282&lt;=2),"Low Risk",
AND(F282&gt;=700,H282&lt;=5),"Medium Risk",
TRUE,"High Risk"
)</f>
        <v>Low Risk</v>
      </c>
      <c r="Q282" s="5"/>
      <c r="R282" s="5"/>
      <c r="S282" s="5"/>
      <c r="T282" s="5"/>
      <c r="U282" s="5"/>
      <c r="V282" s="5"/>
      <c r="W282" s="5"/>
      <c r="X282" s="5"/>
      <c r="Y282" s="5"/>
    </row>
    <row r="283" spans="1:25" ht="15.75" customHeight="1" x14ac:dyDescent="0.25">
      <c r="A283" s="2">
        <v>44166</v>
      </c>
      <c r="B283" s="3">
        <v>86024</v>
      </c>
      <c r="C283" s="4" t="s">
        <v>20</v>
      </c>
      <c r="D283" s="4" t="str">
        <f t="shared" si="8"/>
        <v>Operation</v>
      </c>
      <c r="E283" s="4" t="str">
        <f t="shared" si="9"/>
        <v>Manager</v>
      </c>
      <c r="F283" s="13">
        <v>715</v>
      </c>
      <c r="G283" s="13">
        <v>3</v>
      </c>
      <c r="H283" s="13">
        <v>10</v>
      </c>
      <c r="I283" s="2">
        <v>30217</v>
      </c>
      <c r="J283" s="15">
        <v>866832</v>
      </c>
      <c r="K283" s="4" t="s">
        <v>18</v>
      </c>
      <c r="L283" s="27">
        <f t="shared" si="10"/>
        <v>1982</v>
      </c>
      <c r="M283" s="27">
        <f t="shared" si="11"/>
        <v>12</v>
      </c>
      <c r="N283" s="27">
        <f t="shared" ca="1" si="12"/>
        <v>44</v>
      </c>
      <c r="O283" s="27" t="str" cm="1">
        <f t="array" ref="O283">_xlfn.IFS($F283&gt;=750,"Excellent",$F283&gt;=700,"Good",$F283&gt;=650,"Moderate",
$F283&lt;650,"Risky"
)</f>
        <v>Good</v>
      </c>
      <c r="P283" s="27" t="str" cm="1">
        <f t="array" ref="P283">_xlfn.IFS(
AND(F283&gt;=750,H283&lt;=2),"Low Risk",
AND(F283&gt;=700,H283&lt;=5),"Medium Risk",
TRUE,"High Risk"
)</f>
        <v>High Risk</v>
      </c>
      <c r="Q283" s="5"/>
      <c r="R283" s="5"/>
      <c r="S283" s="5"/>
      <c r="T283" s="5"/>
      <c r="U283" s="5"/>
      <c r="V283" s="5"/>
      <c r="W283" s="5"/>
      <c r="X283" s="5"/>
      <c r="Y283" s="5"/>
    </row>
    <row r="284" spans="1:25" ht="15.75" customHeight="1" x14ac:dyDescent="0.25">
      <c r="A284" s="2">
        <v>44084</v>
      </c>
      <c r="B284" s="3">
        <v>53822</v>
      </c>
      <c r="C284" s="4" t="s">
        <v>35</v>
      </c>
      <c r="D284" s="4" t="str">
        <f t="shared" si="8"/>
        <v>Growth</v>
      </c>
      <c r="E284" s="4" t="str">
        <f t="shared" si="9"/>
        <v>Intern</v>
      </c>
      <c r="F284" s="13">
        <v>743</v>
      </c>
      <c r="G284" s="13">
        <v>1</v>
      </c>
      <c r="H284" s="13">
        <v>6</v>
      </c>
      <c r="I284" s="2">
        <v>34412</v>
      </c>
      <c r="J284" s="15">
        <v>836120</v>
      </c>
      <c r="K284" s="4" t="s">
        <v>18</v>
      </c>
      <c r="L284" s="27">
        <f t="shared" si="10"/>
        <v>1994</v>
      </c>
      <c r="M284" s="27">
        <f t="shared" si="11"/>
        <v>9</v>
      </c>
      <c r="N284" s="27">
        <f t="shared" ca="1" si="12"/>
        <v>32</v>
      </c>
      <c r="O284" s="27" t="str" cm="1">
        <f t="array" ref="O284">_xlfn.IFS($F284&gt;=750,"Excellent",$F284&gt;=700,"Good",$F284&gt;=650,"Moderate",
$F284&lt;650,"Risky"
)</f>
        <v>Good</v>
      </c>
      <c r="P284" s="27" t="str" cm="1">
        <f t="array" ref="P284">_xlfn.IFS(
AND(F284&gt;=750,H284&lt;=2),"Low Risk",
AND(F284&gt;=700,H284&lt;=5),"Medium Risk",
TRUE,"High Risk"
)</f>
        <v>High Risk</v>
      </c>
      <c r="Q284" s="5"/>
      <c r="R284" s="5"/>
      <c r="S284" s="5"/>
      <c r="T284" s="5"/>
      <c r="U284" s="5"/>
      <c r="V284" s="5"/>
      <c r="W284" s="5"/>
      <c r="X284" s="5"/>
      <c r="Y284" s="5"/>
    </row>
    <row r="285" spans="1:25" ht="15.75" customHeight="1" x14ac:dyDescent="0.25">
      <c r="A285" s="2">
        <v>44097</v>
      </c>
      <c r="B285" s="3">
        <v>36599</v>
      </c>
      <c r="C285" s="4" t="s">
        <v>35</v>
      </c>
      <c r="D285" s="4" t="str">
        <f t="shared" si="8"/>
        <v>Growth</v>
      </c>
      <c r="E285" s="4" t="str">
        <f t="shared" si="9"/>
        <v>Intern</v>
      </c>
      <c r="F285" s="13">
        <v>724</v>
      </c>
      <c r="G285" s="13">
        <v>1</v>
      </c>
      <c r="H285" s="13">
        <v>1</v>
      </c>
      <c r="I285" s="2">
        <v>29729</v>
      </c>
      <c r="J285" s="15">
        <v>730249</v>
      </c>
      <c r="K285" s="4" t="s">
        <v>21</v>
      </c>
      <c r="L285" s="27">
        <f t="shared" si="10"/>
        <v>1981</v>
      </c>
      <c r="M285" s="27">
        <f t="shared" si="11"/>
        <v>9</v>
      </c>
      <c r="N285" s="27">
        <f t="shared" ca="1" si="12"/>
        <v>45</v>
      </c>
      <c r="O285" s="27" t="str" cm="1">
        <f t="array" ref="O285">_xlfn.IFS($F285&gt;=750,"Excellent",$F285&gt;=700,"Good",$F285&gt;=650,"Moderate",
$F285&lt;650,"Risky"
)</f>
        <v>Good</v>
      </c>
      <c r="P285" s="27" t="str" cm="1">
        <f t="array" ref="P285">_xlfn.IFS(
AND(F285&gt;=750,H285&lt;=2),"Low Risk",
AND(F285&gt;=700,H285&lt;=5),"Medium Risk",
TRUE,"High Risk"
)</f>
        <v>Medium Risk</v>
      </c>
      <c r="Q285" s="5"/>
      <c r="R285" s="5"/>
      <c r="S285" s="5"/>
      <c r="T285" s="5"/>
      <c r="U285" s="5"/>
      <c r="V285" s="5"/>
      <c r="W285" s="5"/>
      <c r="X285" s="5"/>
      <c r="Y285" s="5"/>
    </row>
    <row r="286" spans="1:25" ht="15.75" customHeight="1" x14ac:dyDescent="0.25">
      <c r="A286" s="2">
        <v>43940</v>
      </c>
      <c r="B286" s="3">
        <v>34987</v>
      </c>
      <c r="C286" s="4" t="s">
        <v>36</v>
      </c>
      <c r="D286" s="4" t="str">
        <f t="shared" si="8"/>
        <v>Sales</v>
      </c>
      <c r="E286" s="4" t="str">
        <f t="shared" si="9"/>
        <v>Intern</v>
      </c>
      <c r="F286" s="13">
        <v>741</v>
      </c>
      <c r="G286" s="13">
        <v>2</v>
      </c>
      <c r="H286" s="13">
        <v>8</v>
      </c>
      <c r="I286" s="2">
        <v>32673</v>
      </c>
      <c r="J286" s="15">
        <v>730232</v>
      </c>
      <c r="K286" s="4" t="s">
        <v>21</v>
      </c>
      <c r="L286" s="27">
        <f t="shared" si="10"/>
        <v>1989</v>
      </c>
      <c r="M286" s="27">
        <f t="shared" si="11"/>
        <v>4</v>
      </c>
      <c r="N286" s="27">
        <f t="shared" ca="1" si="12"/>
        <v>37</v>
      </c>
      <c r="O286" s="27" t="str" cm="1">
        <f t="array" ref="O286">_xlfn.IFS($F286&gt;=750,"Excellent",$F286&gt;=700,"Good",$F286&gt;=650,"Moderate",
$F286&lt;650,"Risky"
)</f>
        <v>Good</v>
      </c>
      <c r="P286" s="27" t="str" cm="1">
        <f t="array" ref="P286">_xlfn.IFS(
AND(F286&gt;=750,H286&lt;=2),"Low Risk",
AND(F286&gt;=700,H286&lt;=5),"Medium Risk",
TRUE,"High Risk"
)</f>
        <v>High Risk</v>
      </c>
      <c r="Q286" s="5"/>
      <c r="R286" s="5"/>
      <c r="S286" s="5"/>
      <c r="T286" s="5"/>
      <c r="U286" s="5"/>
      <c r="V286" s="5"/>
      <c r="W286" s="5"/>
      <c r="X286" s="5"/>
      <c r="Y286" s="5"/>
    </row>
    <row r="287" spans="1:25" ht="15.75" customHeight="1" x14ac:dyDescent="0.25">
      <c r="A287" s="2">
        <v>44056</v>
      </c>
      <c r="B287" s="3">
        <v>23301</v>
      </c>
      <c r="C287" s="4" t="s">
        <v>28</v>
      </c>
      <c r="D287" s="4" t="str">
        <f t="shared" si="8"/>
        <v>Growth</v>
      </c>
      <c r="E287" s="4" t="str">
        <f t="shared" si="9"/>
        <v>Director</v>
      </c>
      <c r="F287" s="13">
        <v>787</v>
      </c>
      <c r="G287" s="13">
        <v>3</v>
      </c>
      <c r="H287" s="13">
        <v>9</v>
      </c>
      <c r="I287" s="2">
        <v>31920</v>
      </c>
      <c r="J287" s="15">
        <v>692055</v>
      </c>
      <c r="K287" s="4" t="s">
        <v>21</v>
      </c>
      <c r="L287" s="27">
        <f t="shared" si="10"/>
        <v>1987</v>
      </c>
      <c r="M287" s="27">
        <f t="shared" si="11"/>
        <v>8</v>
      </c>
      <c r="N287" s="27">
        <f t="shared" ca="1" si="12"/>
        <v>39</v>
      </c>
      <c r="O287" s="27" t="str" cm="1">
        <f t="array" ref="O287">_xlfn.IFS($F287&gt;=750,"Excellent",$F287&gt;=700,"Good",$F287&gt;=650,"Moderate",
$F287&lt;650,"Risky"
)</f>
        <v>Excellent</v>
      </c>
      <c r="P287" s="27" t="str" cm="1">
        <f t="array" ref="P287">_xlfn.IFS(
AND(F287&gt;=750,H287&lt;=2),"Low Risk",
AND(F287&gt;=700,H287&lt;=5),"Medium Risk",
TRUE,"High Risk"
)</f>
        <v>High Risk</v>
      </c>
      <c r="Q287" s="5"/>
      <c r="R287" s="5"/>
      <c r="S287" s="5"/>
      <c r="T287" s="5"/>
      <c r="U287" s="5"/>
      <c r="V287" s="5"/>
      <c r="W287" s="5"/>
      <c r="X287" s="5"/>
      <c r="Y287" s="5"/>
    </row>
    <row r="288" spans="1:25" ht="15.75" customHeight="1" x14ac:dyDescent="0.25">
      <c r="A288" s="2">
        <v>43953</v>
      </c>
      <c r="B288" s="3">
        <v>59671</v>
      </c>
      <c r="C288" s="4" t="s">
        <v>29</v>
      </c>
      <c r="D288" s="4" t="str">
        <f t="shared" si="8"/>
        <v>Sales</v>
      </c>
      <c r="E288" s="4" t="str">
        <f t="shared" si="9"/>
        <v>Director</v>
      </c>
      <c r="F288" s="13">
        <v>783</v>
      </c>
      <c r="G288" s="13">
        <v>3</v>
      </c>
      <c r="H288" s="13">
        <v>4</v>
      </c>
      <c r="I288" s="2">
        <v>29521</v>
      </c>
      <c r="J288" s="15">
        <v>681373</v>
      </c>
      <c r="K288" s="4" t="s">
        <v>14</v>
      </c>
      <c r="L288" s="27">
        <f t="shared" si="10"/>
        <v>1980</v>
      </c>
      <c r="M288" s="27">
        <f t="shared" si="11"/>
        <v>5</v>
      </c>
      <c r="N288" s="27">
        <f t="shared" ca="1" si="12"/>
        <v>46</v>
      </c>
      <c r="O288" s="27" t="str" cm="1">
        <f t="array" ref="O288">_xlfn.IFS($F288&gt;=750,"Excellent",$F288&gt;=700,"Good",$F288&gt;=650,"Moderate",
$F288&lt;650,"Risky"
)</f>
        <v>Excellent</v>
      </c>
      <c r="P288" s="27" t="str" cm="1">
        <f t="array" ref="P288">_xlfn.IFS(
AND(F288&gt;=750,H288&lt;=2),"Low Risk",
AND(F288&gt;=700,H288&lt;=5),"Medium Risk",
TRUE,"High Risk"
)</f>
        <v>Medium Risk</v>
      </c>
      <c r="Q288" s="5"/>
      <c r="R288" s="5"/>
      <c r="S288" s="5"/>
      <c r="T288" s="5"/>
      <c r="U288" s="5"/>
      <c r="V288" s="5"/>
      <c r="W288" s="5"/>
      <c r="X288" s="5"/>
      <c r="Y288" s="5"/>
    </row>
    <row r="289" spans="1:25" ht="15.75" customHeight="1" x14ac:dyDescent="0.25">
      <c r="A289" s="2">
        <v>44149</v>
      </c>
      <c r="B289" s="3">
        <v>35667</v>
      </c>
      <c r="C289" s="4" t="s">
        <v>26</v>
      </c>
      <c r="D289" s="4" t="str">
        <f t="shared" si="8"/>
        <v>Strategy</v>
      </c>
      <c r="E289" s="4" t="str">
        <f t="shared" si="9"/>
        <v>Manager</v>
      </c>
      <c r="F289" s="13">
        <v>769</v>
      </c>
      <c r="G289" s="13">
        <v>1</v>
      </c>
      <c r="H289" s="13">
        <v>7</v>
      </c>
      <c r="I289" s="2">
        <v>33528</v>
      </c>
      <c r="J289" s="15">
        <v>609953</v>
      </c>
      <c r="K289" s="4" t="s">
        <v>18</v>
      </c>
      <c r="L289" s="27">
        <f t="shared" si="10"/>
        <v>1991</v>
      </c>
      <c r="M289" s="27">
        <f t="shared" si="11"/>
        <v>11</v>
      </c>
      <c r="N289" s="27">
        <f t="shared" ca="1" si="12"/>
        <v>35</v>
      </c>
      <c r="O289" s="27" t="str" cm="1">
        <f t="array" ref="O289">_xlfn.IFS($F289&gt;=750,"Excellent",$F289&gt;=700,"Good",$F289&gt;=650,"Moderate",
$F289&lt;650,"Risky"
)</f>
        <v>Excellent</v>
      </c>
      <c r="P289" s="27" t="str" cm="1">
        <f t="array" ref="P289">_xlfn.IFS(
AND(F289&gt;=750,H289&lt;=2),"Low Risk",
AND(F289&gt;=700,H289&lt;=5),"Medium Risk",
TRUE,"High Risk"
)</f>
        <v>High Risk</v>
      </c>
      <c r="Q289" s="5"/>
      <c r="R289" s="5"/>
      <c r="S289" s="5"/>
      <c r="T289" s="5"/>
      <c r="U289" s="5"/>
      <c r="V289" s="5"/>
      <c r="W289" s="5"/>
      <c r="X289" s="5"/>
      <c r="Y289" s="5"/>
    </row>
    <row r="290" spans="1:25" ht="15.75" customHeight="1" x14ac:dyDescent="0.25">
      <c r="A290" s="2">
        <v>44027</v>
      </c>
      <c r="B290" s="3">
        <v>27554</v>
      </c>
      <c r="C290" s="4" t="s">
        <v>29</v>
      </c>
      <c r="D290" s="4" t="str">
        <f t="shared" si="8"/>
        <v>Sales</v>
      </c>
      <c r="E290" s="4" t="str">
        <f t="shared" si="9"/>
        <v>Director</v>
      </c>
      <c r="F290" s="13">
        <v>762</v>
      </c>
      <c r="G290" s="13">
        <v>1</v>
      </c>
      <c r="H290" s="13">
        <v>3</v>
      </c>
      <c r="I290" s="2">
        <v>29384</v>
      </c>
      <c r="J290" s="15">
        <v>849306</v>
      </c>
      <c r="K290" s="4" t="s">
        <v>18</v>
      </c>
      <c r="L290" s="27">
        <f t="shared" si="10"/>
        <v>1980</v>
      </c>
      <c r="M290" s="27">
        <f t="shared" si="11"/>
        <v>7</v>
      </c>
      <c r="N290" s="27">
        <f t="shared" ca="1" si="12"/>
        <v>46</v>
      </c>
      <c r="O290" s="27" t="str" cm="1">
        <f t="array" ref="O290">_xlfn.IFS($F290&gt;=750,"Excellent",$F290&gt;=700,"Good",$F290&gt;=650,"Moderate",
$F290&lt;650,"Risky"
)</f>
        <v>Excellent</v>
      </c>
      <c r="P290" s="27" t="str" cm="1">
        <f t="array" ref="P290">_xlfn.IFS(
AND(F290&gt;=750,H290&lt;=2),"Low Risk",
AND(F290&gt;=700,H290&lt;=5),"Medium Risk",
TRUE,"High Risk"
)</f>
        <v>Medium Risk</v>
      </c>
      <c r="Q290" s="5"/>
      <c r="R290" s="5"/>
      <c r="S290" s="5"/>
      <c r="T290" s="5"/>
      <c r="U290" s="5"/>
      <c r="V290" s="5"/>
      <c r="W290" s="5"/>
      <c r="X290" s="5"/>
      <c r="Y290" s="5"/>
    </row>
    <row r="291" spans="1:25" ht="15.75" customHeight="1" x14ac:dyDescent="0.25">
      <c r="A291" s="2">
        <v>43872</v>
      </c>
      <c r="B291" s="3">
        <v>54403</v>
      </c>
      <c r="C291" s="4" t="s">
        <v>25</v>
      </c>
      <c r="D291" s="4" t="str">
        <f t="shared" si="8"/>
        <v>Sales</v>
      </c>
      <c r="E291" s="4" t="str">
        <f t="shared" si="9"/>
        <v>Manager</v>
      </c>
      <c r="F291" s="13">
        <v>756</v>
      </c>
      <c r="G291" s="13">
        <v>5</v>
      </c>
      <c r="H291" s="13">
        <v>10</v>
      </c>
      <c r="I291" s="2">
        <v>30684</v>
      </c>
      <c r="J291" s="15">
        <v>960479</v>
      </c>
      <c r="K291" s="4" t="s">
        <v>18</v>
      </c>
      <c r="L291" s="27">
        <f t="shared" si="10"/>
        <v>1984</v>
      </c>
      <c r="M291" s="27">
        <f t="shared" si="11"/>
        <v>2</v>
      </c>
      <c r="N291" s="27">
        <f t="shared" ca="1" si="12"/>
        <v>42</v>
      </c>
      <c r="O291" s="27" t="str" cm="1">
        <f t="array" ref="O291">_xlfn.IFS($F291&gt;=750,"Excellent",$F291&gt;=700,"Good",$F291&gt;=650,"Moderate",
$F291&lt;650,"Risky"
)</f>
        <v>Excellent</v>
      </c>
      <c r="P291" s="27" t="str" cm="1">
        <f t="array" ref="P291">_xlfn.IFS(
AND(F291&gt;=750,H291&lt;=2),"Low Risk",
AND(F291&gt;=700,H291&lt;=5),"Medium Risk",
TRUE,"High Risk"
)</f>
        <v>High Risk</v>
      </c>
      <c r="Q291" s="5"/>
      <c r="R291" s="5"/>
      <c r="S291" s="5"/>
      <c r="T291" s="5"/>
      <c r="U291" s="5"/>
      <c r="V291" s="5"/>
      <c r="W291" s="5"/>
      <c r="X291" s="5"/>
      <c r="Y291" s="5"/>
    </row>
    <row r="292" spans="1:25" ht="15.75" customHeight="1" x14ac:dyDescent="0.25">
      <c r="A292" s="2">
        <v>43947</v>
      </c>
      <c r="B292" s="3">
        <v>82494</v>
      </c>
      <c r="C292" s="4" t="s">
        <v>39</v>
      </c>
      <c r="D292" s="4" t="str">
        <f t="shared" si="8"/>
        <v>Growth</v>
      </c>
      <c r="E292" s="4" t="str">
        <f t="shared" si="9"/>
        <v>Executive</v>
      </c>
      <c r="F292" s="13">
        <v>793</v>
      </c>
      <c r="G292" s="13">
        <v>3</v>
      </c>
      <c r="H292" s="13">
        <v>1</v>
      </c>
      <c r="I292" s="2">
        <v>33524</v>
      </c>
      <c r="J292" s="15">
        <v>817733</v>
      </c>
      <c r="K292" s="4" t="s">
        <v>14</v>
      </c>
      <c r="L292" s="27">
        <f t="shared" si="10"/>
        <v>1991</v>
      </c>
      <c r="M292" s="27">
        <f t="shared" si="11"/>
        <v>4</v>
      </c>
      <c r="N292" s="27">
        <f t="shared" ca="1" si="12"/>
        <v>35</v>
      </c>
      <c r="O292" s="27" t="str" cm="1">
        <f t="array" ref="O292">_xlfn.IFS($F292&gt;=750,"Excellent",$F292&gt;=700,"Good",$F292&gt;=650,"Moderate",
$F292&lt;650,"Risky"
)</f>
        <v>Excellent</v>
      </c>
      <c r="P292" s="27" t="str" cm="1">
        <f t="array" ref="P292">_xlfn.IFS(
AND(F292&gt;=750,H292&lt;=2),"Low Risk",
AND(F292&gt;=700,H292&lt;=5),"Medium Risk",
TRUE,"High Risk"
)</f>
        <v>Low Risk</v>
      </c>
      <c r="Q292" s="5"/>
      <c r="R292" s="5"/>
      <c r="S292" s="5"/>
      <c r="T292" s="5"/>
      <c r="U292" s="5"/>
      <c r="V292" s="5"/>
      <c r="W292" s="5"/>
      <c r="X292" s="5"/>
      <c r="Y292" s="5"/>
    </row>
    <row r="293" spans="1:25" ht="15.75" customHeight="1" x14ac:dyDescent="0.25">
      <c r="A293" s="2">
        <v>43987</v>
      </c>
      <c r="B293" s="3">
        <v>15362</v>
      </c>
      <c r="C293" s="4" t="s">
        <v>38</v>
      </c>
      <c r="D293" s="4" t="str">
        <f t="shared" si="8"/>
        <v>Finance</v>
      </c>
      <c r="E293" s="4" t="str">
        <f t="shared" si="9"/>
        <v>Manager</v>
      </c>
      <c r="F293" s="13">
        <v>725</v>
      </c>
      <c r="G293" s="13">
        <v>5</v>
      </c>
      <c r="H293" s="13">
        <v>5</v>
      </c>
      <c r="I293" s="2">
        <v>31381</v>
      </c>
      <c r="J293" s="15">
        <v>904232</v>
      </c>
      <c r="K293" s="4" t="s">
        <v>14</v>
      </c>
      <c r="L293" s="27">
        <f t="shared" si="10"/>
        <v>1985</v>
      </c>
      <c r="M293" s="27">
        <f t="shared" si="11"/>
        <v>6</v>
      </c>
      <c r="N293" s="27">
        <f t="shared" ca="1" si="12"/>
        <v>41</v>
      </c>
      <c r="O293" s="27" t="str" cm="1">
        <f t="array" ref="O293">_xlfn.IFS($F293&gt;=750,"Excellent",$F293&gt;=700,"Good",$F293&gt;=650,"Moderate",
$F293&lt;650,"Risky"
)</f>
        <v>Good</v>
      </c>
      <c r="P293" s="27" t="str" cm="1">
        <f t="array" ref="P293">_xlfn.IFS(
AND(F293&gt;=750,H293&lt;=2),"Low Risk",
AND(F293&gt;=700,H293&lt;=5),"Medium Risk",
TRUE,"High Risk"
)</f>
        <v>Medium Risk</v>
      </c>
      <c r="Q293" s="5"/>
      <c r="R293" s="5"/>
      <c r="S293" s="5"/>
      <c r="T293" s="5"/>
      <c r="U293" s="5"/>
      <c r="V293" s="5"/>
      <c r="W293" s="5"/>
      <c r="X293" s="5"/>
      <c r="Y293" s="5"/>
    </row>
    <row r="294" spans="1:25" ht="15.75" customHeight="1" x14ac:dyDescent="0.25">
      <c r="A294" s="2">
        <v>44021</v>
      </c>
      <c r="B294" s="3">
        <v>45967</v>
      </c>
      <c r="C294" s="4" t="s">
        <v>30</v>
      </c>
      <c r="D294" s="4" t="str">
        <f t="shared" si="8"/>
        <v>Operation</v>
      </c>
      <c r="E294" s="4" t="str">
        <f t="shared" si="9"/>
        <v>Director</v>
      </c>
      <c r="F294" s="13">
        <v>792</v>
      </c>
      <c r="G294" s="13">
        <v>5</v>
      </c>
      <c r="H294" s="13">
        <v>5</v>
      </c>
      <c r="I294" s="2">
        <v>29500</v>
      </c>
      <c r="J294" s="15">
        <v>740222</v>
      </c>
      <c r="K294" s="4" t="s">
        <v>18</v>
      </c>
      <c r="L294" s="27">
        <f t="shared" si="10"/>
        <v>1980</v>
      </c>
      <c r="M294" s="27">
        <f t="shared" si="11"/>
        <v>7</v>
      </c>
      <c r="N294" s="27">
        <f t="shared" ca="1" si="12"/>
        <v>46</v>
      </c>
      <c r="O294" s="27" t="str" cm="1">
        <f t="array" ref="O294">_xlfn.IFS($F294&gt;=750,"Excellent",$F294&gt;=700,"Good",$F294&gt;=650,"Moderate",
$F294&lt;650,"Risky"
)</f>
        <v>Excellent</v>
      </c>
      <c r="P294" s="27" t="str" cm="1">
        <f t="array" ref="P294">_xlfn.IFS(
AND(F294&gt;=750,H294&lt;=2),"Low Risk",
AND(F294&gt;=700,H294&lt;=5),"Medium Risk",
TRUE,"High Risk"
)</f>
        <v>Medium Risk</v>
      </c>
      <c r="Q294" s="5"/>
      <c r="R294" s="5"/>
      <c r="S294" s="5"/>
      <c r="T294" s="5"/>
      <c r="U294" s="5"/>
      <c r="V294" s="5"/>
      <c r="W294" s="5"/>
      <c r="X294" s="5"/>
      <c r="Y294" s="5"/>
    </row>
    <row r="295" spans="1:25" ht="15.75" customHeight="1" x14ac:dyDescent="0.25">
      <c r="A295" s="2">
        <v>44043</v>
      </c>
      <c r="B295" s="3">
        <v>33874</v>
      </c>
      <c r="C295" s="4" t="s">
        <v>17</v>
      </c>
      <c r="D295" s="4" t="str">
        <f t="shared" si="8"/>
        <v>Growth</v>
      </c>
      <c r="E295" s="4" t="str">
        <f t="shared" si="9"/>
        <v>Manager</v>
      </c>
      <c r="F295" s="13">
        <v>755</v>
      </c>
      <c r="G295" s="13">
        <v>2</v>
      </c>
      <c r="H295" s="13">
        <v>1</v>
      </c>
      <c r="I295" s="2">
        <v>30662</v>
      </c>
      <c r="J295" s="15">
        <v>585398</v>
      </c>
      <c r="K295" s="4" t="s">
        <v>18</v>
      </c>
      <c r="L295" s="27">
        <f t="shared" si="10"/>
        <v>1983</v>
      </c>
      <c r="M295" s="27">
        <f t="shared" si="11"/>
        <v>7</v>
      </c>
      <c r="N295" s="27">
        <f t="shared" ca="1" si="12"/>
        <v>43</v>
      </c>
      <c r="O295" s="27" t="str" cm="1">
        <f t="array" ref="O295">_xlfn.IFS($F295&gt;=750,"Excellent",$F295&gt;=700,"Good",$F295&gt;=650,"Moderate",
$F295&lt;650,"Risky"
)</f>
        <v>Excellent</v>
      </c>
      <c r="P295" s="27" t="str" cm="1">
        <f t="array" ref="P295">_xlfn.IFS(
AND(F295&gt;=750,H295&lt;=2),"Low Risk",
AND(F295&gt;=700,H295&lt;=5),"Medium Risk",
TRUE,"High Risk"
)</f>
        <v>Low Risk</v>
      </c>
      <c r="Q295" s="5"/>
      <c r="R295" s="5"/>
      <c r="S295" s="5"/>
      <c r="T295" s="5"/>
      <c r="U295" s="5"/>
      <c r="V295" s="5"/>
      <c r="W295" s="5"/>
      <c r="X295" s="5"/>
      <c r="Y295" s="5"/>
    </row>
    <row r="296" spans="1:25" ht="15.75" customHeight="1" x14ac:dyDescent="0.25">
      <c r="A296" s="2">
        <v>44065</v>
      </c>
      <c r="B296" s="3">
        <v>85159</v>
      </c>
      <c r="C296" s="4" t="s">
        <v>31</v>
      </c>
      <c r="D296" s="4" t="str">
        <f t="shared" si="8"/>
        <v>Finance</v>
      </c>
      <c r="E296" s="4" t="str">
        <f t="shared" si="9"/>
        <v>Intern</v>
      </c>
      <c r="F296" s="13">
        <v>785</v>
      </c>
      <c r="G296" s="13">
        <v>3</v>
      </c>
      <c r="H296" s="13">
        <v>3</v>
      </c>
      <c r="I296" s="2">
        <v>34621</v>
      </c>
      <c r="J296" s="15">
        <v>829309</v>
      </c>
      <c r="K296" s="4" t="s">
        <v>18</v>
      </c>
      <c r="L296" s="27">
        <f t="shared" si="10"/>
        <v>1994</v>
      </c>
      <c r="M296" s="27">
        <f t="shared" si="11"/>
        <v>8</v>
      </c>
      <c r="N296" s="27">
        <f t="shared" ca="1" si="12"/>
        <v>32</v>
      </c>
      <c r="O296" s="27" t="str" cm="1">
        <f t="array" ref="O296">_xlfn.IFS($F296&gt;=750,"Excellent",$F296&gt;=700,"Good",$F296&gt;=650,"Moderate",
$F296&lt;650,"Risky"
)</f>
        <v>Excellent</v>
      </c>
      <c r="P296" s="27" t="str" cm="1">
        <f t="array" ref="P296">_xlfn.IFS(
AND(F296&gt;=750,H296&lt;=2),"Low Risk",
AND(F296&gt;=700,H296&lt;=5),"Medium Risk",
TRUE,"High Risk"
)</f>
        <v>Medium Risk</v>
      </c>
      <c r="Q296" s="5"/>
      <c r="R296" s="5"/>
      <c r="S296" s="5"/>
      <c r="T296" s="5"/>
      <c r="U296" s="5"/>
      <c r="V296" s="5"/>
      <c r="W296" s="5"/>
      <c r="X296" s="5"/>
      <c r="Y296" s="5"/>
    </row>
    <row r="297" spans="1:25" ht="15.75" customHeight="1" x14ac:dyDescent="0.25">
      <c r="A297" s="2">
        <v>43889</v>
      </c>
      <c r="B297" s="3">
        <v>62020</v>
      </c>
      <c r="C297" s="4" t="s">
        <v>34</v>
      </c>
      <c r="D297" s="4" t="str">
        <f t="shared" si="8"/>
        <v>Finance</v>
      </c>
      <c r="E297" s="4" t="str">
        <f t="shared" si="9"/>
        <v>Director</v>
      </c>
      <c r="F297" s="13">
        <v>722</v>
      </c>
      <c r="G297" s="13">
        <v>3</v>
      </c>
      <c r="H297" s="13">
        <v>2</v>
      </c>
      <c r="I297" s="2">
        <v>32828</v>
      </c>
      <c r="J297" s="15">
        <v>864737</v>
      </c>
      <c r="K297" s="4" t="s">
        <v>14</v>
      </c>
      <c r="L297" s="27">
        <f t="shared" si="10"/>
        <v>1989</v>
      </c>
      <c r="M297" s="27">
        <f t="shared" si="11"/>
        <v>2</v>
      </c>
      <c r="N297" s="27">
        <f t="shared" ca="1" si="12"/>
        <v>37</v>
      </c>
      <c r="O297" s="27" t="str" cm="1">
        <f t="array" ref="O297">_xlfn.IFS($F297&gt;=750,"Excellent",$F297&gt;=700,"Good",$F297&gt;=650,"Moderate",
$F297&lt;650,"Risky"
)</f>
        <v>Good</v>
      </c>
      <c r="P297" s="27" t="str" cm="1">
        <f t="array" ref="P297">_xlfn.IFS(
AND(F297&gt;=750,H297&lt;=2),"Low Risk",
AND(F297&gt;=700,H297&lt;=5),"Medium Risk",
TRUE,"High Risk"
)</f>
        <v>Medium Risk</v>
      </c>
      <c r="Q297" s="5"/>
      <c r="R297" s="5"/>
      <c r="S297" s="5"/>
      <c r="T297" s="5"/>
      <c r="U297" s="5"/>
      <c r="V297" s="5"/>
      <c r="W297" s="5"/>
      <c r="X297" s="5"/>
      <c r="Y297" s="5"/>
    </row>
    <row r="298" spans="1:25" ht="15.75" customHeight="1" x14ac:dyDescent="0.25">
      <c r="A298" s="2">
        <v>44065</v>
      </c>
      <c r="B298" s="3">
        <v>90439</v>
      </c>
      <c r="C298" s="4" t="s">
        <v>26</v>
      </c>
      <c r="D298" s="4" t="str">
        <f t="shared" si="8"/>
        <v>Strategy</v>
      </c>
      <c r="E298" s="4" t="str">
        <f t="shared" si="9"/>
        <v>Manager</v>
      </c>
      <c r="F298" s="13">
        <v>765</v>
      </c>
      <c r="G298" s="13">
        <v>1</v>
      </c>
      <c r="H298" s="13">
        <v>1</v>
      </c>
      <c r="I298" s="2">
        <v>31859</v>
      </c>
      <c r="J298" s="15">
        <v>598037</v>
      </c>
      <c r="K298" s="4" t="s">
        <v>21</v>
      </c>
      <c r="L298" s="27">
        <f t="shared" si="10"/>
        <v>1987</v>
      </c>
      <c r="M298" s="27">
        <f t="shared" si="11"/>
        <v>8</v>
      </c>
      <c r="N298" s="27">
        <f t="shared" ca="1" si="12"/>
        <v>39</v>
      </c>
      <c r="O298" s="27" t="str" cm="1">
        <f t="array" ref="O298">_xlfn.IFS($F298&gt;=750,"Excellent",$F298&gt;=700,"Good",$F298&gt;=650,"Moderate",
$F298&lt;650,"Risky"
)</f>
        <v>Excellent</v>
      </c>
      <c r="P298" s="27" t="str" cm="1">
        <f t="array" ref="P298">_xlfn.IFS(
AND(F298&gt;=750,H298&lt;=2),"Low Risk",
AND(F298&gt;=700,H298&lt;=5),"Medium Risk",
TRUE,"High Risk"
)</f>
        <v>Low Risk</v>
      </c>
      <c r="Q298" s="5"/>
      <c r="R298" s="5"/>
      <c r="S298" s="5"/>
      <c r="T298" s="5"/>
      <c r="U298" s="5"/>
      <c r="V298" s="5"/>
      <c r="W298" s="5"/>
      <c r="X298" s="5"/>
      <c r="Y298" s="5"/>
    </row>
    <row r="299" spans="1:25" ht="15.75" customHeight="1" x14ac:dyDescent="0.25">
      <c r="A299" s="2">
        <v>43890</v>
      </c>
      <c r="B299" s="3">
        <v>79432</v>
      </c>
      <c r="C299" s="4" t="s">
        <v>15</v>
      </c>
      <c r="D299" s="4" t="str">
        <f t="shared" si="8"/>
        <v>Operation</v>
      </c>
      <c r="E299" s="4" t="str">
        <f t="shared" si="9"/>
        <v>Executive</v>
      </c>
      <c r="F299" s="13">
        <v>719</v>
      </c>
      <c r="G299" s="13">
        <v>5</v>
      </c>
      <c r="H299" s="13">
        <v>3</v>
      </c>
      <c r="I299" s="2">
        <v>30214</v>
      </c>
      <c r="J299" s="15">
        <v>891905</v>
      </c>
      <c r="K299" s="4" t="s">
        <v>18</v>
      </c>
      <c r="L299" s="27">
        <f t="shared" si="10"/>
        <v>1982</v>
      </c>
      <c r="M299" s="27">
        <f t="shared" si="11"/>
        <v>2</v>
      </c>
      <c r="N299" s="27">
        <f t="shared" ca="1" si="12"/>
        <v>44</v>
      </c>
      <c r="O299" s="27" t="str" cm="1">
        <f t="array" ref="O299">_xlfn.IFS($F299&gt;=750,"Excellent",$F299&gt;=700,"Good",$F299&gt;=650,"Moderate",
$F299&lt;650,"Risky"
)</f>
        <v>Good</v>
      </c>
      <c r="P299" s="27" t="str" cm="1">
        <f t="array" ref="P299">_xlfn.IFS(
AND(F299&gt;=750,H299&lt;=2),"Low Risk",
AND(F299&gt;=700,H299&lt;=5),"Medium Risk",
TRUE,"High Risk"
)</f>
        <v>Medium Risk</v>
      </c>
      <c r="Q299" s="5"/>
      <c r="R299" s="5"/>
      <c r="S299" s="5"/>
      <c r="T299" s="5"/>
      <c r="U299" s="5"/>
      <c r="V299" s="5"/>
      <c r="W299" s="5"/>
      <c r="X299" s="5"/>
      <c r="Y299" s="5"/>
    </row>
    <row r="300" spans="1:25" ht="15.75" customHeight="1" x14ac:dyDescent="0.25">
      <c r="A300" s="2">
        <v>43848</v>
      </c>
      <c r="B300" s="3">
        <v>28144</v>
      </c>
      <c r="C300" s="4" t="s">
        <v>34</v>
      </c>
      <c r="D300" s="4" t="str">
        <f t="shared" si="8"/>
        <v>Finance</v>
      </c>
      <c r="E300" s="4" t="str">
        <f t="shared" si="9"/>
        <v>Director</v>
      </c>
      <c r="F300" s="13">
        <v>716</v>
      </c>
      <c r="G300" s="13">
        <v>1</v>
      </c>
      <c r="H300" s="13">
        <v>3</v>
      </c>
      <c r="I300" s="2">
        <v>30068</v>
      </c>
      <c r="J300" s="15">
        <v>795488</v>
      </c>
      <c r="K300" s="4" t="s">
        <v>14</v>
      </c>
      <c r="L300" s="27">
        <f t="shared" si="10"/>
        <v>1982</v>
      </c>
      <c r="M300" s="27">
        <f t="shared" si="11"/>
        <v>1</v>
      </c>
      <c r="N300" s="27">
        <f t="shared" ca="1" si="12"/>
        <v>44</v>
      </c>
      <c r="O300" s="27" t="str" cm="1">
        <f t="array" ref="O300">_xlfn.IFS($F300&gt;=750,"Excellent",$F300&gt;=700,"Good",$F300&gt;=650,"Moderate",
$F300&lt;650,"Risky"
)</f>
        <v>Good</v>
      </c>
      <c r="P300" s="27" t="str" cm="1">
        <f t="array" ref="P300">_xlfn.IFS(
AND(F300&gt;=750,H300&lt;=2),"Low Risk",
AND(F300&gt;=700,H300&lt;=5),"Medium Risk",
TRUE,"High Risk"
)</f>
        <v>Medium Risk</v>
      </c>
      <c r="Q300" s="5"/>
      <c r="R300" s="5"/>
      <c r="S300" s="5"/>
      <c r="T300" s="5"/>
      <c r="U300" s="5"/>
      <c r="V300" s="5"/>
      <c r="W300" s="5"/>
      <c r="X300" s="5"/>
      <c r="Y300" s="5"/>
    </row>
    <row r="301" spans="1:25" ht="15.75" customHeight="1" x14ac:dyDescent="0.25">
      <c r="A301" s="2">
        <v>44120</v>
      </c>
      <c r="B301" s="3">
        <v>49021</v>
      </c>
      <c r="C301" s="4" t="s">
        <v>32</v>
      </c>
      <c r="D301" s="4" t="str">
        <f t="shared" si="8"/>
        <v>Finance</v>
      </c>
      <c r="E301" s="4" t="str">
        <f t="shared" si="9"/>
        <v>Executive</v>
      </c>
      <c r="F301" s="13">
        <v>751</v>
      </c>
      <c r="G301" s="13">
        <v>3</v>
      </c>
      <c r="H301" s="13">
        <v>4</v>
      </c>
      <c r="I301" s="2">
        <v>29301</v>
      </c>
      <c r="J301" s="15">
        <v>755365</v>
      </c>
      <c r="K301" s="4" t="s">
        <v>14</v>
      </c>
      <c r="L301" s="27">
        <f t="shared" si="10"/>
        <v>1980</v>
      </c>
      <c r="M301" s="27">
        <f t="shared" si="11"/>
        <v>10</v>
      </c>
      <c r="N301" s="27">
        <f t="shared" ca="1" si="12"/>
        <v>46</v>
      </c>
      <c r="O301" s="27" t="str" cm="1">
        <f t="array" ref="O301">_xlfn.IFS($F301&gt;=750,"Excellent",$F301&gt;=700,"Good",$F301&gt;=650,"Moderate",
$F301&lt;650,"Risky"
)</f>
        <v>Excellent</v>
      </c>
      <c r="P301" s="27" t="str" cm="1">
        <f t="array" ref="P301">_xlfn.IFS(
AND(F301&gt;=750,H301&lt;=2),"Low Risk",
AND(F301&gt;=700,H301&lt;=5),"Medium Risk",
TRUE,"High Risk"
)</f>
        <v>Medium Risk</v>
      </c>
      <c r="Q301" s="5"/>
      <c r="R301" s="5"/>
      <c r="S301" s="5"/>
      <c r="T301" s="5"/>
      <c r="U301" s="5"/>
      <c r="V301" s="5"/>
      <c r="W301" s="5"/>
      <c r="X301" s="5"/>
      <c r="Y301" s="5"/>
    </row>
    <row r="302" spans="1:25" ht="15.75" customHeight="1" x14ac:dyDescent="0.25">
      <c r="A302" s="2">
        <v>43833</v>
      </c>
      <c r="B302" s="3">
        <v>82597</v>
      </c>
      <c r="C302" s="4" t="s">
        <v>23</v>
      </c>
      <c r="D302" s="4" t="str">
        <f t="shared" si="8"/>
        <v>Marketing</v>
      </c>
      <c r="E302" s="4" t="str">
        <f t="shared" si="9"/>
        <v>Intern</v>
      </c>
      <c r="F302" s="13">
        <v>773</v>
      </c>
      <c r="G302" s="13">
        <v>2</v>
      </c>
      <c r="H302" s="13">
        <v>4</v>
      </c>
      <c r="I302" s="2">
        <v>34289</v>
      </c>
      <c r="J302" s="15">
        <v>797216</v>
      </c>
      <c r="K302" s="4" t="s">
        <v>21</v>
      </c>
      <c r="L302" s="27">
        <f t="shared" si="10"/>
        <v>1993</v>
      </c>
      <c r="M302" s="27">
        <f t="shared" si="11"/>
        <v>1</v>
      </c>
      <c r="N302" s="27">
        <f t="shared" ca="1" si="12"/>
        <v>33</v>
      </c>
      <c r="O302" s="27" t="str" cm="1">
        <f t="array" ref="O302">_xlfn.IFS($F302&gt;=750,"Excellent",$F302&gt;=700,"Good",$F302&gt;=650,"Moderate",
$F302&lt;650,"Risky"
)</f>
        <v>Excellent</v>
      </c>
      <c r="P302" s="27" t="str" cm="1">
        <f t="array" ref="P302">_xlfn.IFS(
AND(F302&gt;=750,H302&lt;=2),"Low Risk",
AND(F302&gt;=700,H302&lt;=5),"Medium Risk",
TRUE,"High Risk"
)</f>
        <v>Medium Risk</v>
      </c>
      <c r="Q302" s="5"/>
      <c r="R302" s="5"/>
      <c r="S302" s="5"/>
      <c r="T302" s="5"/>
      <c r="U302" s="5"/>
      <c r="V302" s="5"/>
      <c r="W302" s="5"/>
      <c r="X302" s="5"/>
      <c r="Y302" s="5"/>
    </row>
    <row r="303" spans="1:25" ht="15.75" customHeight="1" x14ac:dyDescent="0.25">
      <c r="A303" s="2">
        <v>43973</v>
      </c>
      <c r="B303" s="3">
        <v>81380</v>
      </c>
      <c r="C303" s="4" t="s">
        <v>33</v>
      </c>
      <c r="D303" s="4" t="str">
        <f t="shared" si="8"/>
        <v>Sales</v>
      </c>
      <c r="E303" s="4" t="str">
        <f t="shared" si="9"/>
        <v>Executive</v>
      </c>
      <c r="F303" s="13">
        <v>777</v>
      </c>
      <c r="G303" s="13">
        <v>2</v>
      </c>
      <c r="H303" s="13">
        <v>8</v>
      </c>
      <c r="I303" s="2">
        <v>29231</v>
      </c>
      <c r="J303" s="15">
        <v>658555</v>
      </c>
      <c r="K303" s="4" t="s">
        <v>14</v>
      </c>
      <c r="L303" s="27">
        <f t="shared" si="10"/>
        <v>1980</v>
      </c>
      <c r="M303" s="27">
        <f t="shared" si="11"/>
        <v>5</v>
      </c>
      <c r="N303" s="27">
        <f t="shared" ca="1" si="12"/>
        <v>46</v>
      </c>
      <c r="O303" s="27" t="str" cm="1">
        <f t="array" ref="O303">_xlfn.IFS($F303&gt;=750,"Excellent",$F303&gt;=700,"Good",$F303&gt;=650,"Moderate",
$F303&lt;650,"Risky"
)</f>
        <v>Excellent</v>
      </c>
      <c r="P303" s="27" t="str" cm="1">
        <f t="array" ref="P303">_xlfn.IFS(
AND(F303&gt;=750,H303&lt;=2),"Low Risk",
AND(F303&gt;=700,H303&lt;=5),"Medium Risk",
TRUE,"High Risk"
)</f>
        <v>High Risk</v>
      </c>
      <c r="Q303" s="5"/>
      <c r="R303" s="5"/>
      <c r="S303" s="5"/>
      <c r="T303" s="5"/>
      <c r="U303" s="5"/>
      <c r="V303" s="5"/>
      <c r="W303" s="5"/>
      <c r="X303" s="5"/>
      <c r="Y303" s="5"/>
    </row>
    <row r="304" spans="1:25" ht="15.75" customHeight="1" x14ac:dyDescent="0.25">
      <c r="A304" s="2">
        <v>44041</v>
      </c>
      <c r="B304" s="3">
        <v>49194</v>
      </c>
      <c r="C304" s="4" t="s">
        <v>27</v>
      </c>
      <c r="D304" s="4" t="str">
        <f t="shared" si="8"/>
        <v>Operation</v>
      </c>
      <c r="E304" s="4" t="str">
        <f t="shared" si="9"/>
        <v>Intern</v>
      </c>
      <c r="F304" s="13">
        <v>757</v>
      </c>
      <c r="G304" s="13">
        <v>2</v>
      </c>
      <c r="H304" s="13">
        <v>1</v>
      </c>
      <c r="I304" s="2">
        <v>31340</v>
      </c>
      <c r="J304" s="15">
        <v>573303</v>
      </c>
      <c r="K304" s="4" t="s">
        <v>21</v>
      </c>
      <c r="L304" s="27">
        <f t="shared" si="10"/>
        <v>1985</v>
      </c>
      <c r="M304" s="27">
        <f t="shared" si="11"/>
        <v>7</v>
      </c>
      <c r="N304" s="27">
        <f t="shared" ca="1" si="12"/>
        <v>41</v>
      </c>
      <c r="O304" s="27" t="str" cm="1">
        <f t="array" ref="O304">_xlfn.IFS($F304&gt;=750,"Excellent",$F304&gt;=700,"Good",$F304&gt;=650,"Moderate",
$F304&lt;650,"Risky"
)</f>
        <v>Excellent</v>
      </c>
      <c r="P304" s="27" t="str" cm="1">
        <f t="array" ref="P304">_xlfn.IFS(
AND(F304&gt;=750,H304&lt;=2),"Low Risk",
AND(F304&gt;=700,H304&lt;=5),"Medium Risk",
TRUE,"High Risk"
)</f>
        <v>Low Risk</v>
      </c>
      <c r="Q304" s="5"/>
      <c r="R304" s="5"/>
      <c r="S304" s="5"/>
      <c r="T304" s="5"/>
      <c r="U304" s="5"/>
      <c r="V304" s="5"/>
      <c r="W304" s="5"/>
      <c r="X304" s="5"/>
      <c r="Y304" s="5"/>
    </row>
    <row r="305" spans="1:25" ht="15.75" customHeight="1" x14ac:dyDescent="0.25">
      <c r="A305" s="2">
        <v>44076</v>
      </c>
      <c r="B305" s="3">
        <v>49005</v>
      </c>
      <c r="C305" s="4" t="s">
        <v>28</v>
      </c>
      <c r="D305" s="4" t="str">
        <f t="shared" si="8"/>
        <v>Growth</v>
      </c>
      <c r="E305" s="4" t="str">
        <f t="shared" si="9"/>
        <v>Director</v>
      </c>
      <c r="F305" s="13">
        <v>755</v>
      </c>
      <c r="G305" s="13">
        <v>5</v>
      </c>
      <c r="H305" s="13">
        <v>9</v>
      </c>
      <c r="I305" s="2">
        <v>29388</v>
      </c>
      <c r="J305" s="15">
        <v>763557</v>
      </c>
      <c r="K305" s="4" t="s">
        <v>21</v>
      </c>
      <c r="L305" s="27">
        <f t="shared" si="10"/>
        <v>1980</v>
      </c>
      <c r="M305" s="27">
        <f t="shared" si="11"/>
        <v>9</v>
      </c>
      <c r="N305" s="27">
        <f t="shared" ca="1" si="12"/>
        <v>46</v>
      </c>
      <c r="O305" s="27" t="str" cm="1">
        <f t="array" ref="O305">_xlfn.IFS($F305&gt;=750,"Excellent",$F305&gt;=700,"Good",$F305&gt;=650,"Moderate",
$F305&lt;650,"Risky"
)</f>
        <v>Excellent</v>
      </c>
      <c r="P305" s="27" t="str" cm="1">
        <f t="array" ref="P305">_xlfn.IFS(
AND(F305&gt;=750,H305&lt;=2),"Low Risk",
AND(F305&gt;=700,H305&lt;=5),"Medium Risk",
TRUE,"High Risk"
)</f>
        <v>High Risk</v>
      </c>
      <c r="Q305" s="5"/>
      <c r="R305" s="5"/>
      <c r="S305" s="5"/>
      <c r="T305" s="5"/>
      <c r="U305" s="5"/>
      <c r="V305" s="5"/>
      <c r="W305" s="5"/>
      <c r="X305" s="5"/>
      <c r="Y305" s="5"/>
    </row>
    <row r="306" spans="1:25" ht="15.75" customHeight="1" x14ac:dyDescent="0.25">
      <c r="A306" s="2">
        <v>44001</v>
      </c>
      <c r="B306" s="3">
        <v>11954</v>
      </c>
      <c r="C306" s="4" t="s">
        <v>32</v>
      </c>
      <c r="D306" s="4" t="str">
        <f t="shared" si="8"/>
        <v>Finance</v>
      </c>
      <c r="E306" s="4" t="str">
        <f t="shared" si="9"/>
        <v>Executive</v>
      </c>
      <c r="F306" s="13">
        <v>732</v>
      </c>
      <c r="G306" s="13">
        <v>5</v>
      </c>
      <c r="H306" s="13">
        <v>4</v>
      </c>
      <c r="I306" s="2">
        <v>32980</v>
      </c>
      <c r="J306" s="15">
        <v>511283</v>
      </c>
      <c r="K306" s="4" t="s">
        <v>21</v>
      </c>
      <c r="L306" s="27">
        <f t="shared" si="10"/>
        <v>1990</v>
      </c>
      <c r="M306" s="27">
        <f t="shared" si="11"/>
        <v>6</v>
      </c>
      <c r="N306" s="27">
        <f t="shared" ca="1" si="12"/>
        <v>36</v>
      </c>
      <c r="O306" s="27" t="str" cm="1">
        <f t="array" ref="O306">_xlfn.IFS($F306&gt;=750,"Excellent",$F306&gt;=700,"Good",$F306&gt;=650,"Moderate",
$F306&lt;650,"Risky"
)</f>
        <v>Good</v>
      </c>
      <c r="P306" s="27" t="str" cm="1">
        <f t="array" ref="P306">_xlfn.IFS(
AND(F306&gt;=750,H306&lt;=2),"Low Risk",
AND(F306&gt;=700,H306&lt;=5),"Medium Risk",
TRUE,"High Risk"
)</f>
        <v>Medium Risk</v>
      </c>
      <c r="Q306" s="5"/>
      <c r="R306" s="5"/>
      <c r="S306" s="5"/>
      <c r="T306" s="5"/>
      <c r="U306" s="5"/>
      <c r="V306" s="5"/>
      <c r="W306" s="5"/>
      <c r="X306" s="5"/>
      <c r="Y306" s="5"/>
    </row>
    <row r="307" spans="1:25" ht="15.75" customHeight="1" x14ac:dyDescent="0.25">
      <c r="A307" s="2">
        <v>43910</v>
      </c>
      <c r="B307" s="3">
        <v>68852</v>
      </c>
      <c r="C307" s="4" t="s">
        <v>24</v>
      </c>
      <c r="D307" s="4" t="str">
        <f t="shared" si="8"/>
        <v>Strategy</v>
      </c>
      <c r="E307" s="4" t="str">
        <f t="shared" si="9"/>
        <v>Intern</v>
      </c>
      <c r="F307" s="13">
        <v>743</v>
      </c>
      <c r="G307" s="13">
        <v>3</v>
      </c>
      <c r="H307" s="13">
        <v>1</v>
      </c>
      <c r="I307" s="2">
        <v>32455</v>
      </c>
      <c r="J307" s="15">
        <v>547867</v>
      </c>
      <c r="K307" s="4" t="s">
        <v>21</v>
      </c>
      <c r="L307" s="27">
        <f t="shared" si="10"/>
        <v>1988</v>
      </c>
      <c r="M307" s="27">
        <f t="shared" si="11"/>
        <v>3</v>
      </c>
      <c r="N307" s="27">
        <f t="shared" ca="1" si="12"/>
        <v>38</v>
      </c>
      <c r="O307" s="27" t="str" cm="1">
        <f t="array" ref="O307">_xlfn.IFS($F307&gt;=750,"Excellent",$F307&gt;=700,"Good",$F307&gt;=650,"Moderate",
$F307&lt;650,"Risky"
)</f>
        <v>Good</v>
      </c>
      <c r="P307" s="27" t="str" cm="1">
        <f t="array" ref="P307">_xlfn.IFS(
AND(F307&gt;=750,H307&lt;=2),"Low Risk",
AND(F307&gt;=700,H307&lt;=5),"Medium Risk",
TRUE,"High Risk"
)</f>
        <v>Medium Risk</v>
      </c>
      <c r="Q307" s="5"/>
      <c r="R307" s="5"/>
      <c r="S307" s="5"/>
      <c r="T307" s="5"/>
      <c r="U307" s="5"/>
      <c r="V307" s="5"/>
      <c r="W307" s="5"/>
      <c r="X307" s="5"/>
      <c r="Y307" s="5"/>
    </row>
    <row r="308" spans="1:25" ht="15.75" customHeight="1" x14ac:dyDescent="0.25">
      <c r="A308" s="2">
        <v>43880</v>
      </c>
      <c r="B308" s="3">
        <v>28748</v>
      </c>
      <c r="C308" s="4" t="s">
        <v>23</v>
      </c>
      <c r="D308" s="4" t="str">
        <f t="shared" si="8"/>
        <v>Marketing</v>
      </c>
      <c r="E308" s="4" t="str">
        <f t="shared" si="9"/>
        <v>Intern</v>
      </c>
      <c r="F308" s="13">
        <v>761</v>
      </c>
      <c r="G308" s="13">
        <v>3</v>
      </c>
      <c r="H308" s="13">
        <v>4</v>
      </c>
      <c r="I308" s="2">
        <v>34692</v>
      </c>
      <c r="J308" s="15">
        <v>534236</v>
      </c>
      <c r="K308" s="4" t="s">
        <v>18</v>
      </c>
      <c r="L308" s="27">
        <f t="shared" si="10"/>
        <v>1994</v>
      </c>
      <c r="M308" s="27">
        <f t="shared" si="11"/>
        <v>2</v>
      </c>
      <c r="N308" s="27">
        <f t="shared" ca="1" si="12"/>
        <v>32</v>
      </c>
      <c r="O308" s="27" t="str" cm="1">
        <f t="array" ref="O308">_xlfn.IFS($F308&gt;=750,"Excellent",$F308&gt;=700,"Good",$F308&gt;=650,"Moderate",
$F308&lt;650,"Risky"
)</f>
        <v>Excellent</v>
      </c>
      <c r="P308" s="27" t="str" cm="1">
        <f t="array" ref="P308">_xlfn.IFS(
AND(F308&gt;=750,H308&lt;=2),"Low Risk",
AND(F308&gt;=700,H308&lt;=5),"Medium Risk",
TRUE,"High Risk"
)</f>
        <v>Medium Risk</v>
      </c>
      <c r="Q308" s="5"/>
      <c r="R308" s="5"/>
      <c r="S308" s="5"/>
      <c r="T308" s="5"/>
      <c r="U308" s="5"/>
      <c r="V308" s="5"/>
      <c r="W308" s="5"/>
      <c r="X308" s="5"/>
      <c r="Y308" s="5"/>
    </row>
    <row r="309" spans="1:25" ht="15.75" customHeight="1" x14ac:dyDescent="0.25">
      <c r="A309" s="2">
        <v>44034</v>
      </c>
      <c r="B309" s="3">
        <v>19871</v>
      </c>
      <c r="C309" s="4" t="s">
        <v>31</v>
      </c>
      <c r="D309" s="4" t="str">
        <f t="shared" si="8"/>
        <v>Finance</v>
      </c>
      <c r="E309" s="4" t="str">
        <f t="shared" si="9"/>
        <v>Intern</v>
      </c>
      <c r="F309" s="13">
        <v>785</v>
      </c>
      <c r="G309" s="13">
        <v>1</v>
      </c>
      <c r="H309" s="13">
        <v>4</v>
      </c>
      <c r="I309" s="2">
        <v>33182</v>
      </c>
      <c r="J309" s="15">
        <v>926218</v>
      </c>
      <c r="K309" s="4" t="s">
        <v>21</v>
      </c>
      <c r="L309" s="27">
        <f t="shared" si="10"/>
        <v>1990</v>
      </c>
      <c r="M309" s="27">
        <f t="shared" si="11"/>
        <v>7</v>
      </c>
      <c r="N309" s="27">
        <f t="shared" ca="1" si="12"/>
        <v>36</v>
      </c>
      <c r="O309" s="27" t="str" cm="1">
        <f t="array" ref="O309">_xlfn.IFS($F309&gt;=750,"Excellent",$F309&gt;=700,"Good",$F309&gt;=650,"Moderate",
$F309&lt;650,"Risky"
)</f>
        <v>Excellent</v>
      </c>
      <c r="P309" s="27" t="str" cm="1">
        <f t="array" ref="P309">_xlfn.IFS(
AND(F309&gt;=750,H309&lt;=2),"Low Risk",
AND(F309&gt;=700,H309&lt;=5),"Medium Risk",
TRUE,"High Risk"
)</f>
        <v>Medium Risk</v>
      </c>
      <c r="Q309" s="5"/>
      <c r="R309" s="5"/>
      <c r="S309" s="5"/>
      <c r="T309" s="5"/>
      <c r="U309" s="5"/>
      <c r="V309" s="5"/>
      <c r="W309" s="5"/>
      <c r="X309" s="5"/>
      <c r="Y309" s="5"/>
    </row>
    <row r="310" spans="1:25" ht="15.75" customHeight="1" x14ac:dyDescent="0.25">
      <c r="A310" s="2">
        <v>44080</v>
      </c>
      <c r="B310" s="3">
        <v>82769</v>
      </c>
      <c r="C310" s="4" t="s">
        <v>16</v>
      </c>
      <c r="D310" s="4" t="str">
        <f t="shared" si="8"/>
        <v>Marketing</v>
      </c>
      <c r="E310" s="4" t="str">
        <f t="shared" si="9"/>
        <v>Executive</v>
      </c>
      <c r="F310" s="13">
        <v>772</v>
      </c>
      <c r="G310" s="13">
        <v>5</v>
      </c>
      <c r="H310" s="13">
        <v>9</v>
      </c>
      <c r="I310" s="2">
        <v>31772</v>
      </c>
      <c r="J310" s="15">
        <v>996338</v>
      </c>
      <c r="K310" s="4" t="s">
        <v>18</v>
      </c>
      <c r="L310" s="27">
        <f t="shared" si="10"/>
        <v>1986</v>
      </c>
      <c r="M310" s="27">
        <f t="shared" si="11"/>
        <v>9</v>
      </c>
      <c r="N310" s="27">
        <f t="shared" ca="1" si="12"/>
        <v>40</v>
      </c>
      <c r="O310" s="27" t="str" cm="1">
        <f t="array" ref="O310">_xlfn.IFS($F310&gt;=750,"Excellent",$F310&gt;=700,"Good",$F310&gt;=650,"Moderate",
$F310&lt;650,"Risky"
)</f>
        <v>Excellent</v>
      </c>
      <c r="P310" s="27" t="str" cm="1">
        <f t="array" ref="P310">_xlfn.IFS(
AND(F310&gt;=750,H310&lt;=2),"Low Risk",
AND(F310&gt;=700,H310&lt;=5),"Medium Risk",
TRUE,"High Risk"
)</f>
        <v>High Risk</v>
      </c>
      <c r="Q310" s="5"/>
      <c r="R310" s="5"/>
      <c r="S310" s="5"/>
      <c r="T310" s="5"/>
      <c r="U310" s="5"/>
      <c r="V310" s="5"/>
      <c r="W310" s="5"/>
      <c r="X310" s="5"/>
      <c r="Y310" s="5"/>
    </row>
    <row r="311" spans="1:25" ht="15.75" customHeight="1" x14ac:dyDescent="0.25">
      <c r="A311" s="2">
        <v>43833</v>
      </c>
      <c r="B311" s="3">
        <v>79925</v>
      </c>
      <c r="C311" s="4" t="s">
        <v>39</v>
      </c>
      <c r="D311" s="4" t="str">
        <f t="shared" si="8"/>
        <v>Growth</v>
      </c>
      <c r="E311" s="4" t="str">
        <f t="shared" si="9"/>
        <v>Executive</v>
      </c>
      <c r="F311" s="13">
        <v>731</v>
      </c>
      <c r="G311" s="13">
        <v>2</v>
      </c>
      <c r="H311" s="13">
        <v>9</v>
      </c>
      <c r="I311" s="2">
        <v>31918</v>
      </c>
      <c r="J311" s="15">
        <v>816389</v>
      </c>
      <c r="K311" s="4" t="s">
        <v>14</v>
      </c>
      <c r="L311" s="27">
        <f t="shared" si="10"/>
        <v>1987</v>
      </c>
      <c r="M311" s="27">
        <f t="shared" si="11"/>
        <v>1</v>
      </c>
      <c r="N311" s="27">
        <f t="shared" ca="1" si="12"/>
        <v>39</v>
      </c>
      <c r="O311" s="27" t="str" cm="1">
        <f t="array" ref="O311">_xlfn.IFS($F311&gt;=750,"Excellent",$F311&gt;=700,"Good",$F311&gt;=650,"Moderate",
$F311&lt;650,"Risky"
)</f>
        <v>Good</v>
      </c>
      <c r="P311" s="27" t="str" cm="1">
        <f t="array" ref="P311">_xlfn.IFS(
AND(F311&gt;=750,H311&lt;=2),"Low Risk",
AND(F311&gt;=700,H311&lt;=5),"Medium Risk",
TRUE,"High Risk"
)</f>
        <v>High Risk</v>
      </c>
      <c r="Q311" s="5"/>
      <c r="R311" s="5"/>
      <c r="S311" s="5"/>
      <c r="T311" s="5"/>
      <c r="U311" s="5"/>
      <c r="V311" s="5"/>
      <c r="W311" s="5"/>
      <c r="X311" s="5"/>
      <c r="Y311" s="5"/>
    </row>
    <row r="312" spans="1:25" ht="15.75" customHeight="1" x14ac:dyDescent="0.25">
      <c r="A312" s="2">
        <v>43939</v>
      </c>
      <c r="B312" s="3">
        <v>37382</v>
      </c>
      <c r="C312" s="4" t="s">
        <v>33</v>
      </c>
      <c r="D312" s="4" t="str">
        <f t="shared" si="8"/>
        <v>Sales</v>
      </c>
      <c r="E312" s="4" t="str">
        <f t="shared" si="9"/>
        <v>Executive</v>
      </c>
      <c r="F312" s="13">
        <v>720</v>
      </c>
      <c r="G312" s="13">
        <v>4</v>
      </c>
      <c r="H312" s="13">
        <v>1</v>
      </c>
      <c r="I312" s="2">
        <v>33315</v>
      </c>
      <c r="J312" s="15">
        <v>610385</v>
      </c>
      <c r="K312" s="4" t="s">
        <v>14</v>
      </c>
      <c r="L312" s="27">
        <f t="shared" si="10"/>
        <v>1991</v>
      </c>
      <c r="M312" s="27">
        <f t="shared" si="11"/>
        <v>4</v>
      </c>
      <c r="N312" s="27">
        <f t="shared" ca="1" si="12"/>
        <v>35</v>
      </c>
      <c r="O312" s="27" t="str" cm="1">
        <f t="array" ref="O312">_xlfn.IFS($F312&gt;=750,"Excellent",$F312&gt;=700,"Good",$F312&gt;=650,"Moderate",
$F312&lt;650,"Risky"
)</f>
        <v>Good</v>
      </c>
      <c r="P312" s="27" t="str" cm="1">
        <f t="array" ref="P312">_xlfn.IFS(
AND(F312&gt;=750,H312&lt;=2),"Low Risk",
AND(F312&gt;=700,H312&lt;=5),"Medium Risk",
TRUE,"High Risk"
)</f>
        <v>Medium Risk</v>
      </c>
      <c r="Q312" s="5"/>
      <c r="R312" s="5"/>
      <c r="S312" s="5"/>
      <c r="T312" s="5"/>
      <c r="U312" s="5"/>
      <c r="V312" s="5"/>
      <c r="W312" s="5"/>
      <c r="X312" s="5"/>
      <c r="Y312" s="5"/>
    </row>
    <row r="313" spans="1:25" ht="15.75" customHeight="1" x14ac:dyDescent="0.25">
      <c r="A313" s="2">
        <v>44130</v>
      </c>
      <c r="B313" s="3">
        <v>47339</v>
      </c>
      <c r="C313" s="4" t="s">
        <v>22</v>
      </c>
      <c r="D313" s="4" t="str">
        <f t="shared" si="8"/>
        <v>Strategy</v>
      </c>
      <c r="E313" s="4" t="str">
        <f t="shared" si="9"/>
        <v>Executive</v>
      </c>
      <c r="F313" s="13">
        <v>775</v>
      </c>
      <c r="G313" s="13">
        <v>2</v>
      </c>
      <c r="H313" s="13">
        <v>1</v>
      </c>
      <c r="I313" s="2">
        <v>33649</v>
      </c>
      <c r="J313" s="15">
        <v>722683</v>
      </c>
      <c r="K313" s="4" t="s">
        <v>18</v>
      </c>
      <c r="L313" s="27">
        <f t="shared" si="10"/>
        <v>1992</v>
      </c>
      <c r="M313" s="27">
        <f t="shared" si="11"/>
        <v>10</v>
      </c>
      <c r="N313" s="27">
        <f t="shared" ca="1" si="12"/>
        <v>34</v>
      </c>
      <c r="O313" s="27" t="str" cm="1">
        <f t="array" ref="O313">_xlfn.IFS($F313&gt;=750,"Excellent",$F313&gt;=700,"Good",$F313&gt;=650,"Moderate",
$F313&lt;650,"Risky"
)</f>
        <v>Excellent</v>
      </c>
      <c r="P313" s="27" t="str" cm="1">
        <f t="array" ref="P313">_xlfn.IFS(
AND(F313&gt;=750,H313&lt;=2),"Low Risk",
AND(F313&gt;=700,H313&lt;=5),"Medium Risk",
TRUE,"High Risk"
)</f>
        <v>Low Risk</v>
      </c>
      <c r="Q313" s="5"/>
      <c r="R313" s="5"/>
      <c r="S313" s="5"/>
      <c r="T313" s="5"/>
      <c r="U313" s="5"/>
      <c r="V313" s="5"/>
      <c r="W313" s="5"/>
      <c r="X313" s="5"/>
      <c r="Y313" s="5"/>
    </row>
    <row r="314" spans="1:25" ht="15.75" customHeight="1" x14ac:dyDescent="0.25">
      <c r="A314" s="2">
        <v>43994</v>
      </c>
      <c r="B314" s="3">
        <v>12361</v>
      </c>
      <c r="C314" s="4" t="s">
        <v>34</v>
      </c>
      <c r="D314" s="4" t="str">
        <f t="shared" si="8"/>
        <v>Finance</v>
      </c>
      <c r="E314" s="4" t="str">
        <f t="shared" si="9"/>
        <v>Director</v>
      </c>
      <c r="F314" s="13">
        <v>732</v>
      </c>
      <c r="G314" s="13">
        <v>3</v>
      </c>
      <c r="H314" s="13">
        <v>3</v>
      </c>
      <c r="I314" s="2">
        <v>34000</v>
      </c>
      <c r="J314" s="15">
        <v>581560</v>
      </c>
      <c r="K314" s="4" t="s">
        <v>21</v>
      </c>
      <c r="L314" s="27">
        <f t="shared" si="10"/>
        <v>1993</v>
      </c>
      <c r="M314" s="27">
        <f t="shared" si="11"/>
        <v>6</v>
      </c>
      <c r="N314" s="27">
        <f t="shared" ca="1" si="12"/>
        <v>33</v>
      </c>
      <c r="O314" s="27" t="str" cm="1">
        <f t="array" ref="O314">_xlfn.IFS($F314&gt;=750,"Excellent",$F314&gt;=700,"Good",$F314&gt;=650,"Moderate",
$F314&lt;650,"Risky"
)</f>
        <v>Good</v>
      </c>
      <c r="P314" s="27" t="str" cm="1">
        <f t="array" ref="P314">_xlfn.IFS(
AND(F314&gt;=750,H314&lt;=2),"Low Risk",
AND(F314&gt;=700,H314&lt;=5),"Medium Risk",
TRUE,"High Risk"
)</f>
        <v>Medium Risk</v>
      </c>
      <c r="Q314" s="5"/>
      <c r="R314" s="5"/>
      <c r="S314" s="5"/>
      <c r="T314" s="5"/>
      <c r="U314" s="5"/>
      <c r="V314" s="5"/>
      <c r="W314" s="5"/>
      <c r="X314" s="5"/>
      <c r="Y314" s="5"/>
    </row>
    <row r="315" spans="1:25" ht="15.75" customHeight="1" x14ac:dyDescent="0.25">
      <c r="A315" s="2">
        <v>43982</v>
      </c>
      <c r="B315" s="3">
        <v>24141</v>
      </c>
      <c r="C315" s="4" t="s">
        <v>20</v>
      </c>
      <c r="D315" s="4" t="str">
        <f t="shared" si="8"/>
        <v>Operation</v>
      </c>
      <c r="E315" s="4" t="str">
        <f t="shared" si="9"/>
        <v>Manager</v>
      </c>
      <c r="F315" s="13">
        <v>736</v>
      </c>
      <c r="G315" s="13">
        <v>4</v>
      </c>
      <c r="H315" s="13">
        <v>10</v>
      </c>
      <c r="I315" s="2">
        <v>33528</v>
      </c>
      <c r="J315" s="15">
        <v>762395</v>
      </c>
      <c r="K315" s="4" t="s">
        <v>21</v>
      </c>
      <c r="L315" s="27">
        <f t="shared" si="10"/>
        <v>1991</v>
      </c>
      <c r="M315" s="27">
        <f t="shared" si="11"/>
        <v>5</v>
      </c>
      <c r="N315" s="27">
        <f t="shared" ca="1" si="12"/>
        <v>35</v>
      </c>
      <c r="O315" s="27" t="str" cm="1">
        <f t="array" ref="O315">_xlfn.IFS($F315&gt;=750,"Excellent",$F315&gt;=700,"Good",$F315&gt;=650,"Moderate",
$F315&lt;650,"Risky"
)</f>
        <v>Good</v>
      </c>
      <c r="P315" s="27" t="str" cm="1">
        <f t="array" ref="P315">_xlfn.IFS(
AND(F315&gt;=750,H315&lt;=2),"Low Risk",
AND(F315&gt;=700,H315&lt;=5),"Medium Risk",
TRUE,"High Risk"
)</f>
        <v>High Risk</v>
      </c>
      <c r="Q315" s="5"/>
      <c r="R315" s="5"/>
      <c r="S315" s="5"/>
      <c r="T315" s="5"/>
      <c r="U315" s="5"/>
      <c r="V315" s="5"/>
      <c r="W315" s="5"/>
      <c r="X315" s="5"/>
      <c r="Y315" s="5"/>
    </row>
    <row r="316" spans="1:25" ht="15.75" customHeight="1" x14ac:dyDescent="0.25">
      <c r="A316" s="2">
        <v>43834</v>
      </c>
      <c r="B316" s="3">
        <v>12258</v>
      </c>
      <c r="C316" s="4" t="s">
        <v>17</v>
      </c>
      <c r="D316" s="4" t="str">
        <f t="shared" si="8"/>
        <v>Growth</v>
      </c>
      <c r="E316" s="4" t="str">
        <f t="shared" si="9"/>
        <v>Manager</v>
      </c>
      <c r="F316" s="13">
        <v>724</v>
      </c>
      <c r="G316" s="13">
        <v>4</v>
      </c>
      <c r="H316" s="13">
        <v>7</v>
      </c>
      <c r="I316" s="2">
        <v>34575</v>
      </c>
      <c r="J316" s="15">
        <v>799069</v>
      </c>
      <c r="K316" s="4" t="s">
        <v>18</v>
      </c>
      <c r="L316" s="27">
        <f t="shared" si="10"/>
        <v>1994</v>
      </c>
      <c r="M316" s="27">
        <f t="shared" si="11"/>
        <v>1</v>
      </c>
      <c r="N316" s="27">
        <f t="shared" ca="1" si="12"/>
        <v>32</v>
      </c>
      <c r="O316" s="27" t="str" cm="1">
        <f t="array" ref="O316">_xlfn.IFS($F316&gt;=750,"Excellent",$F316&gt;=700,"Good",$F316&gt;=650,"Moderate",
$F316&lt;650,"Risky"
)</f>
        <v>Good</v>
      </c>
      <c r="P316" s="27" t="str" cm="1">
        <f t="array" ref="P316">_xlfn.IFS(
AND(F316&gt;=750,H316&lt;=2),"Low Risk",
AND(F316&gt;=700,H316&lt;=5),"Medium Risk",
TRUE,"High Risk"
)</f>
        <v>High Risk</v>
      </c>
      <c r="Q316" s="5"/>
      <c r="R316" s="5"/>
      <c r="S316" s="5"/>
      <c r="T316" s="5"/>
      <c r="U316" s="5"/>
      <c r="V316" s="5"/>
      <c r="W316" s="5"/>
      <c r="X316" s="5"/>
      <c r="Y316" s="5"/>
    </row>
    <row r="317" spans="1:25" ht="15.75" customHeight="1" x14ac:dyDescent="0.25">
      <c r="A317" s="2">
        <v>44158</v>
      </c>
      <c r="B317" s="3">
        <v>19675</v>
      </c>
      <c r="C317" s="4" t="s">
        <v>33</v>
      </c>
      <c r="D317" s="4" t="str">
        <f t="shared" si="8"/>
        <v>Sales</v>
      </c>
      <c r="E317" s="4" t="str">
        <f t="shared" si="9"/>
        <v>Executive</v>
      </c>
      <c r="F317" s="13">
        <v>783</v>
      </c>
      <c r="G317" s="13">
        <v>4</v>
      </c>
      <c r="H317" s="13">
        <v>9</v>
      </c>
      <c r="I317" s="2">
        <v>32806</v>
      </c>
      <c r="J317" s="15">
        <v>585265</v>
      </c>
      <c r="K317" s="4" t="s">
        <v>21</v>
      </c>
      <c r="L317" s="27">
        <f t="shared" si="10"/>
        <v>1989</v>
      </c>
      <c r="M317" s="27">
        <f t="shared" si="11"/>
        <v>11</v>
      </c>
      <c r="N317" s="27">
        <f t="shared" ca="1" si="12"/>
        <v>37</v>
      </c>
      <c r="O317" s="27" t="str" cm="1">
        <f t="array" ref="O317">_xlfn.IFS($F317&gt;=750,"Excellent",$F317&gt;=700,"Good",$F317&gt;=650,"Moderate",
$F317&lt;650,"Risky"
)</f>
        <v>Excellent</v>
      </c>
      <c r="P317" s="27" t="str" cm="1">
        <f t="array" ref="P317">_xlfn.IFS(
AND(F317&gt;=750,H317&lt;=2),"Low Risk",
AND(F317&gt;=700,H317&lt;=5),"Medium Risk",
TRUE,"High Risk"
)</f>
        <v>High Risk</v>
      </c>
      <c r="Q317" s="5"/>
      <c r="R317" s="5"/>
      <c r="S317" s="5"/>
      <c r="T317" s="5"/>
      <c r="U317" s="5"/>
      <c r="V317" s="5"/>
      <c r="W317" s="5"/>
      <c r="X317" s="5"/>
      <c r="Y317" s="5"/>
    </row>
    <row r="318" spans="1:25" ht="15.75" customHeight="1" x14ac:dyDescent="0.25">
      <c r="A318" s="2">
        <v>44047</v>
      </c>
      <c r="B318" s="3">
        <v>77512</v>
      </c>
      <c r="C318" s="4" t="s">
        <v>13</v>
      </c>
      <c r="D318" s="4" t="str">
        <f t="shared" si="8"/>
        <v>Marketing</v>
      </c>
      <c r="E318" s="4" t="str">
        <f t="shared" si="9"/>
        <v>Director</v>
      </c>
      <c r="F318" s="13">
        <v>720</v>
      </c>
      <c r="G318" s="13">
        <v>1</v>
      </c>
      <c r="H318" s="13">
        <v>3</v>
      </c>
      <c r="I318" s="2">
        <v>30088</v>
      </c>
      <c r="J318" s="15">
        <v>597839</v>
      </c>
      <c r="K318" s="4" t="s">
        <v>21</v>
      </c>
      <c r="L318" s="27">
        <f t="shared" si="10"/>
        <v>1982</v>
      </c>
      <c r="M318" s="27">
        <f t="shared" si="11"/>
        <v>8</v>
      </c>
      <c r="N318" s="27">
        <f t="shared" ca="1" si="12"/>
        <v>44</v>
      </c>
      <c r="O318" s="27" t="str" cm="1">
        <f t="array" ref="O318">_xlfn.IFS($F318&gt;=750,"Excellent",$F318&gt;=700,"Good",$F318&gt;=650,"Moderate",
$F318&lt;650,"Risky"
)</f>
        <v>Good</v>
      </c>
      <c r="P318" s="27" t="str" cm="1">
        <f t="array" ref="P318">_xlfn.IFS(
AND(F318&gt;=750,H318&lt;=2),"Low Risk",
AND(F318&gt;=700,H318&lt;=5),"Medium Risk",
TRUE,"High Risk"
)</f>
        <v>Medium Risk</v>
      </c>
      <c r="Q318" s="5"/>
      <c r="R318" s="5"/>
      <c r="S318" s="5"/>
      <c r="T318" s="5"/>
      <c r="U318" s="5"/>
      <c r="V318" s="5"/>
      <c r="W318" s="5"/>
      <c r="X318" s="5"/>
      <c r="Y318" s="5"/>
    </row>
    <row r="319" spans="1:25" ht="15.75" customHeight="1" x14ac:dyDescent="0.25">
      <c r="A319" s="2">
        <v>43976</v>
      </c>
      <c r="B319" s="3">
        <v>27467</v>
      </c>
      <c r="C319" s="4" t="s">
        <v>29</v>
      </c>
      <c r="D319" s="4" t="str">
        <f t="shared" si="8"/>
        <v>Sales</v>
      </c>
      <c r="E319" s="4" t="str">
        <f t="shared" si="9"/>
        <v>Director</v>
      </c>
      <c r="F319" s="13">
        <v>733</v>
      </c>
      <c r="G319" s="13">
        <v>5</v>
      </c>
      <c r="H319" s="13">
        <v>2</v>
      </c>
      <c r="I319" s="2">
        <v>33070</v>
      </c>
      <c r="J319" s="15">
        <v>964664</v>
      </c>
      <c r="K319" s="4" t="s">
        <v>14</v>
      </c>
      <c r="L319" s="27">
        <f t="shared" si="10"/>
        <v>1990</v>
      </c>
      <c r="M319" s="27">
        <f t="shared" si="11"/>
        <v>5</v>
      </c>
      <c r="N319" s="27">
        <f t="shared" ca="1" si="12"/>
        <v>36</v>
      </c>
      <c r="O319" s="27" t="str" cm="1">
        <f t="array" ref="O319">_xlfn.IFS($F319&gt;=750,"Excellent",$F319&gt;=700,"Good",$F319&gt;=650,"Moderate",
$F319&lt;650,"Risky"
)</f>
        <v>Good</v>
      </c>
      <c r="P319" s="27" t="str" cm="1">
        <f t="array" ref="P319">_xlfn.IFS(
AND(F319&gt;=750,H319&lt;=2),"Low Risk",
AND(F319&gt;=700,H319&lt;=5),"Medium Risk",
TRUE,"High Risk"
)</f>
        <v>Medium Risk</v>
      </c>
      <c r="Q319" s="5"/>
      <c r="R319" s="5"/>
      <c r="S319" s="5"/>
      <c r="T319" s="5"/>
      <c r="U319" s="5"/>
      <c r="V319" s="5"/>
      <c r="W319" s="5"/>
      <c r="X319" s="5"/>
      <c r="Y319" s="5"/>
    </row>
    <row r="320" spans="1:25" ht="15.75" customHeight="1" x14ac:dyDescent="0.25">
      <c r="A320" s="2">
        <v>43926</v>
      </c>
      <c r="B320" s="3">
        <v>44997</v>
      </c>
      <c r="C320" s="4" t="s">
        <v>31</v>
      </c>
      <c r="D320" s="4" t="str">
        <f t="shared" si="8"/>
        <v>Finance</v>
      </c>
      <c r="E320" s="4" t="str">
        <f t="shared" si="9"/>
        <v>Intern</v>
      </c>
      <c r="F320" s="13">
        <v>767</v>
      </c>
      <c r="G320" s="13">
        <v>4</v>
      </c>
      <c r="H320" s="13">
        <v>9</v>
      </c>
      <c r="I320" s="2">
        <v>33612</v>
      </c>
      <c r="J320" s="15">
        <v>857804</v>
      </c>
      <c r="K320" s="4" t="s">
        <v>14</v>
      </c>
      <c r="L320" s="27">
        <f t="shared" si="10"/>
        <v>1992</v>
      </c>
      <c r="M320" s="27">
        <f t="shared" si="11"/>
        <v>4</v>
      </c>
      <c r="N320" s="27">
        <f t="shared" ca="1" si="12"/>
        <v>34</v>
      </c>
      <c r="O320" s="27" t="str" cm="1">
        <f t="array" ref="O320">_xlfn.IFS($F320&gt;=750,"Excellent",$F320&gt;=700,"Good",$F320&gt;=650,"Moderate",
$F320&lt;650,"Risky"
)</f>
        <v>Excellent</v>
      </c>
      <c r="P320" s="27" t="str" cm="1">
        <f t="array" ref="P320">_xlfn.IFS(
AND(F320&gt;=750,H320&lt;=2),"Low Risk",
AND(F320&gt;=700,H320&lt;=5),"Medium Risk",
TRUE,"High Risk"
)</f>
        <v>High Risk</v>
      </c>
      <c r="Q320" s="5"/>
      <c r="R320" s="5"/>
      <c r="S320" s="5"/>
      <c r="T320" s="5"/>
      <c r="U320" s="5"/>
      <c r="V320" s="5"/>
      <c r="W320" s="5"/>
      <c r="X320" s="5"/>
      <c r="Y320" s="5"/>
    </row>
    <row r="321" spans="1:25" ht="15.75" customHeight="1" x14ac:dyDescent="0.25">
      <c r="A321" s="2">
        <v>43990</v>
      </c>
      <c r="B321" s="3">
        <v>40330</v>
      </c>
      <c r="C321" s="4" t="s">
        <v>30</v>
      </c>
      <c r="D321" s="4" t="str">
        <f t="shared" si="8"/>
        <v>Operation</v>
      </c>
      <c r="E321" s="4" t="str">
        <f t="shared" si="9"/>
        <v>Director</v>
      </c>
      <c r="F321" s="13">
        <v>739</v>
      </c>
      <c r="G321" s="13">
        <v>5</v>
      </c>
      <c r="H321" s="13">
        <v>10</v>
      </c>
      <c r="I321" s="2">
        <v>34188</v>
      </c>
      <c r="J321" s="15">
        <v>631521</v>
      </c>
      <c r="K321" s="4" t="s">
        <v>21</v>
      </c>
      <c r="L321" s="27">
        <f t="shared" si="10"/>
        <v>1993</v>
      </c>
      <c r="M321" s="27">
        <f t="shared" si="11"/>
        <v>6</v>
      </c>
      <c r="N321" s="27">
        <f t="shared" ca="1" si="12"/>
        <v>33</v>
      </c>
      <c r="O321" s="27" t="str" cm="1">
        <f t="array" ref="O321">_xlfn.IFS($F321&gt;=750,"Excellent",$F321&gt;=700,"Good",$F321&gt;=650,"Moderate",
$F321&lt;650,"Risky"
)</f>
        <v>Good</v>
      </c>
      <c r="P321" s="27" t="str" cm="1">
        <f t="array" ref="P321">_xlfn.IFS(
AND(F321&gt;=750,H321&lt;=2),"Low Risk",
AND(F321&gt;=700,H321&lt;=5),"Medium Risk",
TRUE,"High Risk"
)</f>
        <v>High Risk</v>
      </c>
      <c r="Q321" s="5"/>
      <c r="R321" s="5"/>
      <c r="S321" s="5"/>
      <c r="T321" s="5"/>
      <c r="U321" s="5"/>
      <c r="V321" s="5"/>
      <c r="W321" s="5"/>
      <c r="X321" s="5"/>
      <c r="Y321" s="5"/>
    </row>
    <row r="322" spans="1:25" ht="15.75" customHeight="1" x14ac:dyDescent="0.25">
      <c r="A322" s="2">
        <v>44105</v>
      </c>
      <c r="B322" s="3">
        <v>57871</v>
      </c>
      <c r="C322" s="4" t="s">
        <v>22</v>
      </c>
      <c r="D322" s="4" t="str">
        <f t="shared" si="8"/>
        <v>Strategy</v>
      </c>
      <c r="E322" s="4" t="str">
        <f t="shared" si="9"/>
        <v>Executive</v>
      </c>
      <c r="F322" s="13">
        <v>728</v>
      </c>
      <c r="G322" s="13">
        <v>5</v>
      </c>
      <c r="H322" s="13">
        <v>10</v>
      </c>
      <c r="I322" s="2">
        <v>34226</v>
      </c>
      <c r="J322" s="15">
        <v>534689</v>
      </c>
      <c r="K322" s="4" t="s">
        <v>21</v>
      </c>
      <c r="L322" s="27">
        <f t="shared" si="10"/>
        <v>1993</v>
      </c>
      <c r="M322" s="27">
        <f t="shared" si="11"/>
        <v>10</v>
      </c>
      <c r="N322" s="27">
        <f t="shared" ca="1" si="12"/>
        <v>33</v>
      </c>
      <c r="O322" s="27" t="str" cm="1">
        <f t="array" ref="O322">_xlfn.IFS($F322&gt;=750,"Excellent",$F322&gt;=700,"Good",$F322&gt;=650,"Moderate",
$F322&lt;650,"Risky"
)</f>
        <v>Good</v>
      </c>
      <c r="P322" s="27" t="str" cm="1">
        <f t="array" ref="P322">_xlfn.IFS(
AND(F322&gt;=750,H322&lt;=2),"Low Risk",
AND(F322&gt;=700,H322&lt;=5),"Medium Risk",
TRUE,"High Risk"
)</f>
        <v>High Risk</v>
      </c>
      <c r="Q322" s="5"/>
      <c r="R322" s="5"/>
      <c r="S322" s="5"/>
      <c r="T322" s="5"/>
      <c r="U322" s="5"/>
      <c r="V322" s="5"/>
      <c r="W322" s="5"/>
      <c r="X322" s="5"/>
      <c r="Y322" s="5"/>
    </row>
    <row r="323" spans="1:25" ht="15.75" customHeight="1" x14ac:dyDescent="0.25">
      <c r="A323" s="2">
        <v>43990</v>
      </c>
      <c r="B323" s="3">
        <v>86532</v>
      </c>
      <c r="C323" s="4" t="s">
        <v>29</v>
      </c>
      <c r="D323" s="4" t="str">
        <f t="shared" si="8"/>
        <v>Sales</v>
      </c>
      <c r="E323" s="4" t="str">
        <f t="shared" si="9"/>
        <v>Director</v>
      </c>
      <c r="F323" s="13">
        <v>742</v>
      </c>
      <c r="G323" s="13">
        <v>2</v>
      </c>
      <c r="H323" s="13">
        <v>6</v>
      </c>
      <c r="I323" s="2">
        <v>32942</v>
      </c>
      <c r="J323" s="15">
        <v>551344</v>
      </c>
      <c r="K323" s="4" t="s">
        <v>14</v>
      </c>
      <c r="L323" s="27">
        <f t="shared" si="10"/>
        <v>1990</v>
      </c>
      <c r="M323" s="27">
        <f t="shared" si="11"/>
        <v>6</v>
      </c>
      <c r="N323" s="27">
        <f t="shared" ref="N323:N386" ca="1" si="13" xml:space="preserve"> YEAR(TODAY()) - $L323</f>
        <v>36</v>
      </c>
      <c r="O323" s="27" t="str" cm="1">
        <f t="array" ref="O323">_xlfn.IFS($F323&gt;=750,"Excellent",$F323&gt;=700,"Good",$F323&gt;=650,"Moderate",
$F323&lt;650,"Risky"
)</f>
        <v>Good</v>
      </c>
      <c r="P323" s="27" t="str" cm="1">
        <f t="array" ref="P323">_xlfn.IFS(
AND(F323&gt;=750,H323&lt;=2),"Low Risk",
AND(F323&gt;=700,H323&lt;=5),"Medium Risk",
TRUE,"High Risk"
)</f>
        <v>High Risk</v>
      </c>
      <c r="Q323" s="5"/>
      <c r="R323" s="5"/>
      <c r="S323" s="5"/>
      <c r="T323" s="5"/>
      <c r="U323" s="5"/>
      <c r="V323" s="5"/>
      <c r="W323" s="5"/>
      <c r="X323" s="5"/>
      <c r="Y323" s="5"/>
    </row>
    <row r="324" spans="1:25" ht="15.75" customHeight="1" x14ac:dyDescent="0.25">
      <c r="A324" s="2">
        <v>44017</v>
      </c>
      <c r="B324" s="3">
        <v>82026</v>
      </c>
      <c r="C324" s="4" t="s">
        <v>25</v>
      </c>
      <c r="D324" s="4" t="str">
        <f t="shared" si="8"/>
        <v>Sales</v>
      </c>
      <c r="E324" s="4" t="str">
        <f t="shared" si="9"/>
        <v>Manager</v>
      </c>
      <c r="F324" s="13">
        <v>752</v>
      </c>
      <c r="G324" s="13">
        <v>1</v>
      </c>
      <c r="H324" s="13">
        <v>3</v>
      </c>
      <c r="I324" s="2">
        <v>30973</v>
      </c>
      <c r="J324" s="15">
        <v>838633</v>
      </c>
      <c r="K324" s="4" t="s">
        <v>14</v>
      </c>
      <c r="L324" s="27">
        <f t="shared" si="10"/>
        <v>1984</v>
      </c>
      <c r="M324" s="27">
        <f t="shared" si="11"/>
        <v>7</v>
      </c>
      <c r="N324" s="27">
        <f t="shared" ca="1" si="13"/>
        <v>42</v>
      </c>
      <c r="O324" s="27" t="str" cm="1">
        <f t="array" ref="O324">_xlfn.IFS($F324&gt;=750,"Excellent",$F324&gt;=700,"Good",$F324&gt;=650,"Moderate",
$F324&lt;650,"Risky"
)</f>
        <v>Excellent</v>
      </c>
      <c r="P324" s="27" t="str" cm="1">
        <f t="array" ref="P324">_xlfn.IFS(
AND(F324&gt;=750,H324&lt;=2),"Low Risk",
AND(F324&gt;=700,H324&lt;=5),"Medium Risk",
TRUE,"High Risk"
)</f>
        <v>Medium Risk</v>
      </c>
      <c r="Q324" s="5"/>
      <c r="R324" s="5"/>
      <c r="S324" s="5"/>
      <c r="T324" s="5"/>
      <c r="U324" s="5"/>
      <c r="V324" s="5"/>
      <c r="W324" s="5"/>
      <c r="X324" s="5"/>
      <c r="Y324" s="5"/>
    </row>
    <row r="325" spans="1:25" ht="15.75" customHeight="1" x14ac:dyDescent="0.25">
      <c r="A325" s="2">
        <v>44099</v>
      </c>
      <c r="B325" s="3">
        <v>71150</v>
      </c>
      <c r="C325" s="4" t="s">
        <v>13</v>
      </c>
      <c r="D325" s="4" t="str">
        <f t="shared" si="8"/>
        <v>Marketing</v>
      </c>
      <c r="E325" s="4" t="str">
        <f t="shared" si="9"/>
        <v>Director</v>
      </c>
      <c r="F325" s="13">
        <v>742</v>
      </c>
      <c r="G325" s="13">
        <v>4</v>
      </c>
      <c r="H325" s="13">
        <v>3</v>
      </c>
      <c r="I325" s="2">
        <v>32082</v>
      </c>
      <c r="J325" s="15">
        <v>905242</v>
      </c>
      <c r="K325" s="4" t="s">
        <v>14</v>
      </c>
      <c r="L325" s="27">
        <f t="shared" si="10"/>
        <v>1987</v>
      </c>
      <c r="M325" s="27">
        <f t="shared" si="11"/>
        <v>9</v>
      </c>
      <c r="N325" s="27">
        <f t="shared" ca="1" si="13"/>
        <v>39</v>
      </c>
      <c r="O325" s="27" t="str" cm="1">
        <f t="array" ref="O325">_xlfn.IFS($F325&gt;=750,"Excellent",$F325&gt;=700,"Good",$F325&gt;=650,"Moderate",
$F325&lt;650,"Risky"
)</f>
        <v>Good</v>
      </c>
      <c r="P325" s="27" t="str" cm="1">
        <f t="array" ref="P325">_xlfn.IFS(
AND(F325&gt;=750,H325&lt;=2),"Low Risk",
AND(F325&gt;=700,H325&lt;=5),"Medium Risk",
TRUE,"High Risk"
)</f>
        <v>Medium Risk</v>
      </c>
      <c r="Q325" s="5"/>
      <c r="R325" s="5"/>
      <c r="S325" s="5"/>
      <c r="T325" s="5"/>
      <c r="U325" s="5"/>
      <c r="V325" s="5"/>
      <c r="W325" s="5"/>
      <c r="X325" s="5"/>
      <c r="Y325" s="5"/>
    </row>
    <row r="326" spans="1:25" ht="15.75" customHeight="1" x14ac:dyDescent="0.25">
      <c r="A326" s="2">
        <v>43890</v>
      </c>
      <c r="B326" s="3">
        <v>55651</v>
      </c>
      <c r="C326" s="4" t="s">
        <v>16</v>
      </c>
      <c r="D326" s="4" t="str">
        <f t="shared" si="8"/>
        <v>Marketing</v>
      </c>
      <c r="E326" s="4" t="str">
        <f t="shared" si="9"/>
        <v>Executive</v>
      </c>
      <c r="F326" s="13">
        <v>721</v>
      </c>
      <c r="G326" s="13">
        <v>5</v>
      </c>
      <c r="H326" s="13">
        <v>1</v>
      </c>
      <c r="I326" s="2">
        <v>29768</v>
      </c>
      <c r="J326" s="15">
        <v>752313</v>
      </c>
      <c r="K326" s="4" t="s">
        <v>21</v>
      </c>
      <c r="L326" s="27">
        <f t="shared" si="10"/>
        <v>1981</v>
      </c>
      <c r="M326" s="27">
        <f t="shared" si="11"/>
        <v>2</v>
      </c>
      <c r="N326" s="27">
        <f t="shared" ca="1" si="13"/>
        <v>45</v>
      </c>
      <c r="O326" s="27" t="str" cm="1">
        <f t="array" ref="O326">_xlfn.IFS($F326&gt;=750,"Excellent",$F326&gt;=700,"Good",$F326&gt;=650,"Moderate",
$F326&lt;650,"Risky"
)</f>
        <v>Good</v>
      </c>
      <c r="P326" s="27" t="str" cm="1">
        <f t="array" ref="P326">_xlfn.IFS(
AND(F326&gt;=750,H326&lt;=2),"Low Risk",
AND(F326&gt;=700,H326&lt;=5),"Medium Risk",
TRUE,"High Risk"
)</f>
        <v>Medium Risk</v>
      </c>
      <c r="Q326" s="5"/>
      <c r="R326" s="5"/>
      <c r="S326" s="5"/>
      <c r="T326" s="5"/>
      <c r="U326" s="5"/>
      <c r="V326" s="5"/>
      <c r="W326" s="5"/>
      <c r="X326" s="5"/>
      <c r="Y326" s="5"/>
    </row>
    <row r="327" spans="1:25" ht="15.75" customHeight="1" x14ac:dyDescent="0.25">
      <c r="A327" s="2">
        <v>44083</v>
      </c>
      <c r="B327" s="3">
        <v>29419</v>
      </c>
      <c r="C327" s="4" t="s">
        <v>39</v>
      </c>
      <c r="D327" s="4" t="str">
        <f t="shared" si="8"/>
        <v>Growth</v>
      </c>
      <c r="E327" s="4" t="str">
        <f t="shared" si="9"/>
        <v>Executive</v>
      </c>
      <c r="F327" s="13">
        <v>762</v>
      </c>
      <c r="G327" s="13">
        <v>5</v>
      </c>
      <c r="H327" s="13">
        <v>1</v>
      </c>
      <c r="I327" s="2">
        <v>31877</v>
      </c>
      <c r="J327" s="15">
        <v>649484</v>
      </c>
      <c r="K327" s="4" t="s">
        <v>21</v>
      </c>
      <c r="L327" s="27">
        <f t="shared" si="10"/>
        <v>1987</v>
      </c>
      <c r="M327" s="27">
        <f t="shared" si="11"/>
        <v>9</v>
      </c>
      <c r="N327" s="27">
        <f t="shared" ca="1" si="13"/>
        <v>39</v>
      </c>
      <c r="O327" s="27" t="str" cm="1">
        <f t="array" ref="O327">_xlfn.IFS($F327&gt;=750,"Excellent",$F327&gt;=700,"Good",$F327&gt;=650,"Moderate",
$F327&lt;650,"Risky"
)</f>
        <v>Excellent</v>
      </c>
      <c r="P327" s="27" t="str" cm="1">
        <f t="array" ref="P327">_xlfn.IFS(
AND(F327&gt;=750,H327&lt;=2),"Low Risk",
AND(F327&gt;=700,H327&lt;=5),"Medium Risk",
TRUE,"High Risk"
)</f>
        <v>Low Risk</v>
      </c>
      <c r="Q327" s="5"/>
      <c r="R327" s="5"/>
      <c r="S327" s="5"/>
      <c r="T327" s="5"/>
      <c r="U327" s="5"/>
      <c r="V327" s="5"/>
      <c r="W327" s="5"/>
      <c r="X327" s="5"/>
      <c r="Y327" s="5"/>
    </row>
    <row r="328" spans="1:25" ht="15.75" customHeight="1" x14ac:dyDescent="0.25">
      <c r="A328" s="2">
        <v>44116</v>
      </c>
      <c r="B328" s="3">
        <v>87846</v>
      </c>
      <c r="C328" s="4" t="s">
        <v>39</v>
      </c>
      <c r="D328" s="4" t="str">
        <f t="shared" si="8"/>
        <v>Growth</v>
      </c>
      <c r="E328" s="4" t="str">
        <f t="shared" si="9"/>
        <v>Executive</v>
      </c>
      <c r="F328" s="13">
        <v>729</v>
      </c>
      <c r="G328" s="13">
        <v>1</v>
      </c>
      <c r="H328" s="13">
        <v>2</v>
      </c>
      <c r="I328" s="2">
        <v>31756</v>
      </c>
      <c r="J328" s="15">
        <v>849580</v>
      </c>
      <c r="K328" s="4" t="s">
        <v>14</v>
      </c>
      <c r="L328" s="27">
        <f t="shared" si="10"/>
        <v>1986</v>
      </c>
      <c r="M328" s="27">
        <f t="shared" si="11"/>
        <v>10</v>
      </c>
      <c r="N328" s="27">
        <f t="shared" ca="1" si="13"/>
        <v>40</v>
      </c>
      <c r="O328" s="27" t="str" cm="1">
        <f t="array" ref="O328">_xlfn.IFS($F328&gt;=750,"Excellent",$F328&gt;=700,"Good",$F328&gt;=650,"Moderate",
$F328&lt;650,"Risky"
)</f>
        <v>Good</v>
      </c>
      <c r="P328" s="27" t="str" cm="1">
        <f t="array" ref="P328">_xlfn.IFS(
AND(F328&gt;=750,H328&lt;=2),"Low Risk",
AND(F328&gt;=700,H328&lt;=5),"Medium Risk",
TRUE,"High Risk"
)</f>
        <v>Medium Risk</v>
      </c>
      <c r="Q328" s="5"/>
      <c r="R328" s="5"/>
      <c r="S328" s="5"/>
      <c r="T328" s="5"/>
      <c r="U328" s="5"/>
      <c r="V328" s="5"/>
      <c r="W328" s="5"/>
      <c r="X328" s="5"/>
      <c r="Y328" s="5"/>
    </row>
    <row r="329" spans="1:25" ht="15.75" customHeight="1" x14ac:dyDescent="0.25">
      <c r="A329" s="2">
        <v>43887</v>
      </c>
      <c r="B329" s="3">
        <v>15144</v>
      </c>
      <c r="C329" s="4" t="s">
        <v>32</v>
      </c>
      <c r="D329" s="4" t="str">
        <f t="shared" si="8"/>
        <v>Finance</v>
      </c>
      <c r="E329" s="4" t="str">
        <f t="shared" si="9"/>
        <v>Executive</v>
      </c>
      <c r="F329" s="13">
        <v>718</v>
      </c>
      <c r="G329" s="13">
        <v>5</v>
      </c>
      <c r="H329" s="13">
        <v>10</v>
      </c>
      <c r="I329" s="2">
        <v>31583</v>
      </c>
      <c r="J329" s="15">
        <v>881938</v>
      </c>
      <c r="K329" s="4" t="s">
        <v>21</v>
      </c>
      <c r="L329" s="27">
        <f t="shared" si="10"/>
        <v>1986</v>
      </c>
      <c r="M329" s="27">
        <f t="shared" si="11"/>
        <v>2</v>
      </c>
      <c r="N329" s="27">
        <f t="shared" ca="1" si="13"/>
        <v>40</v>
      </c>
      <c r="O329" s="27" t="str" cm="1">
        <f t="array" ref="O329">_xlfn.IFS($F329&gt;=750,"Excellent",$F329&gt;=700,"Good",$F329&gt;=650,"Moderate",
$F329&lt;650,"Risky"
)</f>
        <v>Good</v>
      </c>
      <c r="P329" s="27" t="str" cm="1">
        <f t="array" ref="P329">_xlfn.IFS(
AND(F329&gt;=750,H329&lt;=2),"Low Risk",
AND(F329&gt;=700,H329&lt;=5),"Medium Risk",
TRUE,"High Risk"
)</f>
        <v>High Risk</v>
      </c>
      <c r="Q329" s="5"/>
      <c r="R329" s="5"/>
      <c r="S329" s="5"/>
      <c r="T329" s="5"/>
      <c r="U329" s="5"/>
      <c r="V329" s="5"/>
      <c r="W329" s="5"/>
      <c r="X329" s="5"/>
      <c r="Y329" s="5"/>
    </row>
    <row r="330" spans="1:25" ht="15.75" customHeight="1" x14ac:dyDescent="0.25">
      <c r="A330" s="2">
        <v>44027</v>
      </c>
      <c r="B330" s="3">
        <v>24511</v>
      </c>
      <c r="C330" s="4" t="s">
        <v>24</v>
      </c>
      <c r="D330" s="4" t="str">
        <f t="shared" si="8"/>
        <v>Strategy</v>
      </c>
      <c r="E330" s="4" t="str">
        <f t="shared" si="9"/>
        <v>Intern</v>
      </c>
      <c r="F330" s="13">
        <v>800</v>
      </c>
      <c r="G330" s="13">
        <v>3</v>
      </c>
      <c r="H330" s="13">
        <v>7</v>
      </c>
      <c r="I330" s="2">
        <v>33696</v>
      </c>
      <c r="J330" s="15">
        <v>578641</v>
      </c>
      <c r="K330" s="4" t="s">
        <v>14</v>
      </c>
      <c r="L330" s="27">
        <f t="shared" si="10"/>
        <v>1992</v>
      </c>
      <c r="M330" s="27">
        <f t="shared" si="11"/>
        <v>7</v>
      </c>
      <c r="N330" s="27">
        <f t="shared" ca="1" si="13"/>
        <v>34</v>
      </c>
      <c r="O330" s="27" t="str" cm="1">
        <f t="array" ref="O330">_xlfn.IFS($F330&gt;=750,"Excellent",$F330&gt;=700,"Good",$F330&gt;=650,"Moderate",
$F330&lt;650,"Risky"
)</f>
        <v>Excellent</v>
      </c>
      <c r="P330" s="27" t="str" cm="1">
        <f t="array" ref="P330">_xlfn.IFS(
AND(F330&gt;=750,H330&lt;=2),"Low Risk",
AND(F330&gt;=700,H330&lt;=5),"Medium Risk",
TRUE,"High Risk"
)</f>
        <v>High Risk</v>
      </c>
      <c r="Q330" s="5"/>
      <c r="R330" s="5"/>
      <c r="S330" s="5"/>
      <c r="T330" s="5"/>
      <c r="U330" s="5"/>
      <c r="V330" s="5"/>
      <c r="W330" s="5"/>
      <c r="X330" s="5"/>
      <c r="Y330" s="5"/>
    </row>
    <row r="331" spans="1:25" ht="15.75" customHeight="1" x14ac:dyDescent="0.25">
      <c r="A331" s="2">
        <v>44170</v>
      </c>
      <c r="B331" s="3">
        <v>55987</v>
      </c>
      <c r="C331" s="4" t="s">
        <v>35</v>
      </c>
      <c r="D331" s="4" t="str">
        <f t="shared" si="8"/>
        <v>Growth</v>
      </c>
      <c r="E331" s="4" t="str">
        <f t="shared" si="9"/>
        <v>Intern</v>
      </c>
      <c r="F331" s="13">
        <v>707</v>
      </c>
      <c r="G331" s="13">
        <v>3</v>
      </c>
      <c r="H331" s="13">
        <v>3</v>
      </c>
      <c r="I331" s="2">
        <v>32458</v>
      </c>
      <c r="J331" s="15">
        <v>516908</v>
      </c>
      <c r="K331" s="4" t="s">
        <v>21</v>
      </c>
      <c r="L331" s="27">
        <f t="shared" si="10"/>
        <v>1988</v>
      </c>
      <c r="M331" s="27">
        <f t="shared" si="11"/>
        <v>12</v>
      </c>
      <c r="N331" s="27">
        <f t="shared" ca="1" si="13"/>
        <v>38</v>
      </c>
      <c r="O331" s="27" t="str" cm="1">
        <f t="array" ref="O331">_xlfn.IFS($F331&gt;=750,"Excellent",$F331&gt;=700,"Good",$F331&gt;=650,"Moderate",
$F331&lt;650,"Risky"
)</f>
        <v>Good</v>
      </c>
      <c r="P331" s="27" t="str" cm="1">
        <f t="array" ref="P331">_xlfn.IFS(
AND(F331&gt;=750,H331&lt;=2),"Low Risk",
AND(F331&gt;=700,H331&lt;=5),"Medium Risk",
TRUE,"High Risk"
)</f>
        <v>Medium Risk</v>
      </c>
      <c r="Q331" s="5"/>
      <c r="R331" s="5"/>
      <c r="S331" s="5"/>
      <c r="T331" s="5"/>
      <c r="U331" s="5"/>
      <c r="V331" s="5"/>
      <c r="W331" s="5"/>
      <c r="X331" s="5"/>
      <c r="Y331" s="5"/>
    </row>
    <row r="332" spans="1:25" ht="15.75" customHeight="1" x14ac:dyDescent="0.25">
      <c r="A332" s="2">
        <v>44173</v>
      </c>
      <c r="B332" s="3">
        <v>68095</v>
      </c>
      <c r="C332" s="4" t="s">
        <v>27</v>
      </c>
      <c r="D332" s="4" t="str">
        <f t="shared" si="8"/>
        <v>Operation</v>
      </c>
      <c r="E332" s="4" t="str">
        <f t="shared" si="9"/>
        <v>Intern</v>
      </c>
      <c r="F332" s="13">
        <v>789</v>
      </c>
      <c r="G332" s="13">
        <v>1</v>
      </c>
      <c r="H332" s="13">
        <v>10</v>
      </c>
      <c r="I332" s="2">
        <v>29918</v>
      </c>
      <c r="J332" s="15">
        <v>600981</v>
      </c>
      <c r="K332" s="4" t="s">
        <v>18</v>
      </c>
      <c r="L332" s="27">
        <f t="shared" si="10"/>
        <v>1981</v>
      </c>
      <c r="M332" s="27">
        <f t="shared" si="11"/>
        <v>12</v>
      </c>
      <c r="N332" s="27">
        <f t="shared" ca="1" si="13"/>
        <v>45</v>
      </c>
      <c r="O332" s="27" t="str" cm="1">
        <f t="array" ref="O332">_xlfn.IFS($F332&gt;=750,"Excellent",$F332&gt;=700,"Good",$F332&gt;=650,"Moderate",
$F332&lt;650,"Risky"
)</f>
        <v>Excellent</v>
      </c>
      <c r="P332" s="27" t="str" cm="1">
        <f t="array" ref="P332">_xlfn.IFS(
AND(F332&gt;=750,H332&lt;=2),"Low Risk",
AND(F332&gt;=700,H332&lt;=5),"Medium Risk",
TRUE,"High Risk"
)</f>
        <v>High Risk</v>
      </c>
      <c r="Q332" s="5"/>
      <c r="R332" s="5"/>
      <c r="S332" s="5"/>
      <c r="T332" s="5"/>
      <c r="U332" s="5"/>
      <c r="V332" s="5"/>
      <c r="W332" s="5"/>
      <c r="X332" s="5"/>
      <c r="Y332" s="5"/>
    </row>
    <row r="333" spans="1:25" ht="15.75" customHeight="1" x14ac:dyDescent="0.25">
      <c r="A333" s="2">
        <v>43935</v>
      </c>
      <c r="B333" s="3">
        <v>21296</v>
      </c>
      <c r="C333" s="4" t="s">
        <v>36</v>
      </c>
      <c r="D333" s="4" t="str">
        <f t="shared" si="8"/>
        <v>Sales</v>
      </c>
      <c r="E333" s="4" t="str">
        <f t="shared" si="9"/>
        <v>Intern</v>
      </c>
      <c r="F333" s="13">
        <v>776</v>
      </c>
      <c r="G333" s="13">
        <v>4</v>
      </c>
      <c r="H333" s="13">
        <v>6</v>
      </c>
      <c r="I333" s="2">
        <v>34394</v>
      </c>
      <c r="J333" s="15">
        <v>558964</v>
      </c>
      <c r="K333" s="4" t="s">
        <v>18</v>
      </c>
      <c r="L333" s="27">
        <f t="shared" si="10"/>
        <v>1994</v>
      </c>
      <c r="M333" s="27">
        <f t="shared" si="11"/>
        <v>4</v>
      </c>
      <c r="N333" s="27">
        <f t="shared" ca="1" si="13"/>
        <v>32</v>
      </c>
      <c r="O333" s="27" t="str" cm="1">
        <f t="array" ref="O333">_xlfn.IFS($F333&gt;=750,"Excellent",$F333&gt;=700,"Good",$F333&gt;=650,"Moderate",
$F333&lt;650,"Risky"
)</f>
        <v>Excellent</v>
      </c>
      <c r="P333" s="27" t="str" cm="1">
        <f t="array" ref="P333">_xlfn.IFS(
AND(F333&gt;=750,H333&lt;=2),"Low Risk",
AND(F333&gt;=700,H333&lt;=5),"Medium Risk",
TRUE,"High Risk"
)</f>
        <v>High Risk</v>
      </c>
      <c r="Q333" s="5"/>
      <c r="R333" s="5"/>
      <c r="S333" s="5"/>
      <c r="T333" s="5"/>
      <c r="U333" s="5"/>
      <c r="V333" s="5"/>
      <c r="W333" s="5"/>
      <c r="X333" s="5"/>
      <c r="Y333" s="5"/>
    </row>
    <row r="334" spans="1:25" ht="15.75" customHeight="1" x14ac:dyDescent="0.25">
      <c r="A334" s="2">
        <v>43971</v>
      </c>
      <c r="B334" s="3">
        <v>90928</v>
      </c>
      <c r="C334" s="4" t="s">
        <v>17</v>
      </c>
      <c r="D334" s="4" t="str">
        <f t="shared" si="8"/>
        <v>Growth</v>
      </c>
      <c r="E334" s="4" t="str">
        <f t="shared" si="9"/>
        <v>Manager</v>
      </c>
      <c r="F334" s="13">
        <v>732</v>
      </c>
      <c r="G334" s="13">
        <v>4</v>
      </c>
      <c r="H334" s="13">
        <v>1</v>
      </c>
      <c r="I334" s="2">
        <v>32991</v>
      </c>
      <c r="J334" s="15">
        <v>554305</v>
      </c>
      <c r="K334" s="4" t="s">
        <v>18</v>
      </c>
      <c r="L334" s="27">
        <f t="shared" si="10"/>
        <v>1990</v>
      </c>
      <c r="M334" s="27">
        <f t="shared" si="11"/>
        <v>5</v>
      </c>
      <c r="N334" s="27">
        <f t="shared" ca="1" si="13"/>
        <v>36</v>
      </c>
      <c r="O334" s="27" t="str" cm="1">
        <f t="array" ref="O334">_xlfn.IFS($F334&gt;=750,"Excellent",$F334&gt;=700,"Good",$F334&gt;=650,"Moderate",
$F334&lt;650,"Risky"
)</f>
        <v>Good</v>
      </c>
      <c r="P334" s="27" t="str" cm="1">
        <f t="array" ref="P334">_xlfn.IFS(
AND(F334&gt;=750,H334&lt;=2),"Low Risk",
AND(F334&gt;=700,H334&lt;=5),"Medium Risk",
TRUE,"High Risk"
)</f>
        <v>Medium Risk</v>
      </c>
      <c r="Q334" s="5"/>
      <c r="R334" s="5"/>
      <c r="S334" s="5"/>
      <c r="T334" s="5"/>
      <c r="U334" s="5"/>
      <c r="V334" s="5"/>
      <c r="W334" s="5"/>
      <c r="X334" s="5"/>
      <c r="Y334" s="5"/>
    </row>
    <row r="335" spans="1:25" ht="15.75" customHeight="1" x14ac:dyDescent="0.25">
      <c r="A335" s="2">
        <v>43845</v>
      </c>
      <c r="B335" s="3">
        <v>37262</v>
      </c>
      <c r="C335" s="4" t="s">
        <v>38</v>
      </c>
      <c r="D335" s="4" t="str">
        <f t="shared" si="8"/>
        <v>Finance</v>
      </c>
      <c r="E335" s="4" t="str">
        <f t="shared" si="9"/>
        <v>Manager</v>
      </c>
      <c r="F335" s="13">
        <v>724</v>
      </c>
      <c r="G335" s="13">
        <v>4</v>
      </c>
      <c r="H335" s="13">
        <v>5</v>
      </c>
      <c r="I335" s="2">
        <v>32530</v>
      </c>
      <c r="J335" s="15">
        <v>937359</v>
      </c>
      <c r="K335" s="4" t="s">
        <v>18</v>
      </c>
      <c r="L335" s="27">
        <f t="shared" si="10"/>
        <v>1989</v>
      </c>
      <c r="M335" s="27">
        <f t="shared" si="11"/>
        <v>1</v>
      </c>
      <c r="N335" s="27">
        <f t="shared" ca="1" si="13"/>
        <v>37</v>
      </c>
      <c r="O335" s="27" t="str" cm="1">
        <f t="array" ref="O335">_xlfn.IFS($F335&gt;=750,"Excellent",$F335&gt;=700,"Good",$F335&gt;=650,"Moderate",
$F335&lt;650,"Risky"
)</f>
        <v>Good</v>
      </c>
      <c r="P335" s="27" t="str" cm="1">
        <f t="array" ref="P335">_xlfn.IFS(
AND(F335&gt;=750,H335&lt;=2),"Low Risk",
AND(F335&gt;=700,H335&lt;=5),"Medium Risk",
TRUE,"High Risk"
)</f>
        <v>Medium Risk</v>
      </c>
      <c r="Q335" s="5"/>
      <c r="R335" s="5"/>
      <c r="S335" s="5"/>
      <c r="T335" s="5"/>
      <c r="U335" s="5"/>
      <c r="V335" s="5"/>
      <c r="W335" s="5"/>
      <c r="X335" s="5"/>
      <c r="Y335" s="5"/>
    </row>
    <row r="336" spans="1:25" ht="15.75" customHeight="1" x14ac:dyDescent="0.25">
      <c r="A336" s="2">
        <v>44119</v>
      </c>
      <c r="B336" s="3">
        <v>49542</v>
      </c>
      <c r="C336" s="4" t="s">
        <v>20</v>
      </c>
      <c r="D336" s="4" t="str">
        <f t="shared" si="8"/>
        <v>Operation</v>
      </c>
      <c r="E336" s="4" t="str">
        <f t="shared" si="9"/>
        <v>Manager</v>
      </c>
      <c r="F336" s="13">
        <v>769</v>
      </c>
      <c r="G336" s="13">
        <v>3</v>
      </c>
      <c r="H336" s="13">
        <v>3</v>
      </c>
      <c r="I336" s="2">
        <v>29503</v>
      </c>
      <c r="J336" s="15">
        <v>953095</v>
      </c>
      <c r="K336" s="4" t="s">
        <v>18</v>
      </c>
      <c r="L336" s="27">
        <f t="shared" si="10"/>
        <v>1980</v>
      </c>
      <c r="M336" s="27">
        <f t="shared" si="11"/>
        <v>10</v>
      </c>
      <c r="N336" s="27">
        <f t="shared" ca="1" si="13"/>
        <v>46</v>
      </c>
      <c r="O336" s="27" t="str" cm="1">
        <f t="array" ref="O336">_xlfn.IFS($F336&gt;=750,"Excellent",$F336&gt;=700,"Good",$F336&gt;=650,"Moderate",
$F336&lt;650,"Risky"
)</f>
        <v>Excellent</v>
      </c>
      <c r="P336" s="27" t="str" cm="1">
        <f t="array" ref="P336">_xlfn.IFS(
AND(F336&gt;=750,H336&lt;=2),"Low Risk",
AND(F336&gt;=700,H336&lt;=5),"Medium Risk",
TRUE,"High Risk"
)</f>
        <v>Medium Risk</v>
      </c>
      <c r="Q336" s="5"/>
      <c r="R336" s="5"/>
      <c r="S336" s="5"/>
      <c r="T336" s="5"/>
      <c r="U336" s="5"/>
      <c r="V336" s="5"/>
      <c r="W336" s="5"/>
      <c r="X336" s="5"/>
      <c r="Y336" s="5"/>
    </row>
    <row r="337" spans="1:25" ht="15.75" customHeight="1" x14ac:dyDescent="0.25">
      <c r="A337" s="2">
        <v>43995</v>
      </c>
      <c r="B337" s="3">
        <v>19460</v>
      </c>
      <c r="C337" s="4" t="s">
        <v>19</v>
      </c>
      <c r="D337" s="4" t="str">
        <f t="shared" si="8"/>
        <v>Marketing</v>
      </c>
      <c r="E337" s="4" t="str">
        <f t="shared" si="9"/>
        <v>Manager</v>
      </c>
      <c r="F337" s="13">
        <v>711</v>
      </c>
      <c r="G337" s="13">
        <v>4</v>
      </c>
      <c r="H337" s="13">
        <v>4</v>
      </c>
      <c r="I337" s="2">
        <v>29378</v>
      </c>
      <c r="J337" s="15">
        <v>832167</v>
      </c>
      <c r="K337" s="4" t="s">
        <v>14</v>
      </c>
      <c r="L337" s="27">
        <f t="shared" si="10"/>
        <v>1980</v>
      </c>
      <c r="M337" s="27">
        <f t="shared" si="11"/>
        <v>6</v>
      </c>
      <c r="N337" s="27">
        <f t="shared" ca="1" si="13"/>
        <v>46</v>
      </c>
      <c r="O337" s="27" t="str" cm="1">
        <f t="array" ref="O337">_xlfn.IFS($F337&gt;=750,"Excellent",$F337&gt;=700,"Good",$F337&gt;=650,"Moderate",
$F337&lt;650,"Risky"
)</f>
        <v>Good</v>
      </c>
      <c r="P337" s="27" t="str" cm="1">
        <f t="array" ref="P337">_xlfn.IFS(
AND(F337&gt;=750,H337&lt;=2),"Low Risk",
AND(F337&gt;=700,H337&lt;=5),"Medium Risk",
TRUE,"High Risk"
)</f>
        <v>Medium Risk</v>
      </c>
      <c r="Q337" s="5"/>
      <c r="R337" s="5"/>
      <c r="S337" s="5"/>
      <c r="T337" s="5"/>
      <c r="U337" s="5"/>
      <c r="V337" s="5"/>
      <c r="W337" s="5"/>
      <c r="X337" s="5"/>
      <c r="Y337" s="5"/>
    </row>
    <row r="338" spans="1:25" ht="15.75" customHeight="1" x14ac:dyDescent="0.25">
      <c r="A338" s="2">
        <v>43896</v>
      </c>
      <c r="B338" s="3">
        <v>71591</v>
      </c>
      <c r="C338" s="4" t="s">
        <v>28</v>
      </c>
      <c r="D338" s="4" t="str">
        <f t="shared" si="8"/>
        <v>Growth</v>
      </c>
      <c r="E338" s="4" t="str">
        <f t="shared" si="9"/>
        <v>Director</v>
      </c>
      <c r="F338" s="13">
        <v>749</v>
      </c>
      <c r="G338" s="13">
        <v>3</v>
      </c>
      <c r="H338" s="13">
        <v>7</v>
      </c>
      <c r="I338" s="2">
        <v>30627</v>
      </c>
      <c r="J338" s="15">
        <v>736748</v>
      </c>
      <c r="K338" s="4" t="s">
        <v>21</v>
      </c>
      <c r="L338" s="27">
        <f t="shared" si="10"/>
        <v>1983</v>
      </c>
      <c r="M338" s="27">
        <f t="shared" si="11"/>
        <v>3</v>
      </c>
      <c r="N338" s="27">
        <f t="shared" ca="1" si="13"/>
        <v>43</v>
      </c>
      <c r="O338" s="27" t="str" cm="1">
        <f t="array" ref="O338">_xlfn.IFS($F338&gt;=750,"Excellent",$F338&gt;=700,"Good",$F338&gt;=650,"Moderate",
$F338&lt;650,"Risky"
)</f>
        <v>Good</v>
      </c>
      <c r="P338" s="27" t="str" cm="1">
        <f t="array" ref="P338">_xlfn.IFS(
AND(F338&gt;=750,H338&lt;=2),"Low Risk",
AND(F338&gt;=700,H338&lt;=5),"Medium Risk",
TRUE,"High Risk"
)</f>
        <v>High Risk</v>
      </c>
      <c r="Q338" s="5"/>
      <c r="R338" s="5"/>
      <c r="S338" s="5"/>
      <c r="T338" s="5"/>
      <c r="U338" s="5"/>
      <c r="V338" s="5"/>
      <c r="W338" s="5"/>
      <c r="X338" s="5"/>
      <c r="Y338" s="5"/>
    </row>
    <row r="339" spans="1:25" ht="15.75" customHeight="1" x14ac:dyDescent="0.25">
      <c r="A339" s="2">
        <v>43847</v>
      </c>
      <c r="B339" s="3">
        <v>46828</v>
      </c>
      <c r="C339" s="4" t="s">
        <v>15</v>
      </c>
      <c r="D339" s="4" t="str">
        <f t="shared" si="8"/>
        <v>Operation</v>
      </c>
      <c r="E339" s="4" t="str">
        <f t="shared" si="9"/>
        <v>Executive</v>
      </c>
      <c r="F339" s="13">
        <v>785</v>
      </c>
      <c r="G339" s="13">
        <v>1</v>
      </c>
      <c r="H339" s="13">
        <v>2</v>
      </c>
      <c r="I339" s="2">
        <v>33422</v>
      </c>
      <c r="J339" s="15">
        <v>538085</v>
      </c>
      <c r="K339" s="4" t="s">
        <v>14</v>
      </c>
      <c r="L339" s="27">
        <f t="shared" si="10"/>
        <v>1991</v>
      </c>
      <c r="M339" s="27">
        <f t="shared" si="11"/>
        <v>1</v>
      </c>
      <c r="N339" s="27">
        <f t="shared" ca="1" si="13"/>
        <v>35</v>
      </c>
      <c r="O339" s="27" t="str" cm="1">
        <f t="array" ref="O339">_xlfn.IFS($F339&gt;=750,"Excellent",$F339&gt;=700,"Good",$F339&gt;=650,"Moderate",
$F339&lt;650,"Risky"
)</f>
        <v>Excellent</v>
      </c>
      <c r="P339" s="27" t="str" cm="1">
        <f t="array" ref="P339">_xlfn.IFS(
AND(F339&gt;=750,H339&lt;=2),"Low Risk",
AND(F339&gt;=700,H339&lt;=5),"Medium Risk",
TRUE,"High Risk"
)</f>
        <v>Low Risk</v>
      </c>
      <c r="Q339" s="5"/>
      <c r="R339" s="5"/>
      <c r="S339" s="5"/>
      <c r="T339" s="5"/>
      <c r="U339" s="5"/>
      <c r="V339" s="5"/>
      <c r="W339" s="5"/>
      <c r="X339" s="5"/>
      <c r="Y339" s="5"/>
    </row>
    <row r="340" spans="1:25" ht="15.75" customHeight="1" x14ac:dyDescent="0.25">
      <c r="A340" s="2">
        <v>43869</v>
      </c>
      <c r="B340" s="3">
        <v>11895</v>
      </c>
      <c r="C340" s="4" t="s">
        <v>20</v>
      </c>
      <c r="D340" s="4" t="str">
        <f t="shared" si="8"/>
        <v>Operation</v>
      </c>
      <c r="E340" s="4" t="str">
        <f t="shared" si="9"/>
        <v>Manager</v>
      </c>
      <c r="F340" s="13">
        <v>759</v>
      </c>
      <c r="G340" s="13">
        <v>3</v>
      </c>
      <c r="H340" s="13">
        <v>1</v>
      </c>
      <c r="I340" s="2">
        <v>31578</v>
      </c>
      <c r="J340" s="15">
        <v>822716</v>
      </c>
      <c r="K340" s="4" t="s">
        <v>14</v>
      </c>
      <c r="L340" s="27">
        <f t="shared" si="10"/>
        <v>1986</v>
      </c>
      <c r="M340" s="27">
        <f t="shared" si="11"/>
        <v>2</v>
      </c>
      <c r="N340" s="27">
        <f t="shared" ca="1" si="13"/>
        <v>40</v>
      </c>
      <c r="O340" s="27" t="str" cm="1">
        <f t="array" ref="O340">_xlfn.IFS($F340&gt;=750,"Excellent",$F340&gt;=700,"Good",$F340&gt;=650,"Moderate",
$F340&lt;650,"Risky"
)</f>
        <v>Excellent</v>
      </c>
      <c r="P340" s="27" t="str" cm="1">
        <f t="array" ref="P340">_xlfn.IFS(
AND(F340&gt;=750,H340&lt;=2),"Low Risk",
AND(F340&gt;=700,H340&lt;=5),"Medium Risk",
TRUE,"High Risk"
)</f>
        <v>Low Risk</v>
      </c>
      <c r="Q340" s="5"/>
      <c r="R340" s="5"/>
      <c r="S340" s="5"/>
      <c r="T340" s="5"/>
      <c r="U340" s="5"/>
      <c r="V340" s="5"/>
      <c r="W340" s="5"/>
      <c r="X340" s="5"/>
      <c r="Y340" s="5"/>
    </row>
    <row r="341" spans="1:25" ht="15.75" customHeight="1" x14ac:dyDescent="0.25">
      <c r="A341" s="2">
        <v>43833</v>
      </c>
      <c r="B341" s="3">
        <v>71328</v>
      </c>
      <c r="C341" s="4" t="s">
        <v>28</v>
      </c>
      <c r="D341" s="4" t="str">
        <f t="shared" si="8"/>
        <v>Growth</v>
      </c>
      <c r="E341" s="4" t="str">
        <f t="shared" si="9"/>
        <v>Director</v>
      </c>
      <c r="F341" s="13">
        <v>708</v>
      </c>
      <c r="G341" s="13">
        <v>2</v>
      </c>
      <c r="H341" s="13">
        <v>7</v>
      </c>
      <c r="I341" s="2">
        <v>32941</v>
      </c>
      <c r="J341" s="15">
        <v>763608</v>
      </c>
      <c r="K341" s="4" t="s">
        <v>14</v>
      </c>
      <c r="L341" s="27">
        <f t="shared" si="10"/>
        <v>1990</v>
      </c>
      <c r="M341" s="27">
        <f t="shared" si="11"/>
        <v>1</v>
      </c>
      <c r="N341" s="27">
        <f t="shared" ca="1" si="13"/>
        <v>36</v>
      </c>
      <c r="O341" s="27" t="str" cm="1">
        <f t="array" ref="O341">_xlfn.IFS($F341&gt;=750,"Excellent",$F341&gt;=700,"Good",$F341&gt;=650,"Moderate",
$F341&lt;650,"Risky"
)</f>
        <v>Good</v>
      </c>
      <c r="P341" s="27" t="str" cm="1">
        <f t="array" ref="P341">_xlfn.IFS(
AND(F341&gt;=750,H341&lt;=2),"Low Risk",
AND(F341&gt;=700,H341&lt;=5),"Medium Risk",
TRUE,"High Risk"
)</f>
        <v>High Risk</v>
      </c>
      <c r="Q341" s="5"/>
      <c r="R341" s="5"/>
      <c r="S341" s="5"/>
      <c r="T341" s="5"/>
      <c r="U341" s="5"/>
      <c r="V341" s="5"/>
      <c r="W341" s="5"/>
      <c r="X341" s="5"/>
      <c r="Y341" s="5"/>
    </row>
    <row r="342" spans="1:25" ht="15.75" customHeight="1" x14ac:dyDescent="0.25">
      <c r="A342" s="2">
        <v>43912</v>
      </c>
      <c r="B342" s="3">
        <v>79650</v>
      </c>
      <c r="C342" s="4" t="s">
        <v>28</v>
      </c>
      <c r="D342" s="4" t="str">
        <f t="shared" si="8"/>
        <v>Growth</v>
      </c>
      <c r="E342" s="4" t="str">
        <f t="shared" si="9"/>
        <v>Director</v>
      </c>
      <c r="F342" s="13">
        <v>745</v>
      </c>
      <c r="G342" s="13">
        <v>5</v>
      </c>
      <c r="H342" s="13">
        <v>3</v>
      </c>
      <c r="I342" s="2">
        <v>30212</v>
      </c>
      <c r="J342" s="15">
        <v>651822</v>
      </c>
      <c r="K342" s="4" t="s">
        <v>21</v>
      </c>
      <c r="L342" s="27">
        <f t="shared" si="10"/>
        <v>1982</v>
      </c>
      <c r="M342" s="27">
        <f t="shared" si="11"/>
        <v>3</v>
      </c>
      <c r="N342" s="27">
        <f t="shared" ca="1" si="13"/>
        <v>44</v>
      </c>
      <c r="O342" s="27" t="str" cm="1">
        <f t="array" ref="O342">_xlfn.IFS($F342&gt;=750,"Excellent",$F342&gt;=700,"Good",$F342&gt;=650,"Moderate",
$F342&lt;650,"Risky"
)</f>
        <v>Good</v>
      </c>
      <c r="P342" s="27" t="str" cm="1">
        <f t="array" ref="P342">_xlfn.IFS(
AND(F342&gt;=750,H342&lt;=2),"Low Risk",
AND(F342&gt;=700,H342&lt;=5),"Medium Risk",
TRUE,"High Risk"
)</f>
        <v>Medium Risk</v>
      </c>
      <c r="Q342" s="5"/>
      <c r="R342" s="5"/>
      <c r="S342" s="5"/>
      <c r="T342" s="5"/>
      <c r="U342" s="5"/>
      <c r="V342" s="5"/>
      <c r="W342" s="5"/>
      <c r="X342" s="5"/>
      <c r="Y342" s="5"/>
    </row>
    <row r="343" spans="1:25" ht="15.75" customHeight="1" x14ac:dyDescent="0.25">
      <c r="A343" s="2">
        <v>43972</v>
      </c>
      <c r="B343" s="3">
        <v>38104</v>
      </c>
      <c r="C343" s="4" t="s">
        <v>20</v>
      </c>
      <c r="D343" s="4" t="str">
        <f t="shared" si="8"/>
        <v>Operation</v>
      </c>
      <c r="E343" s="4" t="str">
        <f t="shared" si="9"/>
        <v>Manager</v>
      </c>
      <c r="F343" s="13">
        <v>799</v>
      </c>
      <c r="G343" s="13">
        <v>4</v>
      </c>
      <c r="H343" s="13">
        <v>2</v>
      </c>
      <c r="I343" s="2">
        <v>31117</v>
      </c>
      <c r="J343" s="15">
        <v>630500</v>
      </c>
      <c r="K343" s="4" t="s">
        <v>18</v>
      </c>
      <c r="L343" s="27">
        <f t="shared" si="10"/>
        <v>1985</v>
      </c>
      <c r="M343" s="27">
        <f t="shared" si="11"/>
        <v>5</v>
      </c>
      <c r="N343" s="27">
        <f t="shared" ca="1" si="13"/>
        <v>41</v>
      </c>
      <c r="O343" s="27" t="str" cm="1">
        <f t="array" ref="O343">_xlfn.IFS($F343&gt;=750,"Excellent",$F343&gt;=700,"Good",$F343&gt;=650,"Moderate",
$F343&lt;650,"Risky"
)</f>
        <v>Excellent</v>
      </c>
      <c r="P343" s="27" t="str" cm="1">
        <f t="array" ref="P343">_xlfn.IFS(
AND(F343&gt;=750,H343&lt;=2),"Low Risk",
AND(F343&gt;=700,H343&lt;=5),"Medium Risk",
TRUE,"High Risk"
)</f>
        <v>Low Risk</v>
      </c>
      <c r="Q343" s="5"/>
      <c r="R343" s="5"/>
      <c r="S343" s="5"/>
      <c r="T343" s="5"/>
      <c r="U343" s="5"/>
      <c r="V343" s="5"/>
      <c r="W343" s="5"/>
      <c r="X343" s="5"/>
      <c r="Y343" s="5"/>
    </row>
    <row r="344" spans="1:25" ht="15.75" customHeight="1" x14ac:dyDescent="0.25">
      <c r="A344" s="2">
        <v>44083</v>
      </c>
      <c r="B344" s="3">
        <v>54538</v>
      </c>
      <c r="C344" s="4" t="s">
        <v>19</v>
      </c>
      <c r="D344" s="4" t="str">
        <f t="shared" si="8"/>
        <v>Marketing</v>
      </c>
      <c r="E344" s="4" t="str">
        <f t="shared" si="9"/>
        <v>Manager</v>
      </c>
      <c r="F344" s="13">
        <v>760</v>
      </c>
      <c r="G344" s="13">
        <v>1</v>
      </c>
      <c r="H344" s="13">
        <v>5</v>
      </c>
      <c r="I344" s="2">
        <v>29533</v>
      </c>
      <c r="J344" s="15">
        <v>787402</v>
      </c>
      <c r="K344" s="4" t="s">
        <v>14</v>
      </c>
      <c r="L344" s="27">
        <f t="shared" si="10"/>
        <v>1980</v>
      </c>
      <c r="M344" s="27">
        <f t="shared" si="11"/>
        <v>9</v>
      </c>
      <c r="N344" s="27">
        <f t="shared" ca="1" si="13"/>
        <v>46</v>
      </c>
      <c r="O344" s="27" t="str" cm="1">
        <f t="array" ref="O344">_xlfn.IFS($F344&gt;=750,"Excellent",$F344&gt;=700,"Good",$F344&gt;=650,"Moderate",
$F344&lt;650,"Risky"
)</f>
        <v>Excellent</v>
      </c>
      <c r="P344" s="27" t="str" cm="1">
        <f t="array" ref="P344">_xlfn.IFS(
AND(F344&gt;=750,H344&lt;=2),"Low Risk",
AND(F344&gt;=700,H344&lt;=5),"Medium Risk",
TRUE,"High Risk"
)</f>
        <v>Medium Risk</v>
      </c>
      <c r="Q344" s="5"/>
      <c r="R344" s="5"/>
      <c r="S344" s="5"/>
      <c r="T344" s="5"/>
      <c r="U344" s="5"/>
      <c r="V344" s="5"/>
      <c r="W344" s="5"/>
      <c r="X344" s="5"/>
      <c r="Y344" s="5"/>
    </row>
    <row r="345" spans="1:25" ht="15.75" customHeight="1" x14ac:dyDescent="0.25">
      <c r="A345" s="2">
        <v>44045</v>
      </c>
      <c r="B345" s="3">
        <v>45379</v>
      </c>
      <c r="C345" s="4" t="s">
        <v>28</v>
      </c>
      <c r="D345" s="4" t="str">
        <f t="shared" si="8"/>
        <v>Growth</v>
      </c>
      <c r="E345" s="4" t="str">
        <f t="shared" si="9"/>
        <v>Director</v>
      </c>
      <c r="F345" s="13">
        <v>760</v>
      </c>
      <c r="G345" s="13">
        <v>4</v>
      </c>
      <c r="H345" s="13">
        <v>6</v>
      </c>
      <c r="I345" s="2">
        <v>33167</v>
      </c>
      <c r="J345" s="15">
        <v>978466</v>
      </c>
      <c r="K345" s="4" t="s">
        <v>21</v>
      </c>
      <c r="L345" s="27">
        <f t="shared" si="10"/>
        <v>1990</v>
      </c>
      <c r="M345" s="27">
        <f t="shared" si="11"/>
        <v>8</v>
      </c>
      <c r="N345" s="27">
        <f t="shared" ca="1" si="13"/>
        <v>36</v>
      </c>
      <c r="O345" s="27" t="str" cm="1">
        <f t="array" ref="O345">_xlfn.IFS($F345&gt;=750,"Excellent",$F345&gt;=700,"Good",$F345&gt;=650,"Moderate",
$F345&lt;650,"Risky"
)</f>
        <v>Excellent</v>
      </c>
      <c r="P345" s="27" t="str" cm="1">
        <f t="array" ref="P345">_xlfn.IFS(
AND(F345&gt;=750,H345&lt;=2),"Low Risk",
AND(F345&gt;=700,H345&lt;=5),"Medium Risk",
TRUE,"High Risk"
)</f>
        <v>High Risk</v>
      </c>
      <c r="Q345" s="5"/>
      <c r="R345" s="5"/>
      <c r="S345" s="5"/>
      <c r="T345" s="5"/>
      <c r="U345" s="5"/>
      <c r="V345" s="5"/>
      <c r="W345" s="5"/>
      <c r="X345" s="5"/>
      <c r="Y345" s="5"/>
    </row>
    <row r="346" spans="1:25" ht="15.75" customHeight="1" x14ac:dyDescent="0.25">
      <c r="A346" s="2">
        <v>43938</v>
      </c>
      <c r="B346" s="3">
        <v>33385</v>
      </c>
      <c r="C346" s="4" t="s">
        <v>24</v>
      </c>
      <c r="D346" s="4" t="str">
        <f t="shared" si="8"/>
        <v>Strategy</v>
      </c>
      <c r="E346" s="4" t="str">
        <f t="shared" si="9"/>
        <v>Intern</v>
      </c>
      <c r="F346" s="13">
        <v>784</v>
      </c>
      <c r="G346" s="13">
        <v>5</v>
      </c>
      <c r="H346" s="13">
        <v>3</v>
      </c>
      <c r="I346" s="2">
        <v>30338</v>
      </c>
      <c r="J346" s="15">
        <v>968487</v>
      </c>
      <c r="K346" s="4" t="s">
        <v>18</v>
      </c>
      <c r="L346" s="27">
        <f t="shared" si="10"/>
        <v>1983</v>
      </c>
      <c r="M346" s="27">
        <f t="shared" si="11"/>
        <v>4</v>
      </c>
      <c r="N346" s="27">
        <f t="shared" ca="1" si="13"/>
        <v>43</v>
      </c>
      <c r="O346" s="27" t="str" cm="1">
        <f t="array" ref="O346">_xlfn.IFS($F346&gt;=750,"Excellent",$F346&gt;=700,"Good",$F346&gt;=650,"Moderate",
$F346&lt;650,"Risky"
)</f>
        <v>Excellent</v>
      </c>
      <c r="P346" s="27" t="str" cm="1">
        <f t="array" ref="P346">_xlfn.IFS(
AND(F346&gt;=750,H346&lt;=2),"Low Risk",
AND(F346&gt;=700,H346&lt;=5),"Medium Risk",
TRUE,"High Risk"
)</f>
        <v>Medium Risk</v>
      </c>
      <c r="Q346" s="5"/>
      <c r="R346" s="5"/>
      <c r="S346" s="5"/>
      <c r="T346" s="5"/>
      <c r="U346" s="5"/>
      <c r="V346" s="5"/>
      <c r="W346" s="5"/>
      <c r="X346" s="5"/>
      <c r="Y346" s="5"/>
    </row>
    <row r="347" spans="1:25" ht="15.75" customHeight="1" x14ac:dyDescent="0.25">
      <c r="A347" s="2">
        <v>43943</v>
      </c>
      <c r="B347" s="3">
        <v>60123</v>
      </c>
      <c r="C347" s="4" t="s">
        <v>32</v>
      </c>
      <c r="D347" s="4" t="str">
        <f t="shared" si="8"/>
        <v>Finance</v>
      </c>
      <c r="E347" s="4" t="str">
        <f t="shared" si="9"/>
        <v>Executive</v>
      </c>
      <c r="F347" s="13">
        <v>717</v>
      </c>
      <c r="G347" s="13">
        <v>4</v>
      </c>
      <c r="H347" s="13">
        <v>1</v>
      </c>
      <c r="I347" s="2">
        <v>30994</v>
      </c>
      <c r="J347" s="15">
        <v>809815</v>
      </c>
      <c r="K347" s="4" t="s">
        <v>21</v>
      </c>
      <c r="L347" s="27">
        <f t="shared" si="10"/>
        <v>1984</v>
      </c>
      <c r="M347" s="27">
        <f t="shared" si="11"/>
        <v>4</v>
      </c>
      <c r="N347" s="27">
        <f t="shared" ca="1" si="13"/>
        <v>42</v>
      </c>
      <c r="O347" s="27" t="str" cm="1">
        <f t="array" ref="O347">_xlfn.IFS($F347&gt;=750,"Excellent",$F347&gt;=700,"Good",$F347&gt;=650,"Moderate",
$F347&lt;650,"Risky"
)</f>
        <v>Good</v>
      </c>
      <c r="P347" s="27" t="str" cm="1">
        <f t="array" ref="P347">_xlfn.IFS(
AND(F347&gt;=750,H347&lt;=2),"Low Risk",
AND(F347&gt;=700,H347&lt;=5),"Medium Risk",
TRUE,"High Risk"
)</f>
        <v>Medium Risk</v>
      </c>
      <c r="Q347" s="5"/>
      <c r="R347" s="5"/>
      <c r="S347" s="5"/>
      <c r="T347" s="5"/>
      <c r="U347" s="5"/>
      <c r="V347" s="5"/>
      <c r="W347" s="5"/>
      <c r="X347" s="5"/>
      <c r="Y347" s="5"/>
    </row>
    <row r="348" spans="1:25" ht="15.75" customHeight="1" x14ac:dyDescent="0.25">
      <c r="A348" s="2">
        <v>44008</v>
      </c>
      <c r="B348" s="3">
        <v>21107</v>
      </c>
      <c r="C348" s="4" t="s">
        <v>25</v>
      </c>
      <c r="D348" s="4" t="str">
        <f t="shared" si="8"/>
        <v>Sales</v>
      </c>
      <c r="E348" s="4" t="str">
        <f t="shared" si="9"/>
        <v>Manager</v>
      </c>
      <c r="F348" s="13">
        <v>772</v>
      </c>
      <c r="G348" s="13">
        <v>4</v>
      </c>
      <c r="H348" s="13">
        <v>3</v>
      </c>
      <c r="I348" s="2">
        <v>31670</v>
      </c>
      <c r="J348" s="15">
        <v>568425</v>
      </c>
      <c r="K348" s="4" t="s">
        <v>21</v>
      </c>
      <c r="L348" s="27">
        <f t="shared" si="10"/>
        <v>1986</v>
      </c>
      <c r="M348" s="27">
        <f t="shared" si="11"/>
        <v>6</v>
      </c>
      <c r="N348" s="27">
        <f t="shared" ca="1" si="13"/>
        <v>40</v>
      </c>
      <c r="O348" s="27" t="str" cm="1">
        <f t="array" ref="O348">_xlfn.IFS($F348&gt;=750,"Excellent",$F348&gt;=700,"Good",$F348&gt;=650,"Moderate",
$F348&lt;650,"Risky"
)</f>
        <v>Excellent</v>
      </c>
      <c r="P348" s="27" t="str" cm="1">
        <f t="array" ref="P348">_xlfn.IFS(
AND(F348&gt;=750,H348&lt;=2),"Low Risk",
AND(F348&gt;=700,H348&lt;=5),"Medium Risk",
TRUE,"High Risk"
)</f>
        <v>Medium Risk</v>
      </c>
      <c r="Q348" s="5"/>
      <c r="R348" s="5"/>
      <c r="S348" s="5"/>
      <c r="T348" s="5"/>
      <c r="U348" s="5"/>
      <c r="V348" s="5"/>
      <c r="W348" s="5"/>
      <c r="X348" s="5"/>
      <c r="Y348" s="5"/>
    </row>
    <row r="349" spans="1:25" ht="15.75" customHeight="1" x14ac:dyDescent="0.25">
      <c r="A349" s="2">
        <v>44010</v>
      </c>
      <c r="B349" s="3">
        <v>11188</v>
      </c>
      <c r="C349" s="4" t="s">
        <v>19</v>
      </c>
      <c r="D349" s="4" t="str">
        <f t="shared" si="8"/>
        <v>Marketing</v>
      </c>
      <c r="E349" s="4" t="str">
        <f t="shared" si="9"/>
        <v>Manager</v>
      </c>
      <c r="F349" s="13">
        <v>737</v>
      </c>
      <c r="G349" s="13">
        <v>3</v>
      </c>
      <c r="H349" s="13">
        <v>8</v>
      </c>
      <c r="I349" s="2">
        <v>31252</v>
      </c>
      <c r="J349" s="15">
        <v>726186</v>
      </c>
      <c r="K349" s="4" t="s">
        <v>18</v>
      </c>
      <c r="L349" s="27">
        <f t="shared" si="10"/>
        <v>1985</v>
      </c>
      <c r="M349" s="27">
        <f t="shared" si="11"/>
        <v>6</v>
      </c>
      <c r="N349" s="27">
        <f t="shared" ca="1" si="13"/>
        <v>41</v>
      </c>
      <c r="O349" s="27" t="str" cm="1">
        <f t="array" ref="O349">_xlfn.IFS($F349&gt;=750,"Excellent",$F349&gt;=700,"Good",$F349&gt;=650,"Moderate",
$F349&lt;650,"Risky"
)</f>
        <v>Good</v>
      </c>
      <c r="P349" s="27" t="str" cm="1">
        <f t="array" ref="P349">_xlfn.IFS(
AND(F349&gt;=750,H349&lt;=2),"Low Risk",
AND(F349&gt;=700,H349&lt;=5),"Medium Risk",
TRUE,"High Risk"
)</f>
        <v>High Risk</v>
      </c>
      <c r="Q349" s="5"/>
      <c r="R349" s="5"/>
      <c r="S349" s="5"/>
      <c r="T349" s="5"/>
      <c r="U349" s="5"/>
      <c r="V349" s="5"/>
      <c r="W349" s="5"/>
      <c r="X349" s="5"/>
      <c r="Y349" s="5"/>
    </row>
    <row r="350" spans="1:25" ht="15.75" customHeight="1" x14ac:dyDescent="0.25">
      <c r="A350" s="2">
        <v>43951</v>
      </c>
      <c r="B350" s="3">
        <v>13164</v>
      </c>
      <c r="C350" s="4" t="s">
        <v>26</v>
      </c>
      <c r="D350" s="4" t="str">
        <f t="shared" si="8"/>
        <v>Strategy</v>
      </c>
      <c r="E350" s="4" t="str">
        <f t="shared" si="9"/>
        <v>Manager</v>
      </c>
      <c r="F350" s="13">
        <v>786</v>
      </c>
      <c r="G350" s="13">
        <v>5</v>
      </c>
      <c r="H350" s="13">
        <v>8</v>
      </c>
      <c r="I350" s="2">
        <v>30263</v>
      </c>
      <c r="J350" s="15">
        <v>634419</v>
      </c>
      <c r="K350" s="4" t="s">
        <v>14</v>
      </c>
      <c r="L350" s="27">
        <f t="shared" si="10"/>
        <v>1982</v>
      </c>
      <c r="M350" s="27">
        <f t="shared" si="11"/>
        <v>4</v>
      </c>
      <c r="N350" s="27">
        <f t="shared" ca="1" si="13"/>
        <v>44</v>
      </c>
      <c r="O350" s="27" t="str" cm="1">
        <f t="array" ref="O350">_xlfn.IFS($F350&gt;=750,"Excellent",$F350&gt;=700,"Good",$F350&gt;=650,"Moderate",
$F350&lt;650,"Risky"
)</f>
        <v>Excellent</v>
      </c>
      <c r="P350" s="27" t="str" cm="1">
        <f t="array" ref="P350">_xlfn.IFS(
AND(F350&gt;=750,H350&lt;=2),"Low Risk",
AND(F350&gt;=700,H350&lt;=5),"Medium Risk",
TRUE,"High Risk"
)</f>
        <v>High Risk</v>
      </c>
      <c r="Q350" s="5"/>
      <c r="R350" s="5"/>
      <c r="S350" s="5"/>
      <c r="T350" s="5"/>
      <c r="U350" s="5"/>
      <c r="V350" s="5"/>
      <c r="W350" s="5"/>
      <c r="X350" s="5"/>
      <c r="Y350" s="5"/>
    </row>
    <row r="351" spans="1:25" ht="15.75" customHeight="1" x14ac:dyDescent="0.25">
      <c r="A351" s="2">
        <v>43959</v>
      </c>
      <c r="B351" s="3">
        <v>51995</v>
      </c>
      <c r="C351" s="4" t="s">
        <v>22</v>
      </c>
      <c r="D351" s="4" t="str">
        <f t="shared" si="8"/>
        <v>Strategy</v>
      </c>
      <c r="E351" s="4" t="str">
        <f t="shared" si="9"/>
        <v>Executive</v>
      </c>
      <c r="F351" s="13">
        <v>705</v>
      </c>
      <c r="G351" s="13">
        <v>1</v>
      </c>
      <c r="H351" s="13">
        <v>10</v>
      </c>
      <c r="I351" s="2">
        <v>31045</v>
      </c>
      <c r="J351" s="15">
        <v>832960</v>
      </c>
      <c r="K351" s="4" t="s">
        <v>21</v>
      </c>
      <c r="L351" s="27">
        <f t="shared" si="10"/>
        <v>1984</v>
      </c>
      <c r="M351" s="27">
        <f t="shared" si="11"/>
        <v>5</v>
      </c>
      <c r="N351" s="27">
        <f t="shared" ca="1" si="13"/>
        <v>42</v>
      </c>
      <c r="O351" s="27" t="str" cm="1">
        <f t="array" ref="O351">_xlfn.IFS($F351&gt;=750,"Excellent",$F351&gt;=700,"Good",$F351&gt;=650,"Moderate",
$F351&lt;650,"Risky"
)</f>
        <v>Good</v>
      </c>
      <c r="P351" s="27" t="str" cm="1">
        <f t="array" ref="P351">_xlfn.IFS(
AND(F351&gt;=750,H351&lt;=2),"Low Risk",
AND(F351&gt;=700,H351&lt;=5),"Medium Risk",
TRUE,"High Risk"
)</f>
        <v>High Risk</v>
      </c>
      <c r="Q351" s="5"/>
      <c r="R351" s="5"/>
      <c r="S351" s="5"/>
      <c r="T351" s="5"/>
      <c r="U351" s="5"/>
      <c r="V351" s="5"/>
      <c r="W351" s="5"/>
      <c r="X351" s="5"/>
      <c r="Y351" s="5"/>
    </row>
    <row r="352" spans="1:25" ht="15.75" customHeight="1" x14ac:dyDescent="0.25">
      <c r="A352" s="2">
        <v>44037</v>
      </c>
      <c r="B352" s="3">
        <v>30016</v>
      </c>
      <c r="C352" s="4" t="s">
        <v>17</v>
      </c>
      <c r="D352" s="4" t="str">
        <f t="shared" si="8"/>
        <v>Growth</v>
      </c>
      <c r="E352" s="4" t="str">
        <f t="shared" si="9"/>
        <v>Manager</v>
      </c>
      <c r="F352" s="13">
        <v>788</v>
      </c>
      <c r="G352" s="13">
        <v>4</v>
      </c>
      <c r="H352" s="13">
        <v>6</v>
      </c>
      <c r="I352" s="2">
        <v>33910</v>
      </c>
      <c r="J352" s="15">
        <v>818229</v>
      </c>
      <c r="K352" s="4" t="s">
        <v>18</v>
      </c>
      <c r="L352" s="27">
        <f t="shared" si="10"/>
        <v>1992</v>
      </c>
      <c r="M352" s="27">
        <f t="shared" si="11"/>
        <v>7</v>
      </c>
      <c r="N352" s="27">
        <f t="shared" ca="1" si="13"/>
        <v>34</v>
      </c>
      <c r="O352" s="27" t="str" cm="1">
        <f t="array" ref="O352">_xlfn.IFS($F352&gt;=750,"Excellent",$F352&gt;=700,"Good",$F352&gt;=650,"Moderate",
$F352&lt;650,"Risky"
)</f>
        <v>Excellent</v>
      </c>
      <c r="P352" s="27" t="str" cm="1">
        <f t="array" ref="P352">_xlfn.IFS(
AND(F352&gt;=750,H352&lt;=2),"Low Risk",
AND(F352&gt;=700,H352&lt;=5),"Medium Risk",
TRUE,"High Risk"
)</f>
        <v>High Risk</v>
      </c>
      <c r="Q352" s="5"/>
      <c r="R352" s="5"/>
      <c r="S352" s="5"/>
      <c r="T352" s="5"/>
      <c r="U352" s="5"/>
      <c r="V352" s="5"/>
      <c r="W352" s="5"/>
      <c r="X352" s="5"/>
      <c r="Y352" s="5"/>
    </row>
    <row r="353" spans="1:25" ht="15.75" customHeight="1" x14ac:dyDescent="0.25">
      <c r="A353" s="2">
        <v>44054</v>
      </c>
      <c r="B353" s="3">
        <v>28479</v>
      </c>
      <c r="C353" s="4" t="s">
        <v>28</v>
      </c>
      <c r="D353" s="4" t="str">
        <f t="shared" si="8"/>
        <v>Growth</v>
      </c>
      <c r="E353" s="4" t="str">
        <f t="shared" si="9"/>
        <v>Director</v>
      </c>
      <c r="F353" s="13">
        <v>754</v>
      </c>
      <c r="G353" s="13">
        <v>2</v>
      </c>
      <c r="H353" s="13">
        <v>5</v>
      </c>
      <c r="I353" s="2">
        <v>30891</v>
      </c>
      <c r="J353" s="15">
        <v>532656</v>
      </c>
      <c r="K353" s="4" t="s">
        <v>18</v>
      </c>
      <c r="L353" s="27">
        <f t="shared" si="10"/>
        <v>1984</v>
      </c>
      <c r="M353" s="27">
        <f t="shared" si="11"/>
        <v>8</v>
      </c>
      <c r="N353" s="27">
        <f t="shared" ca="1" si="13"/>
        <v>42</v>
      </c>
      <c r="O353" s="27" t="str" cm="1">
        <f t="array" ref="O353">_xlfn.IFS($F353&gt;=750,"Excellent",$F353&gt;=700,"Good",$F353&gt;=650,"Moderate",
$F353&lt;650,"Risky"
)</f>
        <v>Excellent</v>
      </c>
      <c r="P353" s="27" t="str" cm="1">
        <f t="array" ref="P353">_xlfn.IFS(
AND(F353&gt;=750,H353&lt;=2),"Low Risk",
AND(F353&gt;=700,H353&lt;=5),"Medium Risk",
TRUE,"High Risk"
)</f>
        <v>Medium Risk</v>
      </c>
      <c r="Q353" s="5"/>
      <c r="R353" s="5"/>
      <c r="S353" s="5"/>
      <c r="T353" s="5"/>
      <c r="U353" s="5"/>
      <c r="V353" s="5"/>
      <c r="W353" s="5"/>
      <c r="X353" s="5"/>
      <c r="Y353" s="5"/>
    </row>
    <row r="354" spans="1:25" ht="15.75" customHeight="1" x14ac:dyDescent="0.25">
      <c r="A354" s="2">
        <v>44046</v>
      </c>
      <c r="B354" s="3">
        <v>41874</v>
      </c>
      <c r="C354" s="4" t="s">
        <v>25</v>
      </c>
      <c r="D354" s="4" t="str">
        <f t="shared" si="8"/>
        <v>Sales</v>
      </c>
      <c r="E354" s="4" t="str">
        <f t="shared" si="9"/>
        <v>Manager</v>
      </c>
      <c r="F354" s="13">
        <v>763</v>
      </c>
      <c r="G354" s="13">
        <v>5</v>
      </c>
      <c r="H354" s="13">
        <v>2</v>
      </c>
      <c r="I354" s="2">
        <v>29248</v>
      </c>
      <c r="J354" s="15">
        <v>758974</v>
      </c>
      <c r="K354" s="4" t="s">
        <v>14</v>
      </c>
      <c r="L354" s="27">
        <f t="shared" si="10"/>
        <v>1980</v>
      </c>
      <c r="M354" s="27">
        <f t="shared" si="11"/>
        <v>8</v>
      </c>
      <c r="N354" s="27">
        <f t="shared" ca="1" si="13"/>
        <v>46</v>
      </c>
      <c r="O354" s="27" t="str" cm="1">
        <f t="array" ref="O354">_xlfn.IFS($F354&gt;=750,"Excellent",$F354&gt;=700,"Good",$F354&gt;=650,"Moderate",
$F354&lt;650,"Risky"
)</f>
        <v>Excellent</v>
      </c>
      <c r="P354" s="27" t="str" cm="1">
        <f t="array" ref="P354">_xlfn.IFS(
AND(F354&gt;=750,H354&lt;=2),"Low Risk",
AND(F354&gt;=700,H354&lt;=5),"Medium Risk",
TRUE,"High Risk"
)</f>
        <v>Low Risk</v>
      </c>
      <c r="Q354" s="5"/>
      <c r="R354" s="5"/>
      <c r="S354" s="5"/>
      <c r="T354" s="5"/>
      <c r="U354" s="5"/>
      <c r="V354" s="5"/>
      <c r="W354" s="5"/>
      <c r="X354" s="5"/>
      <c r="Y354" s="5"/>
    </row>
    <row r="355" spans="1:25" ht="15.75" customHeight="1" x14ac:dyDescent="0.25">
      <c r="A355" s="2">
        <v>43949</v>
      </c>
      <c r="B355" s="3">
        <v>74554</v>
      </c>
      <c r="C355" s="4" t="s">
        <v>22</v>
      </c>
      <c r="D355" s="4" t="str">
        <f t="shared" si="8"/>
        <v>Strategy</v>
      </c>
      <c r="E355" s="4" t="str">
        <f t="shared" si="9"/>
        <v>Executive</v>
      </c>
      <c r="F355" s="13">
        <v>789</v>
      </c>
      <c r="G355" s="13">
        <v>2</v>
      </c>
      <c r="H355" s="13">
        <v>3</v>
      </c>
      <c r="I355" s="2">
        <v>30908</v>
      </c>
      <c r="J355" s="15">
        <v>810117</v>
      </c>
      <c r="K355" s="4" t="s">
        <v>14</v>
      </c>
      <c r="L355" s="27">
        <f t="shared" si="10"/>
        <v>1984</v>
      </c>
      <c r="M355" s="27">
        <f t="shared" si="11"/>
        <v>4</v>
      </c>
      <c r="N355" s="27">
        <f t="shared" ca="1" si="13"/>
        <v>42</v>
      </c>
      <c r="O355" s="27" t="str" cm="1">
        <f t="array" ref="O355">_xlfn.IFS($F355&gt;=750,"Excellent",$F355&gt;=700,"Good",$F355&gt;=650,"Moderate",
$F355&lt;650,"Risky"
)</f>
        <v>Excellent</v>
      </c>
      <c r="P355" s="27" t="str" cm="1">
        <f t="array" ref="P355">_xlfn.IFS(
AND(F355&gt;=750,H355&lt;=2),"Low Risk",
AND(F355&gt;=700,H355&lt;=5),"Medium Risk",
TRUE,"High Risk"
)</f>
        <v>Medium Risk</v>
      </c>
      <c r="Q355" s="5"/>
      <c r="R355" s="5"/>
      <c r="S355" s="5"/>
      <c r="T355" s="5"/>
      <c r="U355" s="5"/>
      <c r="V355" s="5"/>
      <c r="W355" s="5"/>
      <c r="X355" s="5"/>
      <c r="Y355" s="5"/>
    </row>
    <row r="356" spans="1:25" ht="15.75" customHeight="1" x14ac:dyDescent="0.25">
      <c r="A356" s="2">
        <v>43982</v>
      </c>
      <c r="B356" s="3">
        <v>61483</v>
      </c>
      <c r="C356" s="4" t="s">
        <v>25</v>
      </c>
      <c r="D356" s="4" t="str">
        <f t="shared" si="8"/>
        <v>Sales</v>
      </c>
      <c r="E356" s="4" t="str">
        <f t="shared" si="9"/>
        <v>Manager</v>
      </c>
      <c r="F356" s="13">
        <v>780</v>
      </c>
      <c r="G356" s="13">
        <v>1</v>
      </c>
      <c r="H356" s="13">
        <v>8</v>
      </c>
      <c r="I356" s="2">
        <v>34051</v>
      </c>
      <c r="J356" s="15">
        <v>559031</v>
      </c>
      <c r="K356" s="4" t="s">
        <v>21</v>
      </c>
      <c r="L356" s="27">
        <f t="shared" si="10"/>
        <v>1993</v>
      </c>
      <c r="M356" s="27">
        <f t="shared" si="11"/>
        <v>5</v>
      </c>
      <c r="N356" s="27">
        <f t="shared" ca="1" si="13"/>
        <v>33</v>
      </c>
      <c r="O356" s="27" t="str" cm="1">
        <f t="array" ref="O356">_xlfn.IFS($F356&gt;=750,"Excellent",$F356&gt;=700,"Good",$F356&gt;=650,"Moderate",
$F356&lt;650,"Risky"
)</f>
        <v>Excellent</v>
      </c>
      <c r="P356" s="27" t="str" cm="1">
        <f t="array" ref="P356">_xlfn.IFS(
AND(F356&gt;=750,H356&lt;=2),"Low Risk",
AND(F356&gt;=700,H356&lt;=5),"Medium Risk",
TRUE,"High Risk"
)</f>
        <v>High Risk</v>
      </c>
      <c r="Q356" s="5"/>
      <c r="R356" s="5"/>
      <c r="S356" s="5"/>
      <c r="T356" s="5"/>
      <c r="U356" s="5"/>
      <c r="V356" s="5"/>
      <c r="W356" s="5"/>
      <c r="X356" s="5"/>
      <c r="Y356" s="5"/>
    </row>
    <row r="357" spans="1:25" ht="15.75" customHeight="1" x14ac:dyDescent="0.25">
      <c r="A357" s="2">
        <v>44005</v>
      </c>
      <c r="B357" s="3">
        <v>38125</v>
      </c>
      <c r="C357" s="4" t="s">
        <v>13</v>
      </c>
      <c r="D357" s="4" t="str">
        <f t="shared" si="8"/>
        <v>Marketing</v>
      </c>
      <c r="E357" s="4" t="str">
        <f t="shared" si="9"/>
        <v>Director</v>
      </c>
      <c r="F357" s="13">
        <v>703</v>
      </c>
      <c r="G357" s="13">
        <v>1</v>
      </c>
      <c r="H357" s="13">
        <v>9</v>
      </c>
      <c r="I357" s="2">
        <v>34095</v>
      </c>
      <c r="J357" s="15">
        <v>823279</v>
      </c>
      <c r="K357" s="4" t="s">
        <v>21</v>
      </c>
      <c r="L357" s="27">
        <f t="shared" si="10"/>
        <v>1993</v>
      </c>
      <c r="M357" s="27">
        <f t="shared" si="11"/>
        <v>6</v>
      </c>
      <c r="N357" s="27">
        <f t="shared" ca="1" si="13"/>
        <v>33</v>
      </c>
      <c r="O357" s="27" t="str" cm="1">
        <f t="array" ref="O357">_xlfn.IFS($F357&gt;=750,"Excellent",$F357&gt;=700,"Good",$F357&gt;=650,"Moderate",
$F357&lt;650,"Risky"
)</f>
        <v>Good</v>
      </c>
      <c r="P357" s="27" t="str" cm="1">
        <f t="array" ref="P357">_xlfn.IFS(
AND(F357&gt;=750,H357&lt;=2),"Low Risk",
AND(F357&gt;=700,H357&lt;=5),"Medium Risk",
TRUE,"High Risk"
)</f>
        <v>High Risk</v>
      </c>
      <c r="Q357" s="5"/>
      <c r="R357" s="5"/>
      <c r="S357" s="5"/>
      <c r="T357" s="5"/>
      <c r="U357" s="5"/>
      <c r="V357" s="5"/>
      <c r="W357" s="5"/>
      <c r="X357" s="5"/>
      <c r="Y357" s="5"/>
    </row>
    <row r="358" spans="1:25" ht="15.75" customHeight="1" x14ac:dyDescent="0.25">
      <c r="A358" s="2">
        <v>44005</v>
      </c>
      <c r="B358" s="3">
        <v>20075</v>
      </c>
      <c r="C358" s="4" t="s">
        <v>31</v>
      </c>
      <c r="D358" s="4" t="str">
        <f t="shared" si="8"/>
        <v>Finance</v>
      </c>
      <c r="E358" s="4" t="str">
        <f t="shared" si="9"/>
        <v>Intern</v>
      </c>
      <c r="F358" s="13">
        <v>751</v>
      </c>
      <c r="G358" s="13">
        <v>1</v>
      </c>
      <c r="H358" s="13">
        <v>4</v>
      </c>
      <c r="I358" s="2">
        <v>32699</v>
      </c>
      <c r="J358" s="15">
        <v>686408</v>
      </c>
      <c r="K358" s="4" t="s">
        <v>21</v>
      </c>
      <c r="L358" s="27">
        <f t="shared" si="10"/>
        <v>1989</v>
      </c>
      <c r="M358" s="27">
        <f t="shared" si="11"/>
        <v>6</v>
      </c>
      <c r="N358" s="27">
        <f t="shared" ca="1" si="13"/>
        <v>37</v>
      </c>
      <c r="O358" s="27" t="str" cm="1">
        <f t="array" ref="O358">_xlfn.IFS($F358&gt;=750,"Excellent",$F358&gt;=700,"Good",$F358&gt;=650,"Moderate",
$F358&lt;650,"Risky"
)</f>
        <v>Excellent</v>
      </c>
      <c r="P358" s="27" t="str" cm="1">
        <f t="array" ref="P358">_xlfn.IFS(
AND(F358&gt;=750,H358&lt;=2),"Low Risk",
AND(F358&gt;=700,H358&lt;=5),"Medium Risk",
TRUE,"High Risk"
)</f>
        <v>Medium Risk</v>
      </c>
      <c r="Q358" s="5"/>
      <c r="R358" s="5"/>
      <c r="S358" s="5"/>
      <c r="T358" s="5"/>
      <c r="U358" s="5"/>
      <c r="V358" s="5"/>
      <c r="W358" s="5"/>
      <c r="X358" s="5"/>
      <c r="Y358" s="5"/>
    </row>
    <row r="359" spans="1:25" ht="15.75" customHeight="1" x14ac:dyDescent="0.25">
      <c r="A359" s="2">
        <v>43928</v>
      </c>
      <c r="B359" s="3">
        <v>34089</v>
      </c>
      <c r="C359" s="4" t="s">
        <v>38</v>
      </c>
      <c r="D359" s="4" t="str">
        <f t="shared" si="8"/>
        <v>Finance</v>
      </c>
      <c r="E359" s="4" t="str">
        <f t="shared" si="9"/>
        <v>Manager</v>
      </c>
      <c r="F359" s="13">
        <v>758</v>
      </c>
      <c r="G359" s="13">
        <v>1</v>
      </c>
      <c r="H359" s="13">
        <v>9</v>
      </c>
      <c r="I359" s="2">
        <v>32845</v>
      </c>
      <c r="J359" s="15">
        <v>504344</v>
      </c>
      <c r="K359" s="4" t="s">
        <v>18</v>
      </c>
      <c r="L359" s="27">
        <f t="shared" si="10"/>
        <v>1989</v>
      </c>
      <c r="M359" s="27">
        <f t="shared" si="11"/>
        <v>4</v>
      </c>
      <c r="N359" s="27">
        <f t="shared" ca="1" si="13"/>
        <v>37</v>
      </c>
      <c r="O359" s="27" t="str" cm="1">
        <f t="array" ref="O359">_xlfn.IFS($F359&gt;=750,"Excellent",$F359&gt;=700,"Good",$F359&gt;=650,"Moderate",
$F359&lt;650,"Risky"
)</f>
        <v>Excellent</v>
      </c>
      <c r="P359" s="27" t="str" cm="1">
        <f t="array" ref="P359">_xlfn.IFS(
AND(F359&gt;=750,H359&lt;=2),"Low Risk",
AND(F359&gt;=700,H359&lt;=5),"Medium Risk",
TRUE,"High Risk"
)</f>
        <v>High Risk</v>
      </c>
      <c r="Q359" s="5"/>
      <c r="R359" s="5"/>
      <c r="S359" s="5"/>
      <c r="T359" s="5"/>
      <c r="U359" s="5"/>
      <c r="V359" s="5"/>
      <c r="W359" s="5"/>
      <c r="X359" s="5"/>
      <c r="Y359" s="5"/>
    </row>
    <row r="360" spans="1:25" ht="15.75" customHeight="1" x14ac:dyDescent="0.25">
      <c r="A360" s="2">
        <v>43879</v>
      </c>
      <c r="B360" s="3">
        <v>55948</v>
      </c>
      <c r="C360" s="4" t="s">
        <v>34</v>
      </c>
      <c r="D360" s="4" t="str">
        <f t="shared" si="8"/>
        <v>Finance</v>
      </c>
      <c r="E360" s="4" t="str">
        <f t="shared" si="9"/>
        <v>Director</v>
      </c>
      <c r="F360" s="13">
        <v>769</v>
      </c>
      <c r="G360" s="13">
        <v>3</v>
      </c>
      <c r="H360" s="13">
        <v>10</v>
      </c>
      <c r="I360" s="2">
        <v>31351</v>
      </c>
      <c r="J360" s="15">
        <v>723968</v>
      </c>
      <c r="K360" s="4" t="s">
        <v>14</v>
      </c>
      <c r="L360" s="27">
        <f t="shared" si="10"/>
        <v>1985</v>
      </c>
      <c r="M360" s="27">
        <f t="shared" si="11"/>
        <v>2</v>
      </c>
      <c r="N360" s="27">
        <f t="shared" ca="1" si="13"/>
        <v>41</v>
      </c>
      <c r="O360" s="27" t="str" cm="1">
        <f t="array" ref="O360">_xlfn.IFS($F360&gt;=750,"Excellent",$F360&gt;=700,"Good",$F360&gt;=650,"Moderate",
$F360&lt;650,"Risky"
)</f>
        <v>Excellent</v>
      </c>
      <c r="P360" s="27" t="str" cm="1">
        <f t="array" ref="P360">_xlfn.IFS(
AND(F360&gt;=750,H360&lt;=2),"Low Risk",
AND(F360&gt;=700,H360&lt;=5),"Medium Risk",
TRUE,"High Risk"
)</f>
        <v>High Risk</v>
      </c>
      <c r="Q360" s="5"/>
      <c r="R360" s="5"/>
      <c r="S360" s="5"/>
      <c r="T360" s="5"/>
      <c r="U360" s="5"/>
      <c r="V360" s="5"/>
      <c r="W360" s="5"/>
      <c r="X360" s="5"/>
      <c r="Y360" s="5"/>
    </row>
    <row r="361" spans="1:25" ht="15.75" customHeight="1" x14ac:dyDescent="0.25">
      <c r="A361" s="2">
        <v>43973</v>
      </c>
      <c r="B361" s="3">
        <v>68637</v>
      </c>
      <c r="C361" s="4" t="s">
        <v>22</v>
      </c>
      <c r="D361" s="4" t="str">
        <f t="shared" si="8"/>
        <v>Strategy</v>
      </c>
      <c r="E361" s="4" t="str">
        <f t="shared" si="9"/>
        <v>Executive</v>
      </c>
      <c r="F361" s="13">
        <v>759</v>
      </c>
      <c r="G361" s="13">
        <v>5</v>
      </c>
      <c r="H361" s="13">
        <v>3</v>
      </c>
      <c r="I361" s="2">
        <v>33235</v>
      </c>
      <c r="J361" s="15">
        <v>761551</v>
      </c>
      <c r="K361" s="4" t="s">
        <v>18</v>
      </c>
      <c r="L361" s="27">
        <f t="shared" si="10"/>
        <v>1990</v>
      </c>
      <c r="M361" s="27">
        <f t="shared" si="11"/>
        <v>5</v>
      </c>
      <c r="N361" s="27">
        <f t="shared" ca="1" si="13"/>
        <v>36</v>
      </c>
      <c r="O361" s="27" t="str" cm="1">
        <f t="array" ref="O361">_xlfn.IFS($F361&gt;=750,"Excellent",$F361&gt;=700,"Good",$F361&gt;=650,"Moderate",
$F361&lt;650,"Risky"
)</f>
        <v>Excellent</v>
      </c>
      <c r="P361" s="27" t="str" cm="1">
        <f t="array" ref="P361">_xlfn.IFS(
AND(F361&gt;=750,H361&lt;=2),"Low Risk",
AND(F361&gt;=700,H361&lt;=5),"Medium Risk",
TRUE,"High Risk"
)</f>
        <v>Medium Risk</v>
      </c>
      <c r="Q361" s="5"/>
      <c r="R361" s="5"/>
      <c r="S361" s="5"/>
      <c r="T361" s="5"/>
      <c r="U361" s="5"/>
      <c r="V361" s="5"/>
      <c r="W361" s="5"/>
      <c r="X361" s="5"/>
      <c r="Y361" s="5"/>
    </row>
    <row r="362" spans="1:25" ht="15.75" customHeight="1" x14ac:dyDescent="0.25">
      <c r="A362" s="2">
        <v>43991</v>
      </c>
      <c r="B362" s="3">
        <v>77021</v>
      </c>
      <c r="C362" s="4" t="s">
        <v>22</v>
      </c>
      <c r="D362" s="4" t="str">
        <f t="shared" si="8"/>
        <v>Strategy</v>
      </c>
      <c r="E362" s="4" t="str">
        <f t="shared" si="9"/>
        <v>Executive</v>
      </c>
      <c r="F362" s="13">
        <v>733</v>
      </c>
      <c r="G362" s="13">
        <v>4</v>
      </c>
      <c r="H362" s="13">
        <v>10</v>
      </c>
      <c r="I362" s="2">
        <v>33500</v>
      </c>
      <c r="J362" s="15">
        <v>574112</v>
      </c>
      <c r="K362" s="4" t="s">
        <v>21</v>
      </c>
      <c r="L362" s="27">
        <f t="shared" si="10"/>
        <v>1991</v>
      </c>
      <c r="M362" s="27">
        <f t="shared" si="11"/>
        <v>6</v>
      </c>
      <c r="N362" s="27">
        <f t="shared" ca="1" si="13"/>
        <v>35</v>
      </c>
      <c r="O362" s="27" t="str" cm="1">
        <f t="array" ref="O362">_xlfn.IFS($F362&gt;=750,"Excellent",$F362&gt;=700,"Good",$F362&gt;=650,"Moderate",
$F362&lt;650,"Risky"
)</f>
        <v>Good</v>
      </c>
      <c r="P362" s="27" t="str" cm="1">
        <f t="array" ref="P362">_xlfn.IFS(
AND(F362&gt;=750,H362&lt;=2),"Low Risk",
AND(F362&gt;=700,H362&lt;=5),"Medium Risk",
TRUE,"High Risk"
)</f>
        <v>High Risk</v>
      </c>
      <c r="Q362" s="5"/>
      <c r="R362" s="5"/>
      <c r="S362" s="5"/>
      <c r="T362" s="5"/>
      <c r="U362" s="5"/>
      <c r="V362" s="5"/>
      <c r="W362" s="5"/>
      <c r="X362" s="5"/>
      <c r="Y362" s="5"/>
    </row>
    <row r="363" spans="1:25" ht="15.75" customHeight="1" x14ac:dyDescent="0.25">
      <c r="A363" s="2">
        <v>43957</v>
      </c>
      <c r="B363" s="3">
        <v>66367</v>
      </c>
      <c r="C363" s="4" t="s">
        <v>29</v>
      </c>
      <c r="D363" s="4" t="str">
        <f t="shared" si="8"/>
        <v>Sales</v>
      </c>
      <c r="E363" s="4" t="str">
        <f t="shared" si="9"/>
        <v>Director</v>
      </c>
      <c r="F363" s="13">
        <v>704</v>
      </c>
      <c r="G363" s="13">
        <v>2</v>
      </c>
      <c r="H363" s="13">
        <v>7</v>
      </c>
      <c r="I363" s="2">
        <v>34603</v>
      </c>
      <c r="J363" s="15">
        <v>583695</v>
      </c>
      <c r="K363" s="4" t="s">
        <v>18</v>
      </c>
      <c r="L363" s="27">
        <f t="shared" si="10"/>
        <v>1994</v>
      </c>
      <c r="M363" s="27">
        <f t="shared" si="11"/>
        <v>5</v>
      </c>
      <c r="N363" s="27">
        <f t="shared" ca="1" si="13"/>
        <v>32</v>
      </c>
      <c r="O363" s="27" t="str" cm="1">
        <f t="array" ref="O363">_xlfn.IFS($F363&gt;=750,"Excellent",$F363&gt;=700,"Good",$F363&gt;=650,"Moderate",
$F363&lt;650,"Risky"
)</f>
        <v>Good</v>
      </c>
      <c r="P363" s="27" t="str" cm="1">
        <f t="array" ref="P363">_xlfn.IFS(
AND(F363&gt;=750,H363&lt;=2),"Low Risk",
AND(F363&gt;=700,H363&lt;=5),"Medium Risk",
TRUE,"High Risk"
)</f>
        <v>High Risk</v>
      </c>
      <c r="Q363" s="5"/>
      <c r="R363" s="5"/>
      <c r="S363" s="5"/>
      <c r="T363" s="5"/>
      <c r="U363" s="5"/>
      <c r="V363" s="5"/>
      <c r="W363" s="5"/>
      <c r="X363" s="5"/>
      <c r="Y363" s="5"/>
    </row>
    <row r="364" spans="1:25" ht="15.75" customHeight="1" x14ac:dyDescent="0.25">
      <c r="A364" s="2">
        <v>43944</v>
      </c>
      <c r="B364" s="3">
        <v>41344</v>
      </c>
      <c r="C364" s="4" t="s">
        <v>17</v>
      </c>
      <c r="D364" s="4" t="str">
        <f t="shared" si="8"/>
        <v>Growth</v>
      </c>
      <c r="E364" s="4" t="str">
        <f t="shared" si="9"/>
        <v>Manager</v>
      </c>
      <c r="F364" s="13">
        <v>744</v>
      </c>
      <c r="G364" s="13">
        <v>4</v>
      </c>
      <c r="H364" s="13">
        <v>10</v>
      </c>
      <c r="I364" s="2">
        <v>31601</v>
      </c>
      <c r="J364" s="15">
        <v>538870</v>
      </c>
      <c r="K364" s="4" t="s">
        <v>21</v>
      </c>
      <c r="L364" s="27">
        <f t="shared" si="10"/>
        <v>1986</v>
      </c>
      <c r="M364" s="27">
        <f t="shared" si="11"/>
        <v>4</v>
      </c>
      <c r="N364" s="27">
        <f t="shared" ca="1" si="13"/>
        <v>40</v>
      </c>
      <c r="O364" s="27" t="str" cm="1">
        <f t="array" ref="O364">_xlfn.IFS($F364&gt;=750,"Excellent",$F364&gt;=700,"Good",$F364&gt;=650,"Moderate",
$F364&lt;650,"Risky"
)</f>
        <v>Good</v>
      </c>
      <c r="P364" s="27" t="str" cm="1">
        <f t="array" ref="P364">_xlfn.IFS(
AND(F364&gt;=750,H364&lt;=2),"Low Risk",
AND(F364&gt;=700,H364&lt;=5),"Medium Risk",
TRUE,"High Risk"
)</f>
        <v>High Risk</v>
      </c>
      <c r="Q364" s="5"/>
      <c r="R364" s="5"/>
      <c r="S364" s="5"/>
      <c r="T364" s="5"/>
      <c r="U364" s="5"/>
      <c r="V364" s="5"/>
      <c r="W364" s="5"/>
      <c r="X364" s="5"/>
      <c r="Y364" s="5"/>
    </row>
    <row r="365" spans="1:25" ht="15.75" customHeight="1" x14ac:dyDescent="0.25">
      <c r="A365" s="2">
        <v>44112</v>
      </c>
      <c r="B365" s="3">
        <v>84420</v>
      </c>
      <c r="C365" s="4" t="s">
        <v>13</v>
      </c>
      <c r="D365" s="4" t="str">
        <f t="shared" si="8"/>
        <v>Marketing</v>
      </c>
      <c r="E365" s="4" t="str">
        <f t="shared" si="9"/>
        <v>Director</v>
      </c>
      <c r="F365" s="13">
        <v>744</v>
      </c>
      <c r="G365" s="13">
        <v>4</v>
      </c>
      <c r="H365" s="13">
        <v>8</v>
      </c>
      <c r="I365" s="2">
        <v>34626</v>
      </c>
      <c r="J365" s="15">
        <v>769396</v>
      </c>
      <c r="K365" s="4" t="s">
        <v>18</v>
      </c>
      <c r="L365" s="27">
        <f t="shared" si="10"/>
        <v>1994</v>
      </c>
      <c r="M365" s="27">
        <f t="shared" si="11"/>
        <v>10</v>
      </c>
      <c r="N365" s="27">
        <f t="shared" ca="1" si="13"/>
        <v>32</v>
      </c>
      <c r="O365" s="27" t="str" cm="1">
        <f t="array" ref="O365">_xlfn.IFS($F365&gt;=750,"Excellent",$F365&gt;=700,"Good",$F365&gt;=650,"Moderate",
$F365&lt;650,"Risky"
)</f>
        <v>Good</v>
      </c>
      <c r="P365" s="27" t="str" cm="1">
        <f t="array" ref="P365">_xlfn.IFS(
AND(F365&gt;=750,H365&lt;=2),"Low Risk",
AND(F365&gt;=700,H365&lt;=5),"Medium Risk",
TRUE,"High Risk"
)</f>
        <v>High Risk</v>
      </c>
      <c r="Q365" s="5"/>
      <c r="R365" s="5"/>
      <c r="S365" s="5"/>
      <c r="T365" s="5"/>
      <c r="U365" s="5"/>
      <c r="V365" s="5"/>
      <c r="W365" s="5"/>
      <c r="X365" s="5"/>
      <c r="Y365" s="5"/>
    </row>
    <row r="366" spans="1:25" ht="15.75" customHeight="1" x14ac:dyDescent="0.25">
      <c r="A366" s="2">
        <v>44078</v>
      </c>
      <c r="B366" s="3">
        <v>79734</v>
      </c>
      <c r="C366" s="4" t="s">
        <v>32</v>
      </c>
      <c r="D366" s="4" t="str">
        <f t="shared" si="8"/>
        <v>Finance</v>
      </c>
      <c r="E366" s="4" t="str">
        <f t="shared" si="9"/>
        <v>Executive</v>
      </c>
      <c r="F366" s="13">
        <v>709</v>
      </c>
      <c r="G366" s="13">
        <v>1</v>
      </c>
      <c r="H366" s="13">
        <v>1</v>
      </c>
      <c r="I366" s="2">
        <v>29444</v>
      </c>
      <c r="J366" s="15">
        <v>713594</v>
      </c>
      <c r="K366" s="4" t="s">
        <v>18</v>
      </c>
      <c r="L366" s="27">
        <f t="shared" si="10"/>
        <v>1980</v>
      </c>
      <c r="M366" s="27">
        <f t="shared" si="11"/>
        <v>9</v>
      </c>
      <c r="N366" s="27">
        <f t="shared" ca="1" si="13"/>
        <v>46</v>
      </c>
      <c r="O366" s="27" t="str" cm="1">
        <f t="array" ref="O366">_xlfn.IFS($F366&gt;=750,"Excellent",$F366&gt;=700,"Good",$F366&gt;=650,"Moderate",
$F366&lt;650,"Risky"
)</f>
        <v>Good</v>
      </c>
      <c r="P366" s="27" t="str" cm="1">
        <f t="array" ref="P366">_xlfn.IFS(
AND(F366&gt;=750,H366&lt;=2),"Low Risk",
AND(F366&gt;=700,H366&lt;=5),"Medium Risk",
TRUE,"High Risk"
)</f>
        <v>Medium Risk</v>
      </c>
      <c r="Q366" s="5"/>
      <c r="R366" s="5"/>
      <c r="S366" s="5"/>
      <c r="T366" s="5"/>
      <c r="U366" s="5"/>
      <c r="V366" s="5"/>
      <c r="W366" s="5"/>
      <c r="X366" s="5"/>
      <c r="Y366" s="5"/>
    </row>
    <row r="367" spans="1:25" ht="15.75" customHeight="1" x14ac:dyDescent="0.25">
      <c r="A367" s="2">
        <v>44137</v>
      </c>
      <c r="B367" s="3">
        <v>12675</v>
      </c>
      <c r="C367" s="4" t="s">
        <v>27</v>
      </c>
      <c r="D367" s="4" t="str">
        <f t="shared" si="8"/>
        <v>Operation</v>
      </c>
      <c r="E367" s="4" t="str">
        <f t="shared" si="9"/>
        <v>Intern</v>
      </c>
      <c r="F367" s="13">
        <v>764</v>
      </c>
      <c r="G367" s="13">
        <v>5</v>
      </c>
      <c r="H367" s="13">
        <v>3</v>
      </c>
      <c r="I367" s="2">
        <v>31988</v>
      </c>
      <c r="J367" s="15">
        <v>773457</v>
      </c>
      <c r="K367" s="4" t="s">
        <v>18</v>
      </c>
      <c r="L367" s="27">
        <f t="shared" si="10"/>
        <v>1987</v>
      </c>
      <c r="M367" s="27">
        <f t="shared" si="11"/>
        <v>11</v>
      </c>
      <c r="N367" s="27">
        <f t="shared" ca="1" si="13"/>
        <v>39</v>
      </c>
      <c r="O367" s="27" t="str" cm="1">
        <f t="array" ref="O367">_xlfn.IFS($F367&gt;=750,"Excellent",$F367&gt;=700,"Good",$F367&gt;=650,"Moderate",
$F367&lt;650,"Risky"
)</f>
        <v>Excellent</v>
      </c>
      <c r="P367" s="27" t="str" cm="1">
        <f t="array" ref="P367">_xlfn.IFS(
AND(F367&gt;=750,H367&lt;=2),"Low Risk",
AND(F367&gt;=700,H367&lt;=5),"Medium Risk",
TRUE,"High Risk"
)</f>
        <v>Medium Risk</v>
      </c>
      <c r="Q367" s="5"/>
      <c r="R367" s="5"/>
      <c r="S367" s="5"/>
      <c r="T367" s="5"/>
      <c r="U367" s="5"/>
      <c r="V367" s="5"/>
      <c r="W367" s="5"/>
      <c r="X367" s="5"/>
      <c r="Y367" s="5"/>
    </row>
    <row r="368" spans="1:25" ht="15.75" customHeight="1" x14ac:dyDescent="0.25">
      <c r="A368" s="2">
        <v>43831</v>
      </c>
      <c r="B368" s="3">
        <v>79116</v>
      </c>
      <c r="C368" s="4" t="s">
        <v>29</v>
      </c>
      <c r="D368" s="4" t="str">
        <f t="shared" si="8"/>
        <v>Sales</v>
      </c>
      <c r="E368" s="4" t="str">
        <f t="shared" si="9"/>
        <v>Director</v>
      </c>
      <c r="F368" s="13">
        <v>766</v>
      </c>
      <c r="G368" s="13">
        <v>3</v>
      </c>
      <c r="H368" s="13">
        <v>10</v>
      </c>
      <c r="I368" s="2">
        <v>32697</v>
      </c>
      <c r="J368" s="15">
        <v>856437</v>
      </c>
      <c r="K368" s="4" t="s">
        <v>18</v>
      </c>
      <c r="L368" s="27">
        <f t="shared" si="10"/>
        <v>1989</v>
      </c>
      <c r="M368" s="27">
        <f t="shared" si="11"/>
        <v>1</v>
      </c>
      <c r="N368" s="27">
        <f t="shared" ca="1" si="13"/>
        <v>37</v>
      </c>
      <c r="O368" s="27" t="str" cm="1">
        <f t="array" ref="O368">_xlfn.IFS($F368&gt;=750,"Excellent",$F368&gt;=700,"Good",$F368&gt;=650,"Moderate",
$F368&lt;650,"Risky"
)</f>
        <v>Excellent</v>
      </c>
      <c r="P368" s="27" t="str" cm="1">
        <f t="array" ref="P368">_xlfn.IFS(
AND(F368&gt;=750,H368&lt;=2),"Low Risk",
AND(F368&gt;=700,H368&lt;=5),"Medium Risk",
TRUE,"High Risk"
)</f>
        <v>High Risk</v>
      </c>
      <c r="Q368" s="5"/>
      <c r="R368" s="5"/>
      <c r="S368" s="5"/>
      <c r="T368" s="5"/>
      <c r="U368" s="5"/>
      <c r="V368" s="5"/>
      <c r="W368" s="5"/>
      <c r="X368" s="5"/>
      <c r="Y368" s="5"/>
    </row>
    <row r="369" spans="1:25" ht="15.75" customHeight="1" x14ac:dyDescent="0.25">
      <c r="A369" s="2">
        <v>44082</v>
      </c>
      <c r="B369" s="3">
        <v>91297</v>
      </c>
      <c r="C369" s="4" t="s">
        <v>38</v>
      </c>
      <c r="D369" s="4" t="str">
        <f t="shared" si="8"/>
        <v>Finance</v>
      </c>
      <c r="E369" s="4" t="str">
        <f t="shared" si="9"/>
        <v>Manager</v>
      </c>
      <c r="F369" s="13">
        <v>792</v>
      </c>
      <c r="G369" s="13">
        <v>5</v>
      </c>
      <c r="H369" s="13">
        <v>8</v>
      </c>
      <c r="I369" s="2">
        <v>34033</v>
      </c>
      <c r="J369" s="15">
        <v>729592</v>
      </c>
      <c r="K369" s="4" t="s">
        <v>14</v>
      </c>
      <c r="L369" s="27">
        <f t="shared" si="10"/>
        <v>1993</v>
      </c>
      <c r="M369" s="27">
        <f t="shared" si="11"/>
        <v>9</v>
      </c>
      <c r="N369" s="27">
        <f t="shared" ca="1" si="13"/>
        <v>33</v>
      </c>
      <c r="O369" s="27" t="str" cm="1">
        <f t="array" ref="O369">_xlfn.IFS($F369&gt;=750,"Excellent",$F369&gt;=700,"Good",$F369&gt;=650,"Moderate",
$F369&lt;650,"Risky"
)</f>
        <v>Excellent</v>
      </c>
      <c r="P369" s="27" t="str" cm="1">
        <f t="array" ref="P369">_xlfn.IFS(
AND(F369&gt;=750,H369&lt;=2),"Low Risk",
AND(F369&gt;=700,H369&lt;=5),"Medium Risk",
TRUE,"High Risk"
)</f>
        <v>High Risk</v>
      </c>
      <c r="Q369" s="5"/>
      <c r="R369" s="5"/>
      <c r="S369" s="5"/>
      <c r="T369" s="5"/>
      <c r="U369" s="5"/>
      <c r="V369" s="5"/>
      <c r="W369" s="5"/>
      <c r="X369" s="5"/>
      <c r="Y369" s="5"/>
    </row>
    <row r="370" spans="1:25" ht="15.75" customHeight="1" x14ac:dyDescent="0.25">
      <c r="A370" s="2">
        <v>43916</v>
      </c>
      <c r="B370" s="3">
        <v>66835</v>
      </c>
      <c r="C370" s="4" t="s">
        <v>38</v>
      </c>
      <c r="D370" s="4" t="str">
        <f t="shared" si="8"/>
        <v>Finance</v>
      </c>
      <c r="E370" s="4" t="str">
        <f t="shared" si="9"/>
        <v>Manager</v>
      </c>
      <c r="F370" s="13">
        <v>721</v>
      </c>
      <c r="G370" s="13">
        <v>5</v>
      </c>
      <c r="H370" s="13">
        <v>5</v>
      </c>
      <c r="I370" s="2">
        <v>30665</v>
      </c>
      <c r="J370" s="15">
        <v>702123</v>
      </c>
      <c r="K370" s="4" t="s">
        <v>18</v>
      </c>
      <c r="L370" s="27">
        <f t="shared" si="10"/>
        <v>1983</v>
      </c>
      <c r="M370" s="27">
        <f t="shared" si="11"/>
        <v>3</v>
      </c>
      <c r="N370" s="27">
        <f t="shared" ca="1" si="13"/>
        <v>43</v>
      </c>
      <c r="O370" s="27" t="str" cm="1">
        <f t="array" ref="O370">_xlfn.IFS($F370&gt;=750,"Excellent",$F370&gt;=700,"Good",$F370&gt;=650,"Moderate",
$F370&lt;650,"Risky"
)</f>
        <v>Good</v>
      </c>
      <c r="P370" s="27" t="str" cm="1">
        <f t="array" ref="P370">_xlfn.IFS(
AND(F370&gt;=750,H370&lt;=2),"Low Risk",
AND(F370&gt;=700,H370&lt;=5),"Medium Risk",
TRUE,"High Risk"
)</f>
        <v>Medium Risk</v>
      </c>
      <c r="Q370" s="5"/>
      <c r="R370" s="5"/>
      <c r="S370" s="5"/>
      <c r="T370" s="5"/>
      <c r="U370" s="5"/>
      <c r="V370" s="5"/>
      <c r="W370" s="5"/>
      <c r="X370" s="5"/>
      <c r="Y370" s="5"/>
    </row>
    <row r="371" spans="1:25" ht="15.75" customHeight="1" x14ac:dyDescent="0.25">
      <c r="A371" s="2">
        <v>44174</v>
      </c>
      <c r="B371" s="3">
        <v>85147</v>
      </c>
      <c r="C371" s="4" t="s">
        <v>39</v>
      </c>
      <c r="D371" s="4" t="str">
        <f t="shared" si="8"/>
        <v>Growth</v>
      </c>
      <c r="E371" s="4" t="str">
        <f t="shared" si="9"/>
        <v>Executive</v>
      </c>
      <c r="F371" s="13">
        <v>798</v>
      </c>
      <c r="G371" s="13">
        <v>3</v>
      </c>
      <c r="H371" s="13">
        <v>2</v>
      </c>
      <c r="I371" s="2">
        <v>34251</v>
      </c>
      <c r="J371" s="15">
        <v>623600</v>
      </c>
      <c r="K371" s="4" t="s">
        <v>14</v>
      </c>
      <c r="L371" s="27">
        <f t="shared" si="10"/>
        <v>1993</v>
      </c>
      <c r="M371" s="27">
        <f t="shared" si="11"/>
        <v>12</v>
      </c>
      <c r="N371" s="27">
        <f t="shared" ca="1" si="13"/>
        <v>33</v>
      </c>
      <c r="O371" s="27" t="str" cm="1">
        <f t="array" ref="O371">_xlfn.IFS($F371&gt;=750,"Excellent",$F371&gt;=700,"Good",$F371&gt;=650,"Moderate",
$F371&lt;650,"Risky"
)</f>
        <v>Excellent</v>
      </c>
      <c r="P371" s="27" t="str" cm="1">
        <f t="array" ref="P371">_xlfn.IFS(
AND(F371&gt;=750,H371&lt;=2),"Low Risk",
AND(F371&gt;=700,H371&lt;=5),"Medium Risk",
TRUE,"High Risk"
)</f>
        <v>Low Risk</v>
      </c>
      <c r="Q371" s="5"/>
      <c r="R371" s="5"/>
      <c r="S371" s="5"/>
      <c r="T371" s="5"/>
      <c r="U371" s="5"/>
      <c r="V371" s="5"/>
      <c r="W371" s="5"/>
      <c r="X371" s="5"/>
      <c r="Y371" s="5"/>
    </row>
    <row r="372" spans="1:25" ht="15.75" customHeight="1" x14ac:dyDescent="0.25">
      <c r="A372" s="2">
        <v>43901</v>
      </c>
      <c r="B372" s="3">
        <v>11262</v>
      </c>
      <c r="C372" s="4" t="s">
        <v>20</v>
      </c>
      <c r="D372" s="4" t="str">
        <f t="shared" si="8"/>
        <v>Operation</v>
      </c>
      <c r="E372" s="4" t="str">
        <f t="shared" si="9"/>
        <v>Manager</v>
      </c>
      <c r="F372" s="13">
        <v>734</v>
      </c>
      <c r="G372" s="13">
        <v>2</v>
      </c>
      <c r="H372" s="13">
        <v>2</v>
      </c>
      <c r="I372" s="2">
        <v>29416</v>
      </c>
      <c r="J372" s="15">
        <v>982748</v>
      </c>
      <c r="K372" s="4" t="s">
        <v>18</v>
      </c>
      <c r="L372" s="27">
        <f t="shared" si="10"/>
        <v>1980</v>
      </c>
      <c r="M372" s="27">
        <f t="shared" si="11"/>
        <v>3</v>
      </c>
      <c r="N372" s="27">
        <f t="shared" ca="1" si="13"/>
        <v>46</v>
      </c>
      <c r="O372" s="27" t="str" cm="1">
        <f t="array" ref="O372">_xlfn.IFS($F372&gt;=750,"Excellent",$F372&gt;=700,"Good",$F372&gt;=650,"Moderate",
$F372&lt;650,"Risky"
)</f>
        <v>Good</v>
      </c>
      <c r="P372" s="27" t="str" cm="1">
        <f t="array" ref="P372">_xlfn.IFS(
AND(F372&gt;=750,H372&lt;=2),"Low Risk",
AND(F372&gt;=700,H372&lt;=5),"Medium Risk",
TRUE,"High Risk"
)</f>
        <v>Medium Risk</v>
      </c>
      <c r="Q372" s="5"/>
      <c r="R372" s="5"/>
      <c r="S372" s="5"/>
      <c r="T372" s="5"/>
      <c r="U372" s="5"/>
      <c r="V372" s="5"/>
      <c r="W372" s="5"/>
      <c r="X372" s="5"/>
      <c r="Y372" s="5"/>
    </row>
    <row r="373" spans="1:25" ht="15.75" customHeight="1" x14ac:dyDescent="0.25">
      <c r="A373" s="2">
        <v>43996</v>
      </c>
      <c r="B373" s="3">
        <v>40889</v>
      </c>
      <c r="C373" s="4" t="s">
        <v>20</v>
      </c>
      <c r="D373" s="4" t="str">
        <f t="shared" si="8"/>
        <v>Operation</v>
      </c>
      <c r="E373" s="4" t="str">
        <f t="shared" si="9"/>
        <v>Manager</v>
      </c>
      <c r="F373" s="13">
        <v>749</v>
      </c>
      <c r="G373" s="13">
        <v>2</v>
      </c>
      <c r="H373" s="13">
        <v>9</v>
      </c>
      <c r="I373" s="2">
        <v>34085</v>
      </c>
      <c r="J373" s="15">
        <v>615354</v>
      </c>
      <c r="K373" s="4" t="s">
        <v>18</v>
      </c>
      <c r="L373" s="27">
        <f t="shared" si="10"/>
        <v>1993</v>
      </c>
      <c r="M373" s="27">
        <f t="shared" si="11"/>
        <v>6</v>
      </c>
      <c r="N373" s="27">
        <f t="shared" ca="1" si="13"/>
        <v>33</v>
      </c>
      <c r="O373" s="27" t="str" cm="1">
        <f t="array" ref="O373">_xlfn.IFS($F373&gt;=750,"Excellent",$F373&gt;=700,"Good",$F373&gt;=650,"Moderate",
$F373&lt;650,"Risky"
)</f>
        <v>Good</v>
      </c>
      <c r="P373" s="27" t="str" cm="1">
        <f t="array" ref="P373">_xlfn.IFS(
AND(F373&gt;=750,H373&lt;=2),"Low Risk",
AND(F373&gt;=700,H373&lt;=5),"Medium Risk",
TRUE,"High Risk"
)</f>
        <v>High Risk</v>
      </c>
      <c r="Q373" s="5"/>
      <c r="R373" s="5"/>
      <c r="S373" s="5"/>
      <c r="T373" s="5"/>
      <c r="U373" s="5"/>
      <c r="V373" s="5"/>
      <c r="W373" s="5"/>
      <c r="X373" s="5"/>
      <c r="Y373" s="5"/>
    </row>
    <row r="374" spans="1:25" ht="15.75" customHeight="1" x14ac:dyDescent="0.25">
      <c r="A374" s="2">
        <v>44051</v>
      </c>
      <c r="B374" s="3">
        <v>74690</v>
      </c>
      <c r="C374" s="4" t="s">
        <v>26</v>
      </c>
      <c r="D374" s="4" t="str">
        <f t="shared" si="8"/>
        <v>Strategy</v>
      </c>
      <c r="E374" s="4" t="str">
        <f t="shared" si="9"/>
        <v>Manager</v>
      </c>
      <c r="F374" s="13">
        <v>785</v>
      </c>
      <c r="G374" s="13">
        <v>4</v>
      </c>
      <c r="H374" s="13">
        <v>9</v>
      </c>
      <c r="I374" s="2">
        <v>31290</v>
      </c>
      <c r="J374" s="15">
        <v>644526</v>
      </c>
      <c r="K374" s="4" t="s">
        <v>14</v>
      </c>
      <c r="L374" s="27">
        <f t="shared" si="10"/>
        <v>1985</v>
      </c>
      <c r="M374" s="27">
        <f t="shared" si="11"/>
        <v>8</v>
      </c>
      <c r="N374" s="27">
        <f t="shared" ca="1" si="13"/>
        <v>41</v>
      </c>
      <c r="O374" s="27" t="str" cm="1">
        <f t="array" ref="O374">_xlfn.IFS($F374&gt;=750,"Excellent",$F374&gt;=700,"Good",$F374&gt;=650,"Moderate",
$F374&lt;650,"Risky"
)</f>
        <v>Excellent</v>
      </c>
      <c r="P374" s="27" t="str" cm="1">
        <f t="array" ref="P374">_xlfn.IFS(
AND(F374&gt;=750,H374&lt;=2),"Low Risk",
AND(F374&gt;=700,H374&lt;=5),"Medium Risk",
TRUE,"High Risk"
)</f>
        <v>High Risk</v>
      </c>
      <c r="Q374" s="5"/>
      <c r="R374" s="5"/>
      <c r="S374" s="5"/>
      <c r="T374" s="5"/>
      <c r="U374" s="5"/>
      <c r="V374" s="5"/>
      <c r="W374" s="5"/>
      <c r="X374" s="5"/>
      <c r="Y374" s="5"/>
    </row>
    <row r="375" spans="1:25" ht="15.75" customHeight="1" x14ac:dyDescent="0.25">
      <c r="A375" s="2">
        <v>44127</v>
      </c>
      <c r="B375" s="3">
        <v>26821</v>
      </c>
      <c r="C375" s="4" t="s">
        <v>33</v>
      </c>
      <c r="D375" s="4" t="str">
        <f t="shared" si="8"/>
        <v>Sales</v>
      </c>
      <c r="E375" s="4" t="str">
        <f t="shared" si="9"/>
        <v>Executive</v>
      </c>
      <c r="F375" s="13">
        <v>789</v>
      </c>
      <c r="G375" s="13">
        <v>3</v>
      </c>
      <c r="H375" s="13">
        <v>6</v>
      </c>
      <c r="I375" s="2">
        <v>29616</v>
      </c>
      <c r="J375" s="15">
        <v>779848</v>
      </c>
      <c r="K375" s="4" t="s">
        <v>18</v>
      </c>
      <c r="L375" s="27">
        <f t="shared" si="10"/>
        <v>1981</v>
      </c>
      <c r="M375" s="27">
        <f t="shared" si="11"/>
        <v>10</v>
      </c>
      <c r="N375" s="27">
        <f t="shared" ca="1" si="13"/>
        <v>45</v>
      </c>
      <c r="O375" s="27" t="str" cm="1">
        <f t="array" ref="O375">_xlfn.IFS($F375&gt;=750,"Excellent",$F375&gt;=700,"Good",$F375&gt;=650,"Moderate",
$F375&lt;650,"Risky"
)</f>
        <v>Excellent</v>
      </c>
      <c r="P375" s="27" t="str" cm="1">
        <f t="array" ref="P375">_xlfn.IFS(
AND(F375&gt;=750,H375&lt;=2),"Low Risk",
AND(F375&gt;=700,H375&lt;=5),"Medium Risk",
TRUE,"High Risk"
)</f>
        <v>High Risk</v>
      </c>
      <c r="Q375" s="5"/>
      <c r="R375" s="5"/>
      <c r="S375" s="5"/>
      <c r="T375" s="5"/>
      <c r="U375" s="5"/>
      <c r="V375" s="5"/>
      <c r="W375" s="5"/>
      <c r="X375" s="5"/>
      <c r="Y375" s="5"/>
    </row>
    <row r="376" spans="1:25" ht="15.75" customHeight="1" x14ac:dyDescent="0.25">
      <c r="A376" s="2">
        <v>44151</v>
      </c>
      <c r="B376" s="3">
        <v>51838</v>
      </c>
      <c r="C376" s="4" t="s">
        <v>16</v>
      </c>
      <c r="D376" s="4" t="str">
        <f t="shared" si="8"/>
        <v>Marketing</v>
      </c>
      <c r="E376" s="4" t="str">
        <f t="shared" si="9"/>
        <v>Executive</v>
      </c>
      <c r="F376" s="13">
        <v>794</v>
      </c>
      <c r="G376" s="13">
        <v>1</v>
      </c>
      <c r="H376" s="13">
        <v>1</v>
      </c>
      <c r="I376" s="2">
        <v>33897</v>
      </c>
      <c r="J376" s="15">
        <v>878956</v>
      </c>
      <c r="K376" s="4" t="s">
        <v>21</v>
      </c>
      <c r="L376" s="27">
        <f t="shared" si="10"/>
        <v>1992</v>
      </c>
      <c r="M376" s="27">
        <f t="shared" si="11"/>
        <v>11</v>
      </c>
      <c r="N376" s="27">
        <f t="shared" ca="1" si="13"/>
        <v>34</v>
      </c>
      <c r="O376" s="27" t="str" cm="1">
        <f t="array" ref="O376">_xlfn.IFS($F376&gt;=750,"Excellent",$F376&gt;=700,"Good",$F376&gt;=650,"Moderate",
$F376&lt;650,"Risky"
)</f>
        <v>Excellent</v>
      </c>
      <c r="P376" s="27" t="str" cm="1">
        <f t="array" ref="P376">_xlfn.IFS(
AND(F376&gt;=750,H376&lt;=2),"Low Risk",
AND(F376&gt;=700,H376&lt;=5),"Medium Risk",
TRUE,"High Risk"
)</f>
        <v>Low Risk</v>
      </c>
      <c r="Q376" s="5"/>
      <c r="R376" s="5"/>
      <c r="S376" s="5"/>
      <c r="T376" s="5"/>
      <c r="U376" s="5"/>
      <c r="V376" s="5"/>
      <c r="W376" s="5"/>
      <c r="X376" s="5"/>
      <c r="Y376" s="5"/>
    </row>
    <row r="377" spans="1:25" ht="15.75" customHeight="1" x14ac:dyDescent="0.25">
      <c r="A377" s="2">
        <v>43840</v>
      </c>
      <c r="B377" s="3">
        <v>58565</v>
      </c>
      <c r="C377" s="4" t="s">
        <v>16</v>
      </c>
      <c r="D377" s="4" t="str">
        <f t="shared" si="8"/>
        <v>Marketing</v>
      </c>
      <c r="E377" s="4" t="str">
        <f t="shared" si="9"/>
        <v>Executive</v>
      </c>
      <c r="F377" s="13">
        <v>754</v>
      </c>
      <c r="G377" s="13">
        <v>1</v>
      </c>
      <c r="H377" s="13">
        <v>9</v>
      </c>
      <c r="I377" s="2">
        <v>29430</v>
      </c>
      <c r="J377" s="15">
        <v>961982</v>
      </c>
      <c r="K377" s="4" t="s">
        <v>14</v>
      </c>
      <c r="L377" s="27">
        <f t="shared" si="10"/>
        <v>1980</v>
      </c>
      <c r="M377" s="27">
        <f t="shared" si="11"/>
        <v>1</v>
      </c>
      <c r="N377" s="27">
        <f t="shared" ca="1" si="13"/>
        <v>46</v>
      </c>
      <c r="O377" s="27" t="str" cm="1">
        <f t="array" ref="O377">_xlfn.IFS($F377&gt;=750,"Excellent",$F377&gt;=700,"Good",$F377&gt;=650,"Moderate",
$F377&lt;650,"Risky"
)</f>
        <v>Excellent</v>
      </c>
      <c r="P377" s="27" t="str" cm="1">
        <f t="array" ref="P377">_xlfn.IFS(
AND(F377&gt;=750,H377&lt;=2),"Low Risk",
AND(F377&gt;=700,H377&lt;=5),"Medium Risk",
TRUE,"High Risk"
)</f>
        <v>High Risk</v>
      </c>
      <c r="Q377" s="5"/>
      <c r="R377" s="5"/>
      <c r="S377" s="5"/>
      <c r="T377" s="5"/>
      <c r="U377" s="5"/>
      <c r="V377" s="5"/>
      <c r="W377" s="5"/>
      <c r="X377" s="5"/>
      <c r="Y377" s="5"/>
    </row>
    <row r="378" spans="1:25" ht="15.75" customHeight="1" x14ac:dyDescent="0.25">
      <c r="A378" s="2">
        <v>44079</v>
      </c>
      <c r="B378" s="3">
        <v>88271</v>
      </c>
      <c r="C378" s="4" t="s">
        <v>31</v>
      </c>
      <c r="D378" s="4" t="str">
        <f t="shared" si="8"/>
        <v>Finance</v>
      </c>
      <c r="E378" s="4" t="str">
        <f t="shared" si="9"/>
        <v>Intern</v>
      </c>
      <c r="F378" s="13">
        <v>725</v>
      </c>
      <c r="G378" s="13">
        <v>5</v>
      </c>
      <c r="H378" s="13">
        <v>7</v>
      </c>
      <c r="I378" s="2">
        <v>31721</v>
      </c>
      <c r="J378" s="15">
        <v>915415</v>
      </c>
      <c r="K378" s="4" t="s">
        <v>21</v>
      </c>
      <c r="L378" s="27">
        <f t="shared" si="10"/>
        <v>1986</v>
      </c>
      <c r="M378" s="27">
        <f t="shared" si="11"/>
        <v>9</v>
      </c>
      <c r="N378" s="27">
        <f t="shared" ca="1" si="13"/>
        <v>40</v>
      </c>
      <c r="O378" s="27" t="str" cm="1">
        <f t="array" ref="O378">_xlfn.IFS($F378&gt;=750,"Excellent",$F378&gt;=700,"Good",$F378&gt;=650,"Moderate",
$F378&lt;650,"Risky"
)</f>
        <v>Good</v>
      </c>
      <c r="P378" s="27" t="str" cm="1">
        <f t="array" ref="P378">_xlfn.IFS(
AND(F378&gt;=750,H378&lt;=2),"Low Risk",
AND(F378&gt;=700,H378&lt;=5),"Medium Risk",
TRUE,"High Risk"
)</f>
        <v>High Risk</v>
      </c>
      <c r="Q378" s="5"/>
      <c r="R378" s="5"/>
      <c r="S378" s="5"/>
      <c r="T378" s="5"/>
      <c r="U378" s="5"/>
      <c r="V378" s="5"/>
      <c r="W378" s="5"/>
      <c r="X378" s="5"/>
      <c r="Y378" s="5"/>
    </row>
    <row r="379" spans="1:25" ht="15.75" customHeight="1" x14ac:dyDescent="0.25">
      <c r="A379" s="2">
        <v>43844</v>
      </c>
      <c r="B379" s="3">
        <v>38437</v>
      </c>
      <c r="C379" s="4" t="s">
        <v>30</v>
      </c>
      <c r="D379" s="4" t="str">
        <f t="shared" si="8"/>
        <v>Operation</v>
      </c>
      <c r="E379" s="4" t="str">
        <f t="shared" si="9"/>
        <v>Director</v>
      </c>
      <c r="F379" s="13">
        <v>756</v>
      </c>
      <c r="G379" s="13">
        <v>1</v>
      </c>
      <c r="H379" s="13">
        <v>3</v>
      </c>
      <c r="I379" s="2">
        <v>34580</v>
      </c>
      <c r="J379" s="15">
        <v>825960</v>
      </c>
      <c r="K379" s="4" t="s">
        <v>21</v>
      </c>
      <c r="L379" s="27">
        <f t="shared" si="10"/>
        <v>1994</v>
      </c>
      <c r="M379" s="27">
        <f t="shared" si="11"/>
        <v>1</v>
      </c>
      <c r="N379" s="27">
        <f t="shared" ca="1" si="13"/>
        <v>32</v>
      </c>
      <c r="O379" s="27" t="str" cm="1">
        <f t="array" ref="O379">_xlfn.IFS($F379&gt;=750,"Excellent",$F379&gt;=700,"Good",$F379&gt;=650,"Moderate",
$F379&lt;650,"Risky"
)</f>
        <v>Excellent</v>
      </c>
      <c r="P379" s="27" t="str" cm="1">
        <f t="array" ref="P379">_xlfn.IFS(
AND(F379&gt;=750,H379&lt;=2),"Low Risk",
AND(F379&gt;=700,H379&lt;=5),"Medium Risk",
TRUE,"High Risk"
)</f>
        <v>Medium Risk</v>
      </c>
      <c r="Q379" s="5"/>
      <c r="R379" s="5"/>
      <c r="S379" s="5"/>
      <c r="T379" s="5"/>
      <c r="U379" s="5"/>
      <c r="V379" s="5"/>
      <c r="W379" s="5"/>
      <c r="X379" s="5"/>
      <c r="Y379" s="5"/>
    </row>
    <row r="380" spans="1:25" ht="15.75" customHeight="1" x14ac:dyDescent="0.25">
      <c r="A380" s="2">
        <v>44069</v>
      </c>
      <c r="B380" s="3">
        <v>91996</v>
      </c>
      <c r="C380" s="4" t="s">
        <v>27</v>
      </c>
      <c r="D380" s="4" t="str">
        <f t="shared" si="8"/>
        <v>Operation</v>
      </c>
      <c r="E380" s="4" t="str">
        <f t="shared" si="9"/>
        <v>Intern</v>
      </c>
      <c r="F380" s="13">
        <v>752</v>
      </c>
      <c r="G380" s="13">
        <v>2</v>
      </c>
      <c r="H380" s="13">
        <v>6</v>
      </c>
      <c r="I380" s="2">
        <v>30569</v>
      </c>
      <c r="J380" s="15">
        <v>724004</v>
      </c>
      <c r="K380" s="4" t="s">
        <v>21</v>
      </c>
      <c r="L380" s="27">
        <f t="shared" si="10"/>
        <v>1983</v>
      </c>
      <c r="M380" s="27">
        <f t="shared" si="11"/>
        <v>8</v>
      </c>
      <c r="N380" s="27">
        <f t="shared" ca="1" si="13"/>
        <v>43</v>
      </c>
      <c r="O380" s="27" t="str" cm="1">
        <f t="array" ref="O380">_xlfn.IFS($F380&gt;=750,"Excellent",$F380&gt;=700,"Good",$F380&gt;=650,"Moderate",
$F380&lt;650,"Risky"
)</f>
        <v>Excellent</v>
      </c>
      <c r="P380" s="27" t="str" cm="1">
        <f t="array" ref="P380">_xlfn.IFS(
AND(F380&gt;=750,H380&lt;=2),"Low Risk",
AND(F380&gt;=700,H380&lt;=5),"Medium Risk",
TRUE,"High Risk"
)</f>
        <v>High Risk</v>
      </c>
      <c r="Q380" s="5"/>
      <c r="R380" s="5"/>
      <c r="S380" s="5"/>
      <c r="T380" s="5"/>
      <c r="U380" s="5"/>
      <c r="V380" s="5"/>
      <c r="W380" s="5"/>
      <c r="X380" s="5"/>
      <c r="Y380" s="5"/>
    </row>
    <row r="381" spans="1:25" ht="15.75" customHeight="1" x14ac:dyDescent="0.25">
      <c r="A381" s="2">
        <v>43890</v>
      </c>
      <c r="B381" s="3">
        <v>91200</v>
      </c>
      <c r="C381" s="4" t="s">
        <v>38</v>
      </c>
      <c r="D381" s="4" t="str">
        <f t="shared" si="8"/>
        <v>Finance</v>
      </c>
      <c r="E381" s="4" t="str">
        <f t="shared" si="9"/>
        <v>Manager</v>
      </c>
      <c r="F381" s="13">
        <v>756</v>
      </c>
      <c r="G381" s="13">
        <v>3</v>
      </c>
      <c r="H381" s="13">
        <v>6</v>
      </c>
      <c r="I381" s="2">
        <v>34425</v>
      </c>
      <c r="J381" s="15">
        <v>866470</v>
      </c>
      <c r="K381" s="4" t="s">
        <v>14</v>
      </c>
      <c r="L381" s="27">
        <f t="shared" si="10"/>
        <v>1994</v>
      </c>
      <c r="M381" s="27">
        <f t="shared" si="11"/>
        <v>2</v>
      </c>
      <c r="N381" s="27">
        <f t="shared" ca="1" si="13"/>
        <v>32</v>
      </c>
      <c r="O381" s="27" t="str" cm="1">
        <f t="array" ref="O381">_xlfn.IFS($F381&gt;=750,"Excellent",$F381&gt;=700,"Good",$F381&gt;=650,"Moderate",
$F381&lt;650,"Risky"
)</f>
        <v>Excellent</v>
      </c>
      <c r="P381" s="27" t="str" cm="1">
        <f t="array" ref="P381">_xlfn.IFS(
AND(F381&gt;=750,H381&lt;=2),"Low Risk",
AND(F381&gt;=700,H381&lt;=5),"Medium Risk",
TRUE,"High Risk"
)</f>
        <v>High Risk</v>
      </c>
      <c r="Q381" s="5"/>
      <c r="R381" s="5"/>
      <c r="S381" s="5"/>
      <c r="T381" s="5"/>
      <c r="U381" s="5"/>
      <c r="V381" s="5"/>
      <c r="W381" s="5"/>
      <c r="X381" s="5"/>
      <c r="Y381" s="5"/>
    </row>
    <row r="382" spans="1:25" ht="15.75" customHeight="1" x14ac:dyDescent="0.25">
      <c r="A382" s="2">
        <v>43922</v>
      </c>
      <c r="B382" s="3">
        <v>10248</v>
      </c>
      <c r="C382" s="4" t="s">
        <v>17</v>
      </c>
      <c r="D382" s="4" t="str">
        <f t="shared" si="8"/>
        <v>Growth</v>
      </c>
      <c r="E382" s="4" t="str">
        <f t="shared" si="9"/>
        <v>Manager</v>
      </c>
      <c r="F382" s="13">
        <v>731</v>
      </c>
      <c r="G382" s="13">
        <v>1</v>
      </c>
      <c r="H382" s="13">
        <v>4</v>
      </c>
      <c r="I382" s="2">
        <v>29797</v>
      </c>
      <c r="J382" s="15">
        <v>905685</v>
      </c>
      <c r="K382" s="4" t="s">
        <v>14</v>
      </c>
      <c r="L382" s="27">
        <f t="shared" si="10"/>
        <v>1981</v>
      </c>
      <c r="M382" s="27">
        <f t="shared" si="11"/>
        <v>4</v>
      </c>
      <c r="N382" s="27">
        <f t="shared" ca="1" si="13"/>
        <v>45</v>
      </c>
      <c r="O382" s="27" t="str" cm="1">
        <f t="array" ref="O382">_xlfn.IFS($F382&gt;=750,"Excellent",$F382&gt;=700,"Good",$F382&gt;=650,"Moderate",
$F382&lt;650,"Risky"
)</f>
        <v>Good</v>
      </c>
      <c r="P382" s="27" t="str" cm="1">
        <f t="array" ref="P382">_xlfn.IFS(
AND(F382&gt;=750,H382&lt;=2),"Low Risk",
AND(F382&gt;=700,H382&lt;=5),"Medium Risk",
TRUE,"High Risk"
)</f>
        <v>Medium Risk</v>
      </c>
      <c r="Q382" s="5"/>
      <c r="R382" s="5"/>
      <c r="S382" s="5"/>
      <c r="T382" s="5"/>
      <c r="U382" s="5"/>
      <c r="V382" s="5"/>
      <c r="W382" s="5"/>
      <c r="X382" s="5"/>
      <c r="Y382" s="5"/>
    </row>
    <row r="383" spans="1:25" ht="15.75" customHeight="1" x14ac:dyDescent="0.25">
      <c r="A383" s="2">
        <v>44004</v>
      </c>
      <c r="B383" s="3">
        <v>66881</v>
      </c>
      <c r="C383" s="4" t="s">
        <v>23</v>
      </c>
      <c r="D383" s="4" t="str">
        <f t="shared" si="8"/>
        <v>Marketing</v>
      </c>
      <c r="E383" s="4" t="str">
        <f t="shared" si="9"/>
        <v>Intern</v>
      </c>
      <c r="F383" s="13">
        <v>785</v>
      </c>
      <c r="G383" s="13">
        <v>3</v>
      </c>
      <c r="H383" s="13">
        <v>7</v>
      </c>
      <c r="I383" s="2">
        <v>34197</v>
      </c>
      <c r="J383" s="15">
        <v>991743</v>
      </c>
      <c r="K383" s="4" t="s">
        <v>14</v>
      </c>
      <c r="L383" s="27">
        <f t="shared" si="10"/>
        <v>1993</v>
      </c>
      <c r="M383" s="27">
        <f t="shared" si="11"/>
        <v>6</v>
      </c>
      <c r="N383" s="27">
        <f t="shared" ca="1" si="13"/>
        <v>33</v>
      </c>
      <c r="O383" s="27" t="str" cm="1">
        <f t="array" ref="O383">_xlfn.IFS($F383&gt;=750,"Excellent",$F383&gt;=700,"Good",$F383&gt;=650,"Moderate",
$F383&lt;650,"Risky"
)</f>
        <v>Excellent</v>
      </c>
      <c r="P383" s="27" t="str" cm="1">
        <f t="array" ref="P383">_xlfn.IFS(
AND(F383&gt;=750,H383&lt;=2),"Low Risk",
AND(F383&gt;=700,H383&lt;=5),"Medium Risk",
TRUE,"High Risk"
)</f>
        <v>High Risk</v>
      </c>
      <c r="Q383" s="5"/>
      <c r="R383" s="5"/>
      <c r="S383" s="5"/>
      <c r="T383" s="5"/>
      <c r="U383" s="5"/>
      <c r="V383" s="5"/>
      <c r="W383" s="5"/>
      <c r="X383" s="5"/>
      <c r="Y383" s="5"/>
    </row>
    <row r="384" spans="1:25" ht="15.75" customHeight="1" x14ac:dyDescent="0.25">
      <c r="A384" s="2">
        <v>43914</v>
      </c>
      <c r="B384" s="3">
        <v>90742</v>
      </c>
      <c r="C384" s="4" t="s">
        <v>31</v>
      </c>
      <c r="D384" s="4" t="str">
        <f t="shared" si="8"/>
        <v>Finance</v>
      </c>
      <c r="E384" s="4" t="str">
        <f t="shared" si="9"/>
        <v>Intern</v>
      </c>
      <c r="F384" s="13">
        <v>732</v>
      </c>
      <c r="G384" s="13">
        <v>4</v>
      </c>
      <c r="H384" s="13">
        <v>5</v>
      </c>
      <c r="I384" s="2">
        <v>29916</v>
      </c>
      <c r="J384" s="15">
        <v>735308</v>
      </c>
      <c r="K384" s="4" t="s">
        <v>18</v>
      </c>
      <c r="L384" s="27">
        <f t="shared" si="10"/>
        <v>1981</v>
      </c>
      <c r="M384" s="27">
        <f t="shared" si="11"/>
        <v>3</v>
      </c>
      <c r="N384" s="27">
        <f t="shared" ca="1" si="13"/>
        <v>45</v>
      </c>
      <c r="O384" s="27" t="str" cm="1">
        <f t="array" ref="O384">_xlfn.IFS($F384&gt;=750,"Excellent",$F384&gt;=700,"Good",$F384&gt;=650,"Moderate",
$F384&lt;650,"Risky"
)</f>
        <v>Good</v>
      </c>
      <c r="P384" s="27" t="str" cm="1">
        <f t="array" ref="P384">_xlfn.IFS(
AND(F384&gt;=750,H384&lt;=2),"Low Risk",
AND(F384&gt;=700,H384&lt;=5),"Medium Risk",
TRUE,"High Risk"
)</f>
        <v>Medium Risk</v>
      </c>
      <c r="Q384" s="5"/>
      <c r="R384" s="5"/>
      <c r="S384" s="5"/>
      <c r="T384" s="5"/>
      <c r="U384" s="5"/>
      <c r="V384" s="5"/>
      <c r="W384" s="5"/>
      <c r="X384" s="5"/>
      <c r="Y384" s="5"/>
    </row>
    <row r="385" spans="1:25" ht="15.75" customHeight="1" x14ac:dyDescent="0.25">
      <c r="A385" s="2">
        <v>44022</v>
      </c>
      <c r="B385" s="3">
        <v>50565</v>
      </c>
      <c r="C385" s="4" t="s">
        <v>34</v>
      </c>
      <c r="D385" s="4" t="str">
        <f t="shared" si="8"/>
        <v>Finance</v>
      </c>
      <c r="E385" s="4" t="str">
        <f t="shared" si="9"/>
        <v>Director</v>
      </c>
      <c r="F385" s="13">
        <v>752</v>
      </c>
      <c r="G385" s="13">
        <v>3</v>
      </c>
      <c r="H385" s="13">
        <v>4</v>
      </c>
      <c r="I385" s="2">
        <v>30770</v>
      </c>
      <c r="J385" s="15">
        <v>762854</v>
      </c>
      <c r="K385" s="4" t="s">
        <v>21</v>
      </c>
      <c r="L385" s="27">
        <f t="shared" si="10"/>
        <v>1984</v>
      </c>
      <c r="M385" s="27">
        <f t="shared" si="11"/>
        <v>7</v>
      </c>
      <c r="N385" s="27">
        <f t="shared" ca="1" si="13"/>
        <v>42</v>
      </c>
      <c r="O385" s="27" t="str" cm="1">
        <f t="array" ref="O385">_xlfn.IFS($F385&gt;=750,"Excellent",$F385&gt;=700,"Good",$F385&gt;=650,"Moderate",
$F385&lt;650,"Risky"
)</f>
        <v>Excellent</v>
      </c>
      <c r="P385" s="27" t="str" cm="1">
        <f t="array" ref="P385">_xlfn.IFS(
AND(F385&gt;=750,H385&lt;=2),"Low Risk",
AND(F385&gt;=700,H385&lt;=5),"Medium Risk",
TRUE,"High Risk"
)</f>
        <v>Medium Risk</v>
      </c>
      <c r="Q385" s="5"/>
      <c r="R385" s="5"/>
      <c r="S385" s="5"/>
      <c r="T385" s="5"/>
      <c r="U385" s="5"/>
      <c r="V385" s="5"/>
      <c r="W385" s="5"/>
      <c r="X385" s="5"/>
      <c r="Y385" s="5"/>
    </row>
    <row r="386" spans="1:25" ht="15.75" customHeight="1" x14ac:dyDescent="0.25">
      <c r="A386" s="2">
        <v>44097</v>
      </c>
      <c r="B386" s="3">
        <v>67471</v>
      </c>
      <c r="C386" s="4" t="s">
        <v>13</v>
      </c>
      <c r="D386" s="4" t="str">
        <f t="shared" si="8"/>
        <v>Marketing</v>
      </c>
      <c r="E386" s="4" t="str">
        <f t="shared" si="9"/>
        <v>Director</v>
      </c>
      <c r="F386" s="13">
        <v>781</v>
      </c>
      <c r="G386" s="13">
        <v>3</v>
      </c>
      <c r="H386" s="13">
        <v>8</v>
      </c>
      <c r="I386" s="2">
        <v>33289</v>
      </c>
      <c r="J386" s="15">
        <v>902279</v>
      </c>
      <c r="K386" s="4" t="s">
        <v>18</v>
      </c>
      <c r="L386" s="27">
        <f t="shared" si="10"/>
        <v>1991</v>
      </c>
      <c r="M386" s="27">
        <f t="shared" si="11"/>
        <v>9</v>
      </c>
      <c r="N386" s="27">
        <f t="shared" ca="1" si="13"/>
        <v>35</v>
      </c>
      <c r="O386" s="27" t="str" cm="1">
        <f t="array" ref="O386">_xlfn.IFS($F386&gt;=750,"Excellent",$F386&gt;=700,"Good",$F386&gt;=650,"Moderate",
$F386&lt;650,"Risky"
)</f>
        <v>Excellent</v>
      </c>
      <c r="P386" s="27" t="str" cm="1">
        <f t="array" ref="P386">_xlfn.IFS(
AND(F386&gt;=750,H386&lt;=2),"Low Risk",
AND(F386&gt;=700,H386&lt;=5),"Medium Risk",
TRUE,"High Risk"
)</f>
        <v>High Risk</v>
      </c>
      <c r="Q386" s="5"/>
      <c r="R386" s="5"/>
      <c r="S386" s="5"/>
      <c r="T386" s="5"/>
      <c r="U386" s="5"/>
      <c r="V386" s="5"/>
      <c r="W386" s="5"/>
      <c r="X386" s="5"/>
      <c r="Y386" s="5"/>
    </row>
    <row r="387" spans="1:25" ht="15.75" customHeight="1" x14ac:dyDescent="0.25">
      <c r="A387" s="2">
        <v>43996</v>
      </c>
      <c r="B387" s="3">
        <v>21521</v>
      </c>
      <c r="C387" s="4" t="s">
        <v>16</v>
      </c>
      <c r="D387" s="4" t="str">
        <f t="shared" si="8"/>
        <v>Marketing</v>
      </c>
      <c r="E387" s="4" t="str">
        <f t="shared" si="9"/>
        <v>Executive</v>
      </c>
      <c r="F387" s="13">
        <v>773</v>
      </c>
      <c r="G387" s="13">
        <v>2</v>
      </c>
      <c r="H387" s="13">
        <v>5</v>
      </c>
      <c r="I387" s="2">
        <v>34191</v>
      </c>
      <c r="J387" s="15">
        <v>988216</v>
      </c>
      <c r="K387" s="4" t="s">
        <v>14</v>
      </c>
      <c r="L387" s="27">
        <f t="shared" si="10"/>
        <v>1993</v>
      </c>
      <c r="M387" s="27">
        <f t="shared" si="11"/>
        <v>6</v>
      </c>
      <c r="N387" s="27">
        <f t="shared" ref="N387:N450" ca="1" si="14" xml:space="preserve"> YEAR(TODAY()) - $L387</f>
        <v>33</v>
      </c>
      <c r="O387" s="27" t="str" cm="1">
        <f t="array" ref="O387">_xlfn.IFS($F387&gt;=750,"Excellent",$F387&gt;=700,"Good",$F387&gt;=650,"Moderate",
$F387&lt;650,"Risky"
)</f>
        <v>Excellent</v>
      </c>
      <c r="P387" s="27" t="str" cm="1">
        <f t="array" ref="P387">_xlfn.IFS(
AND(F387&gt;=750,H387&lt;=2),"Low Risk",
AND(F387&gt;=700,H387&lt;=5),"Medium Risk",
TRUE,"High Risk"
)</f>
        <v>Medium Risk</v>
      </c>
      <c r="Q387" s="5"/>
      <c r="R387" s="5"/>
      <c r="S387" s="5"/>
      <c r="T387" s="5"/>
      <c r="U387" s="5"/>
      <c r="V387" s="5"/>
      <c r="W387" s="5"/>
      <c r="X387" s="5"/>
      <c r="Y387" s="5"/>
    </row>
    <row r="388" spans="1:25" ht="15.75" customHeight="1" x14ac:dyDescent="0.25">
      <c r="A388" s="2">
        <v>44117</v>
      </c>
      <c r="B388" s="3">
        <v>38749</v>
      </c>
      <c r="C388" s="4" t="s">
        <v>25</v>
      </c>
      <c r="D388" s="4" t="str">
        <f t="shared" si="8"/>
        <v>Sales</v>
      </c>
      <c r="E388" s="4" t="str">
        <f t="shared" si="9"/>
        <v>Manager</v>
      </c>
      <c r="F388" s="13">
        <v>753</v>
      </c>
      <c r="G388" s="13">
        <v>5</v>
      </c>
      <c r="H388" s="13">
        <v>6</v>
      </c>
      <c r="I388" s="2">
        <v>30274</v>
      </c>
      <c r="J388" s="15">
        <v>817329</v>
      </c>
      <c r="K388" s="4" t="s">
        <v>18</v>
      </c>
      <c r="L388" s="27">
        <f t="shared" si="10"/>
        <v>1982</v>
      </c>
      <c r="M388" s="27">
        <f t="shared" si="11"/>
        <v>10</v>
      </c>
      <c r="N388" s="27">
        <f t="shared" ca="1" si="14"/>
        <v>44</v>
      </c>
      <c r="O388" s="27" t="str" cm="1">
        <f t="array" ref="O388">_xlfn.IFS($F388&gt;=750,"Excellent",$F388&gt;=700,"Good",$F388&gt;=650,"Moderate",
$F388&lt;650,"Risky"
)</f>
        <v>Excellent</v>
      </c>
      <c r="P388" s="27" t="str" cm="1">
        <f t="array" ref="P388">_xlfn.IFS(
AND(F388&gt;=750,H388&lt;=2),"Low Risk",
AND(F388&gt;=700,H388&lt;=5),"Medium Risk",
TRUE,"High Risk"
)</f>
        <v>High Risk</v>
      </c>
      <c r="Q388" s="5"/>
      <c r="R388" s="5"/>
      <c r="S388" s="5"/>
      <c r="T388" s="5"/>
      <c r="U388" s="5"/>
      <c r="V388" s="5"/>
      <c r="W388" s="5"/>
      <c r="X388" s="5"/>
      <c r="Y388" s="5"/>
    </row>
    <row r="389" spans="1:25" ht="15.75" customHeight="1" x14ac:dyDescent="0.25">
      <c r="A389" s="2">
        <v>43866</v>
      </c>
      <c r="B389" s="3">
        <v>48754</v>
      </c>
      <c r="C389" s="4" t="s">
        <v>31</v>
      </c>
      <c r="D389" s="4" t="str">
        <f t="shared" si="8"/>
        <v>Finance</v>
      </c>
      <c r="E389" s="4" t="str">
        <f t="shared" si="9"/>
        <v>Intern</v>
      </c>
      <c r="F389" s="13">
        <v>744</v>
      </c>
      <c r="G389" s="13">
        <v>3</v>
      </c>
      <c r="H389" s="13">
        <v>2</v>
      </c>
      <c r="I389" s="2">
        <v>30887</v>
      </c>
      <c r="J389" s="15">
        <v>833335</v>
      </c>
      <c r="K389" s="4" t="s">
        <v>21</v>
      </c>
      <c r="L389" s="27">
        <f t="shared" si="10"/>
        <v>1984</v>
      </c>
      <c r="M389" s="27">
        <f t="shared" si="11"/>
        <v>2</v>
      </c>
      <c r="N389" s="27">
        <f t="shared" ca="1" si="14"/>
        <v>42</v>
      </c>
      <c r="O389" s="27" t="str" cm="1">
        <f t="array" ref="O389">_xlfn.IFS($F389&gt;=750,"Excellent",$F389&gt;=700,"Good",$F389&gt;=650,"Moderate",
$F389&lt;650,"Risky"
)</f>
        <v>Good</v>
      </c>
      <c r="P389" s="27" t="str" cm="1">
        <f t="array" ref="P389">_xlfn.IFS(
AND(F389&gt;=750,H389&lt;=2),"Low Risk",
AND(F389&gt;=700,H389&lt;=5),"Medium Risk",
TRUE,"High Risk"
)</f>
        <v>Medium Risk</v>
      </c>
      <c r="Q389" s="5"/>
      <c r="R389" s="5"/>
      <c r="S389" s="5"/>
      <c r="T389" s="5"/>
      <c r="U389" s="5"/>
      <c r="V389" s="5"/>
      <c r="W389" s="5"/>
      <c r="X389" s="5"/>
      <c r="Y389" s="5"/>
    </row>
    <row r="390" spans="1:25" ht="15.75" customHeight="1" x14ac:dyDescent="0.25">
      <c r="A390" s="2">
        <v>43891</v>
      </c>
      <c r="B390" s="3">
        <v>27621</v>
      </c>
      <c r="C390" s="4" t="s">
        <v>27</v>
      </c>
      <c r="D390" s="4" t="str">
        <f t="shared" si="8"/>
        <v>Operation</v>
      </c>
      <c r="E390" s="4" t="str">
        <f t="shared" si="9"/>
        <v>Intern</v>
      </c>
      <c r="F390" s="13">
        <v>777</v>
      </c>
      <c r="G390" s="13">
        <v>3</v>
      </c>
      <c r="H390" s="13">
        <v>5</v>
      </c>
      <c r="I390" s="2">
        <v>32785</v>
      </c>
      <c r="J390" s="15">
        <v>729603</v>
      </c>
      <c r="K390" s="4" t="s">
        <v>18</v>
      </c>
      <c r="L390" s="27">
        <f t="shared" si="10"/>
        <v>1989</v>
      </c>
      <c r="M390" s="27">
        <f t="shared" si="11"/>
        <v>3</v>
      </c>
      <c r="N390" s="27">
        <f t="shared" ca="1" si="14"/>
        <v>37</v>
      </c>
      <c r="O390" s="27" t="str" cm="1">
        <f t="array" ref="O390">_xlfn.IFS($F390&gt;=750,"Excellent",$F390&gt;=700,"Good",$F390&gt;=650,"Moderate",
$F390&lt;650,"Risky"
)</f>
        <v>Excellent</v>
      </c>
      <c r="P390" s="27" t="str" cm="1">
        <f t="array" ref="P390">_xlfn.IFS(
AND(F390&gt;=750,H390&lt;=2),"Low Risk",
AND(F390&gt;=700,H390&lt;=5),"Medium Risk",
TRUE,"High Risk"
)</f>
        <v>Medium Risk</v>
      </c>
      <c r="Q390" s="5"/>
      <c r="R390" s="5"/>
      <c r="S390" s="5"/>
      <c r="T390" s="5"/>
      <c r="U390" s="5"/>
      <c r="V390" s="5"/>
      <c r="W390" s="5"/>
      <c r="X390" s="5"/>
      <c r="Y390" s="5"/>
    </row>
    <row r="391" spans="1:25" ht="15.75" customHeight="1" x14ac:dyDescent="0.25">
      <c r="A391" s="2">
        <v>44142</v>
      </c>
      <c r="B391" s="3">
        <v>32301</v>
      </c>
      <c r="C391" s="4" t="s">
        <v>13</v>
      </c>
      <c r="D391" s="4" t="str">
        <f t="shared" si="8"/>
        <v>Marketing</v>
      </c>
      <c r="E391" s="4" t="str">
        <f t="shared" si="9"/>
        <v>Director</v>
      </c>
      <c r="F391" s="13">
        <v>793</v>
      </c>
      <c r="G391" s="13">
        <v>2</v>
      </c>
      <c r="H391" s="13">
        <v>8</v>
      </c>
      <c r="I391" s="2">
        <v>31287</v>
      </c>
      <c r="J391" s="15">
        <v>619071</v>
      </c>
      <c r="K391" s="4" t="s">
        <v>14</v>
      </c>
      <c r="L391" s="27">
        <f t="shared" si="10"/>
        <v>1985</v>
      </c>
      <c r="M391" s="27">
        <f t="shared" si="11"/>
        <v>11</v>
      </c>
      <c r="N391" s="27">
        <f t="shared" ca="1" si="14"/>
        <v>41</v>
      </c>
      <c r="O391" s="27" t="str" cm="1">
        <f t="array" ref="O391">_xlfn.IFS($F391&gt;=750,"Excellent",$F391&gt;=700,"Good",$F391&gt;=650,"Moderate",
$F391&lt;650,"Risky"
)</f>
        <v>Excellent</v>
      </c>
      <c r="P391" s="27" t="str" cm="1">
        <f t="array" ref="P391">_xlfn.IFS(
AND(F391&gt;=750,H391&lt;=2),"Low Risk",
AND(F391&gt;=700,H391&lt;=5),"Medium Risk",
TRUE,"High Risk"
)</f>
        <v>High Risk</v>
      </c>
      <c r="Q391" s="5"/>
      <c r="R391" s="5"/>
      <c r="S391" s="5"/>
      <c r="T391" s="5"/>
      <c r="U391" s="5"/>
      <c r="V391" s="5"/>
      <c r="W391" s="5"/>
      <c r="X391" s="5"/>
      <c r="Y391" s="5"/>
    </row>
    <row r="392" spans="1:25" ht="15.75" customHeight="1" x14ac:dyDescent="0.25">
      <c r="A392" s="2">
        <v>44122</v>
      </c>
      <c r="B392" s="3">
        <v>17302</v>
      </c>
      <c r="C392" s="4" t="s">
        <v>24</v>
      </c>
      <c r="D392" s="4" t="str">
        <f t="shared" si="8"/>
        <v>Strategy</v>
      </c>
      <c r="E392" s="4" t="str">
        <f t="shared" si="9"/>
        <v>Intern</v>
      </c>
      <c r="F392" s="13">
        <v>702</v>
      </c>
      <c r="G392" s="13">
        <v>4</v>
      </c>
      <c r="H392" s="13">
        <v>7</v>
      </c>
      <c r="I392" s="2">
        <v>33746</v>
      </c>
      <c r="J392" s="15">
        <v>508208</v>
      </c>
      <c r="K392" s="4" t="s">
        <v>18</v>
      </c>
      <c r="L392" s="27">
        <f t="shared" si="10"/>
        <v>1992</v>
      </c>
      <c r="M392" s="27">
        <f t="shared" si="11"/>
        <v>10</v>
      </c>
      <c r="N392" s="27">
        <f t="shared" ca="1" si="14"/>
        <v>34</v>
      </c>
      <c r="O392" s="27" t="str" cm="1">
        <f t="array" ref="O392">_xlfn.IFS($F392&gt;=750,"Excellent",$F392&gt;=700,"Good",$F392&gt;=650,"Moderate",
$F392&lt;650,"Risky"
)</f>
        <v>Good</v>
      </c>
      <c r="P392" s="27" t="str" cm="1">
        <f t="array" ref="P392">_xlfn.IFS(
AND(F392&gt;=750,H392&lt;=2),"Low Risk",
AND(F392&gt;=700,H392&lt;=5),"Medium Risk",
TRUE,"High Risk"
)</f>
        <v>High Risk</v>
      </c>
      <c r="Q392" s="5"/>
      <c r="R392" s="5"/>
      <c r="S392" s="5"/>
      <c r="T392" s="5"/>
      <c r="U392" s="5"/>
      <c r="V392" s="5"/>
      <c r="W392" s="5"/>
      <c r="X392" s="5"/>
      <c r="Y392" s="5"/>
    </row>
    <row r="393" spans="1:25" ht="15.75" customHeight="1" x14ac:dyDescent="0.25">
      <c r="A393" s="2">
        <v>43908</v>
      </c>
      <c r="B393" s="3">
        <v>28539</v>
      </c>
      <c r="C393" s="4" t="s">
        <v>27</v>
      </c>
      <c r="D393" s="4" t="str">
        <f t="shared" si="8"/>
        <v>Operation</v>
      </c>
      <c r="E393" s="4" t="str">
        <f t="shared" si="9"/>
        <v>Intern</v>
      </c>
      <c r="F393" s="13">
        <v>744</v>
      </c>
      <c r="G393" s="13">
        <v>4</v>
      </c>
      <c r="H393" s="13">
        <v>3</v>
      </c>
      <c r="I393" s="2">
        <v>30801</v>
      </c>
      <c r="J393" s="15">
        <v>699440</v>
      </c>
      <c r="K393" s="4" t="s">
        <v>18</v>
      </c>
      <c r="L393" s="27">
        <f t="shared" si="10"/>
        <v>1984</v>
      </c>
      <c r="M393" s="27">
        <f t="shared" si="11"/>
        <v>3</v>
      </c>
      <c r="N393" s="27">
        <f t="shared" ca="1" si="14"/>
        <v>42</v>
      </c>
      <c r="O393" s="27" t="str" cm="1">
        <f t="array" ref="O393">_xlfn.IFS($F393&gt;=750,"Excellent",$F393&gt;=700,"Good",$F393&gt;=650,"Moderate",
$F393&lt;650,"Risky"
)</f>
        <v>Good</v>
      </c>
      <c r="P393" s="27" t="str" cm="1">
        <f t="array" ref="P393">_xlfn.IFS(
AND(F393&gt;=750,H393&lt;=2),"Low Risk",
AND(F393&gt;=700,H393&lt;=5),"Medium Risk",
TRUE,"High Risk"
)</f>
        <v>Medium Risk</v>
      </c>
      <c r="Q393" s="5"/>
      <c r="R393" s="5"/>
      <c r="S393" s="5"/>
      <c r="T393" s="5"/>
      <c r="U393" s="5"/>
      <c r="V393" s="5"/>
      <c r="W393" s="5"/>
      <c r="X393" s="5"/>
      <c r="Y393" s="5"/>
    </row>
    <row r="394" spans="1:25" ht="15.75" customHeight="1" x14ac:dyDescent="0.25">
      <c r="A394" s="2">
        <v>44104</v>
      </c>
      <c r="B394" s="3">
        <v>57914</v>
      </c>
      <c r="C394" s="4" t="s">
        <v>19</v>
      </c>
      <c r="D394" s="4" t="str">
        <f t="shared" si="8"/>
        <v>Marketing</v>
      </c>
      <c r="E394" s="4" t="str">
        <f t="shared" si="9"/>
        <v>Manager</v>
      </c>
      <c r="F394" s="13">
        <v>800</v>
      </c>
      <c r="G394" s="13">
        <v>5</v>
      </c>
      <c r="H394" s="13">
        <v>8</v>
      </c>
      <c r="I394" s="2">
        <v>32919</v>
      </c>
      <c r="J394" s="15">
        <v>943489</v>
      </c>
      <c r="K394" s="4" t="s">
        <v>14</v>
      </c>
      <c r="L394" s="27">
        <f t="shared" si="10"/>
        <v>1990</v>
      </c>
      <c r="M394" s="27">
        <f t="shared" si="11"/>
        <v>9</v>
      </c>
      <c r="N394" s="27">
        <f t="shared" ca="1" si="14"/>
        <v>36</v>
      </c>
      <c r="O394" s="27" t="str" cm="1">
        <f t="array" ref="O394">_xlfn.IFS($F394&gt;=750,"Excellent",$F394&gt;=700,"Good",$F394&gt;=650,"Moderate",
$F394&lt;650,"Risky"
)</f>
        <v>Excellent</v>
      </c>
      <c r="P394" s="27" t="str" cm="1">
        <f t="array" ref="P394">_xlfn.IFS(
AND(F394&gt;=750,H394&lt;=2),"Low Risk",
AND(F394&gt;=700,H394&lt;=5),"Medium Risk",
TRUE,"High Risk"
)</f>
        <v>High Risk</v>
      </c>
      <c r="Q394" s="5"/>
      <c r="R394" s="5"/>
      <c r="S394" s="5"/>
      <c r="T394" s="5"/>
      <c r="U394" s="5"/>
      <c r="V394" s="5"/>
      <c r="W394" s="5"/>
      <c r="X394" s="5"/>
      <c r="Y394" s="5"/>
    </row>
    <row r="395" spans="1:25" ht="15.75" customHeight="1" x14ac:dyDescent="0.25">
      <c r="A395" s="2">
        <v>44098</v>
      </c>
      <c r="B395" s="3">
        <v>77453</v>
      </c>
      <c r="C395" s="4" t="s">
        <v>30</v>
      </c>
      <c r="D395" s="4" t="str">
        <f t="shared" si="8"/>
        <v>Operation</v>
      </c>
      <c r="E395" s="4" t="str">
        <f t="shared" si="9"/>
        <v>Director</v>
      </c>
      <c r="F395" s="13">
        <v>708</v>
      </c>
      <c r="G395" s="13">
        <v>4</v>
      </c>
      <c r="H395" s="13">
        <v>6</v>
      </c>
      <c r="I395" s="2">
        <v>33112</v>
      </c>
      <c r="J395" s="15">
        <v>651534</v>
      </c>
      <c r="K395" s="4" t="s">
        <v>14</v>
      </c>
      <c r="L395" s="27">
        <f t="shared" si="10"/>
        <v>1990</v>
      </c>
      <c r="M395" s="27">
        <f t="shared" si="11"/>
        <v>9</v>
      </c>
      <c r="N395" s="27">
        <f t="shared" ca="1" si="14"/>
        <v>36</v>
      </c>
      <c r="O395" s="27" t="str" cm="1">
        <f t="array" ref="O395">_xlfn.IFS($F395&gt;=750,"Excellent",$F395&gt;=700,"Good",$F395&gt;=650,"Moderate",
$F395&lt;650,"Risky"
)</f>
        <v>Good</v>
      </c>
      <c r="P395" s="27" t="str" cm="1">
        <f t="array" ref="P395">_xlfn.IFS(
AND(F395&gt;=750,H395&lt;=2),"Low Risk",
AND(F395&gt;=700,H395&lt;=5),"Medium Risk",
TRUE,"High Risk"
)</f>
        <v>High Risk</v>
      </c>
      <c r="Q395" s="5"/>
      <c r="R395" s="5"/>
      <c r="S395" s="5"/>
      <c r="T395" s="5"/>
      <c r="U395" s="5"/>
      <c r="V395" s="5"/>
      <c r="W395" s="5"/>
      <c r="X395" s="5"/>
      <c r="Y395" s="5"/>
    </row>
    <row r="396" spans="1:25" ht="15.75" customHeight="1" x14ac:dyDescent="0.25">
      <c r="A396" s="2">
        <v>43980</v>
      </c>
      <c r="B396" s="3">
        <v>74686</v>
      </c>
      <c r="C396" s="4" t="s">
        <v>26</v>
      </c>
      <c r="D396" s="4" t="str">
        <f t="shared" si="8"/>
        <v>Strategy</v>
      </c>
      <c r="E396" s="4" t="str">
        <f t="shared" si="9"/>
        <v>Manager</v>
      </c>
      <c r="F396" s="13">
        <v>737</v>
      </c>
      <c r="G396" s="13">
        <v>1</v>
      </c>
      <c r="H396" s="13">
        <v>4</v>
      </c>
      <c r="I396" s="2">
        <v>32122</v>
      </c>
      <c r="J396" s="15">
        <v>559159</v>
      </c>
      <c r="K396" s="4" t="s">
        <v>21</v>
      </c>
      <c r="L396" s="27">
        <f t="shared" si="10"/>
        <v>1987</v>
      </c>
      <c r="M396" s="27">
        <f t="shared" si="11"/>
        <v>5</v>
      </c>
      <c r="N396" s="27">
        <f t="shared" ca="1" si="14"/>
        <v>39</v>
      </c>
      <c r="O396" s="27" t="str" cm="1">
        <f t="array" ref="O396">_xlfn.IFS($F396&gt;=750,"Excellent",$F396&gt;=700,"Good",$F396&gt;=650,"Moderate",
$F396&lt;650,"Risky"
)</f>
        <v>Good</v>
      </c>
      <c r="P396" s="27" t="str" cm="1">
        <f t="array" ref="P396">_xlfn.IFS(
AND(F396&gt;=750,H396&lt;=2),"Low Risk",
AND(F396&gt;=700,H396&lt;=5),"Medium Risk",
TRUE,"High Risk"
)</f>
        <v>Medium Risk</v>
      </c>
      <c r="Q396" s="5"/>
      <c r="R396" s="5"/>
      <c r="S396" s="5"/>
      <c r="T396" s="5"/>
      <c r="U396" s="5"/>
      <c r="V396" s="5"/>
      <c r="W396" s="5"/>
      <c r="X396" s="5"/>
      <c r="Y396" s="5"/>
    </row>
    <row r="397" spans="1:25" ht="15.75" customHeight="1" x14ac:dyDescent="0.25">
      <c r="A397" s="2">
        <v>43875</v>
      </c>
      <c r="B397" s="3">
        <v>33657</v>
      </c>
      <c r="C397" s="4" t="s">
        <v>32</v>
      </c>
      <c r="D397" s="4" t="str">
        <f t="shared" si="8"/>
        <v>Finance</v>
      </c>
      <c r="E397" s="4" t="str">
        <f t="shared" si="9"/>
        <v>Executive</v>
      </c>
      <c r="F397" s="13">
        <v>768</v>
      </c>
      <c r="G397" s="13">
        <v>3</v>
      </c>
      <c r="H397" s="13">
        <v>8</v>
      </c>
      <c r="I397" s="2">
        <v>29967</v>
      </c>
      <c r="J397" s="15">
        <v>833026</v>
      </c>
      <c r="K397" s="4" t="s">
        <v>14</v>
      </c>
      <c r="L397" s="27">
        <f t="shared" si="10"/>
        <v>1982</v>
      </c>
      <c r="M397" s="27">
        <f t="shared" si="11"/>
        <v>2</v>
      </c>
      <c r="N397" s="27">
        <f t="shared" ca="1" si="14"/>
        <v>44</v>
      </c>
      <c r="O397" s="27" t="str" cm="1">
        <f t="array" ref="O397">_xlfn.IFS($F397&gt;=750,"Excellent",$F397&gt;=700,"Good",$F397&gt;=650,"Moderate",
$F397&lt;650,"Risky"
)</f>
        <v>Excellent</v>
      </c>
      <c r="P397" s="27" t="str" cm="1">
        <f t="array" ref="P397">_xlfn.IFS(
AND(F397&gt;=750,H397&lt;=2),"Low Risk",
AND(F397&gt;=700,H397&lt;=5),"Medium Risk",
TRUE,"High Risk"
)</f>
        <v>High Risk</v>
      </c>
      <c r="Q397" s="5"/>
      <c r="R397" s="5"/>
      <c r="S397" s="5"/>
      <c r="T397" s="5"/>
      <c r="U397" s="5"/>
      <c r="V397" s="5"/>
      <c r="W397" s="5"/>
      <c r="X397" s="5"/>
      <c r="Y397" s="5"/>
    </row>
    <row r="398" spans="1:25" ht="15.75" customHeight="1" x14ac:dyDescent="0.25">
      <c r="A398" s="2">
        <v>43975</v>
      </c>
      <c r="B398" s="3">
        <v>94818</v>
      </c>
      <c r="C398" s="4" t="s">
        <v>24</v>
      </c>
      <c r="D398" s="4" t="str">
        <f t="shared" si="8"/>
        <v>Strategy</v>
      </c>
      <c r="E398" s="4" t="str">
        <f t="shared" si="9"/>
        <v>Intern</v>
      </c>
      <c r="F398" s="13">
        <v>766</v>
      </c>
      <c r="G398" s="13">
        <v>3</v>
      </c>
      <c r="H398" s="13">
        <v>3</v>
      </c>
      <c r="I398" s="2">
        <v>33574</v>
      </c>
      <c r="J398" s="15">
        <v>778090</v>
      </c>
      <c r="K398" s="4" t="s">
        <v>18</v>
      </c>
      <c r="L398" s="27">
        <f t="shared" si="10"/>
        <v>1991</v>
      </c>
      <c r="M398" s="27">
        <f t="shared" si="11"/>
        <v>5</v>
      </c>
      <c r="N398" s="27">
        <f t="shared" ca="1" si="14"/>
        <v>35</v>
      </c>
      <c r="O398" s="27" t="str" cm="1">
        <f t="array" ref="O398">_xlfn.IFS($F398&gt;=750,"Excellent",$F398&gt;=700,"Good",$F398&gt;=650,"Moderate",
$F398&lt;650,"Risky"
)</f>
        <v>Excellent</v>
      </c>
      <c r="P398" s="27" t="str" cm="1">
        <f t="array" ref="P398">_xlfn.IFS(
AND(F398&gt;=750,H398&lt;=2),"Low Risk",
AND(F398&gt;=700,H398&lt;=5),"Medium Risk",
TRUE,"High Risk"
)</f>
        <v>Medium Risk</v>
      </c>
      <c r="Q398" s="5"/>
      <c r="R398" s="5"/>
      <c r="S398" s="5"/>
      <c r="T398" s="5"/>
      <c r="U398" s="5"/>
      <c r="V398" s="5"/>
      <c r="W398" s="5"/>
      <c r="X398" s="5"/>
      <c r="Y398" s="5"/>
    </row>
    <row r="399" spans="1:25" ht="15.75" customHeight="1" x14ac:dyDescent="0.25">
      <c r="A399" s="2">
        <v>44042</v>
      </c>
      <c r="B399" s="3">
        <v>33999</v>
      </c>
      <c r="C399" s="4" t="s">
        <v>35</v>
      </c>
      <c r="D399" s="4" t="str">
        <f t="shared" si="8"/>
        <v>Growth</v>
      </c>
      <c r="E399" s="4" t="str">
        <f t="shared" si="9"/>
        <v>Intern</v>
      </c>
      <c r="F399" s="13">
        <v>754</v>
      </c>
      <c r="G399" s="13">
        <v>5</v>
      </c>
      <c r="H399" s="13">
        <v>3</v>
      </c>
      <c r="I399" s="2">
        <v>29481</v>
      </c>
      <c r="J399" s="15">
        <v>946160</v>
      </c>
      <c r="K399" s="4" t="s">
        <v>14</v>
      </c>
      <c r="L399" s="27">
        <f t="shared" si="10"/>
        <v>1980</v>
      </c>
      <c r="M399" s="27">
        <f t="shared" si="11"/>
        <v>7</v>
      </c>
      <c r="N399" s="27">
        <f t="shared" ca="1" si="14"/>
        <v>46</v>
      </c>
      <c r="O399" s="27" t="str" cm="1">
        <f t="array" ref="O399">_xlfn.IFS($F399&gt;=750,"Excellent",$F399&gt;=700,"Good",$F399&gt;=650,"Moderate",
$F399&lt;650,"Risky"
)</f>
        <v>Excellent</v>
      </c>
      <c r="P399" s="27" t="str" cm="1">
        <f t="array" ref="P399">_xlfn.IFS(
AND(F399&gt;=750,H399&lt;=2),"Low Risk",
AND(F399&gt;=700,H399&lt;=5),"Medium Risk",
TRUE,"High Risk"
)</f>
        <v>Medium Risk</v>
      </c>
      <c r="Q399" s="5"/>
      <c r="R399" s="5"/>
      <c r="S399" s="5"/>
      <c r="T399" s="5"/>
      <c r="U399" s="5"/>
      <c r="V399" s="5"/>
      <c r="W399" s="5"/>
      <c r="X399" s="5"/>
      <c r="Y399" s="5"/>
    </row>
    <row r="400" spans="1:25" ht="15.75" customHeight="1" x14ac:dyDescent="0.25">
      <c r="A400" s="2">
        <v>43880</v>
      </c>
      <c r="B400" s="3">
        <v>64183</v>
      </c>
      <c r="C400" s="4" t="s">
        <v>24</v>
      </c>
      <c r="D400" s="4" t="str">
        <f t="shared" si="8"/>
        <v>Strategy</v>
      </c>
      <c r="E400" s="4" t="str">
        <f t="shared" si="9"/>
        <v>Intern</v>
      </c>
      <c r="F400" s="13">
        <v>785</v>
      </c>
      <c r="G400" s="13">
        <v>3</v>
      </c>
      <c r="H400" s="13">
        <v>1</v>
      </c>
      <c r="I400" s="2">
        <v>32637</v>
      </c>
      <c r="J400" s="15">
        <v>959078</v>
      </c>
      <c r="K400" s="4" t="s">
        <v>21</v>
      </c>
      <c r="L400" s="27">
        <f t="shared" si="10"/>
        <v>1989</v>
      </c>
      <c r="M400" s="27">
        <f t="shared" si="11"/>
        <v>2</v>
      </c>
      <c r="N400" s="27">
        <f t="shared" ca="1" si="14"/>
        <v>37</v>
      </c>
      <c r="O400" s="27" t="str" cm="1">
        <f t="array" ref="O400">_xlfn.IFS($F400&gt;=750,"Excellent",$F400&gt;=700,"Good",$F400&gt;=650,"Moderate",
$F400&lt;650,"Risky"
)</f>
        <v>Excellent</v>
      </c>
      <c r="P400" s="27" t="str" cm="1">
        <f t="array" ref="P400">_xlfn.IFS(
AND(F400&gt;=750,H400&lt;=2),"Low Risk",
AND(F400&gt;=700,H400&lt;=5),"Medium Risk",
TRUE,"High Risk"
)</f>
        <v>Low Risk</v>
      </c>
      <c r="Q400" s="5"/>
      <c r="R400" s="5"/>
      <c r="S400" s="5"/>
      <c r="T400" s="5"/>
      <c r="U400" s="5"/>
      <c r="V400" s="5"/>
      <c r="W400" s="5"/>
      <c r="X400" s="5"/>
      <c r="Y400" s="5"/>
    </row>
    <row r="401" spans="1:25" ht="15.75" customHeight="1" x14ac:dyDescent="0.25">
      <c r="A401" s="2">
        <v>44159</v>
      </c>
      <c r="B401" s="3">
        <v>89662</v>
      </c>
      <c r="C401" s="4" t="s">
        <v>13</v>
      </c>
      <c r="D401" s="4" t="str">
        <f t="shared" si="8"/>
        <v>Marketing</v>
      </c>
      <c r="E401" s="4" t="str">
        <f t="shared" si="9"/>
        <v>Director</v>
      </c>
      <c r="F401" s="13">
        <v>772</v>
      </c>
      <c r="G401" s="13">
        <v>2</v>
      </c>
      <c r="H401" s="13">
        <v>2</v>
      </c>
      <c r="I401" s="2">
        <v>33066</v>
      </c>
      <c r="J401" s="15">
        <v>900938</v>
      </c>
      <c r="K401" s="4" t="s">
        <v>21</v>
      </c>
      <c r="L401" s="27">
        <f t="shared" si="10"/>
        <v>1990</v>
      </c>
      <c r="M401" s="27">
        <f t="shared" si="11"/>
        <v>11</v>
      </c>
      <c r="N401" s="27">
        <f t="shared" ca="1" si="14"/>
        <v>36</v>
      </c>
      <c r="O401" s="27" t="str" cm="1">
        <f t="array" ref="O401">_xlfn.IFS($F401&gt;=750,"Excellent",$F401&gt;=700,"Good",$F401&gt;=650,"Moderate",
$F401&lt;650,"Risky"
)</f>
        <v>Excellent</v>
      </c>
      <c r="P401" s="27" t="str" cm="1">
        <f t="array" ref="P401">_xlfn.IFS(
AND(F401&gt;=750,H401&lt;=2),"Low Risk",
AND(F401&gt;=700,H401&lt;=5),"Medium Risk",
TRUE,"High Risk"
)</f>
        <v>Low Risk</v>
      </c>
      <c r="Q401" s="5"/>
      <c r="R401" s="5"/>
      <c r="S401" s="5"/>
      <c r="T401" s="5"/>
      <c r="U401" s="5"/>
      <c r="V401" s="5"/>
      <c r="W401" s="5"/>
      <c r="X401" s="5"/>
      <c r="Y401" s="5"/>
    </row>
    <row r="402" spans="1:25" ht="15.75" customHeight="1" x14ac:dyDescent="0.25">
      <c r="A402" s="2">
        <v>43847</v>
      </c>
      <c r="B402" s="3">
        <v>20135</v>
      </c>
      <c r="C402" s="4" t="s">
        <v>13</v>
      </c>
      <c r="D402" s="4" t="str">
        <f t="shared" si="8"/>
        <v>Marketing</v>
      </c>
      <c r="E402" s="4" t="str">
        <f t="shared" si="9"/>
        <v>Director</v>
      </c>
      <c r="F402" s="13">
        <v>781</v>
      </c>
      <c r="G402" s="13">
        <v>3</v>
      </c>
      <c r="H402" s="13">
        <v>5</v>
      </c>
      <c r="I402" s="2">
        <v>30735</v>
      </c>
      <c r="J402" s="15">
        <v>580050</v>
      </c>
      <c r="K402" s="4" t="s">
        <v>14</v>
      </c>
      <c r="L402" s="27">
        <f t="shared" si="10"/>
        <v>1984</v>
      </c>
      <c r="M402" s="27">
        <f t="shared" si="11"/>
        <v>1</v>
      </c>
      <c r="N402" s="27">
        <f t="shared" ca="1" si="14"/>
        <v>42</v>
      </c>
      <c r="O402" s="27" t="str" cm="1">
        <f t="array" ref="O402">_xlfn.IFS($F402&gt;=750,"Excellent",$F402&gt;=700,"Good",$F402&gt;=650,"Moderate",
$F402&lt;650,"Risky"
)</f>
        <v>Excellent</v>
      </c>
      <c r="P402" s="27" t="str" cm="1">
        <f t="array" ref="P402">_xlfn.IFS(
AND(F402&gt;=750,H402&lt;=2),"Low Risk",
AND(F402&gt;=700,H402&lt;=5),"Medium Risk",
TRUE,"High Risk"
)</f>
        <v>Medium Risk</v>
      </c>
      <c r="Q402" s="5"/>
      <c r="R402" s="5"/>
      <c r="S402" s="5"/>
      <c r="T402" s="5"/>
      <c r="U402" s="5"/>
      <c r="V402" s="5"/>
      <c r="W402" s="5"/>
      <c r="X402" s="5"/>
      <c r="Y402" s="5"/>
    </row>
    <row r="403" spans="1:25" ht="15.75" customHeight="1" x14ac:dyDescent="0.25">
      <c r="A403" s="2">
        <v>43957</v>
      </c>
      <c r="B403" s="3">
        <v>47134</v>
      </c>
      <c r="C403" s="4" t="s">
        <v>32</v>
      </c>
      <c r="D403" s="4" t="str">
        <f t="shared" si="8"/>
        <v>Finance</v>
      </c>
      <c r="E403" s="4" t="str">
        <f t="shared" si="9"/>
        <v>Executive</v>
      </c>
      <c r="F403" s="13">
        <v>713</v>
      </c>
      <c r="G403" s="13">
        <v>4</v>
      </c>
      <c r="H403" s="13">
        <v>3</v>
      </c>
      <c r="I403" s="2">
        <v>31712</v>
      </c>
      <c r="J403" s="15">
        <v>849908</v>
      </c>
      <c r="K403" s="4" t="s">
        <v>21</v>
      </c>
      <c r="L403" s="27">
        <f t="shared" si="10"/>
        <v>1986</v>
      </c>
      <c r="M403" s="27">
        <f t="shared" si="11"/>
        <v>5</v>
      </c>
      <c r="N403" s="27">
        <f t="shared" ca="1" si="14"/>
        <v>40</v>
      </c>
      <c r="O403" s="27" t="str" cm="1">
        <f t="array" ref="O403">_xlfn.IFS($F403&gt;=750,"Excellent",$F403&gt;=700,"Good",$F403&gt;=650,"Moderate",
$F403&lt;650,"Risky"
)</f>
        <v>Good</v>
      </c>
      <c r="P403" s="27" t="str" cm="1">
        <f t="array" ref="P403">_xlfn.IFS(
AND(F403&gt;=750,H403&lt;=2),"Low Risk",
AND(F403&gt;=700,H403&lt;=5),"Medium Risk",
TRUE,"High Risk"
)</f>
        <v>Medium Risk</v>
      </c>
      <c r="Q403" s="5"/>
      <c r="R403" s="5"/>
      <c r="S403" s="5"/>
      <c r="T403" s="5"/>
      <c r="U403" s="5"/>
      <c r="V403" s="5"/>
      <c r="W403" s="5"/>
      <c r="X403" s="5"/>
      <c r="Y403" s="5"/>
    </row>
    <row r="404" spans="1:25" ht="15.75" customHeight="1" x14ac:dyDescent="0.25">
      <c r="A404" s="2">
        <v>43963</v>
      </c>
      <c r="B404" s="3">
        <v>90432</v>
      </c>
      <c r="C404" s="4" t="s">
        <v>20</v>
      </c>
      <c r="D404" s="4" t="str">
        <f t="shared" si="8"/>
        <v>Operation</v>
      </c>
      <c r="E404" s="4" t="str">
        <f t="shared" si="9"/>
        <v>Manager</v>
      </c>
      <c r="F404" s="13">
        <v>769</v>
      </c>
      <c r="G404" s="13">
        <v>2</v>
      </c>
      <c r="H404" s="13">
        <v>6</v>
      </c>
      <c r="I404" s="2">
        <v>33246</v>
      </c>
      <c r="J404" s="15">
        <v>623851</v>
      </c>
      <c r="K404" s="4" t="s">
        <v>21</v>
      </c>
      <c r="L404" s="27">
        <f t="shared" si="10"/>
        <v>1991</v>
      </c>
      <c r="M404" s="27">
        <f t="shared" si="11"/>
        <v>5</v>
      </c>
      <c r="N404" s="27">
        <f t="shared" ca="1" si="14"/>
        <v>35</v>
      </c>
      <c r="O404" s="27" t="str" cm="1">
        <f t="array" ref="O404">_xlfn.IFS($F404&gt;=750,"Excellent",$F404&gt;=700,"Good",$F404&gt;=650,"Moderate",
$F404&lt;650,"Risky"
)</f>
        <v>Excellent</v>
      </c>
      <c r="P404" s="27" t="str" cm="1">
        <f t="array" ref="P404">_xlfn.IFS(
AND(F404&gt;=750,H404&lt;=2),"Low Risk",
AND(F404&gt;=700,H404&lt;=5),"Medium Risk",
TRUE,"High Risk"
)</f>
        <v>High Risk</v>
      </c>
      <c r="Q404" s="5"/>
      <c r="R404" s="5"/>
      <c r="S404" s="5"/>
      <c r="T404" s="5"/>
      <c r="U404" s="5"/>
      <c r="V404" s="5"/>
      <c r="W404" s="5"/>
      <c r="X404" s="5"/>
      <c r="Y404" s="5"/>
    </row>
    <row r="405" spans="1:25" ht="15.75" customHeight="1" x14ac:dyDescent="0.25">
      <c r="A405" s="2">
        <v>44099</v>
      </c>
      <c r="B405" s="3">
        <v>55903</v>
      </c>
      <c r="C405" s="4" t="s">
        <v>19</v>
      </c>
      <c r="D405" s="4" t="str">
        <f t="shared" si="8"/>
        <v>Marketing</v>
      </c>
      <c r="E405" s="4" t="str">
        <f t="shared" si="9"/>
        <v>Manager</v>
      </c>
      <c r="F405" s="13">
        <v>786</v>
      </c>
      <c r="G405" s="13">
        <v>5</v>
      </c>
      <c r="H405" s="13">
        <v>10</v>
      </c>
      <c r="I405" s="2">
        <v>33874</v>
      </c>
      <c r="J405" s="15">
        <v>546819</v>
      </c>
      <c r="K405" s="4" t="s">
        <v>18</v>
      </c>
      <c r="L405" s="27">
        <f t="shared" si="10"/>
        <v>1992</v>
      </c>
      <c r="M405" s="27">
        <f t="shared" si="11"/>
        <v>9</v>
      </c>
      <c r="N405" s="27">
        <f t="shared" ca="1" si="14"/>
        <v>34</v>
      </c>
      <c r="O405" s="27" t="str" cm="1">
        <f t="array" ref="O405">_xlfn.IFS($F405&gt;=750,"Excellent",$F405&gt;=700,"Good",$F405&gt;=650,"Moderate",
$F405&lt;650,"Risky"
)</f>
        <v>Excellent</v>
      </c>
      <c r="P405" s="27" t="str" cm="1">
        <f t="array" ref="P405">_xlfn.IFS(
AND(F405&gt;=750,H405&lt;=2),"Low Risk",
AND(F405&gt;=700,H405&lt;=5),"Medium Risk",
TRUE,"High Risk"
)</f>
        <v>High Risk</v>
      </c>
      <c r="Q405" s="5"/>
      <c r="R405" s="5"/>
      <c r="S405" s="5"/>
      <c r="T405" s="5"/>
      <c r="U405" s="5"/>
      <c r="V405" s="5"/>
      <c r="W405" s="5"/>
      <c r="X405" s="5"/>
      <c r="Y405" s="5"/>
    </row>
    <row r="406" spans="1:25" ht="15.75" customHeight="1" x14ac:dyDescent="0.25">
      <c r="A406" s="2">
        <v>44045</v>
      </c>
      <c r="B406" s="3">
        <v>50413</v>
      </c>
      <c r="C406" s="4" t="s">
        <v>24</v>
      </c>
      <c r="D406" s="4" t="str">
        <f t="shared" si="8"/>
        <v>Strategy</v>
      </c>
      <c r="E406" s="4" t="str">
        <f t="shared" si="9"/>
        <v>Intern</v>
      </c>
      <c r="F406" s="13">
        <v>716</v>
      </c>
      <c r="G406" s="13">
        <v>4</v>
      </c>
      <c r="H406" s="13">
        <v>4</v>
      </c>
      <c r="I406" s="2">
        <v>31584</v>
      </c>
      <c r="J406" s="15">
        <v>776448</v>
      </c>
      <c r="K406" s="4" t="s">
        <v>21</v>
      </c>
      <c r="L406" s="27">
        <f t="shared" si="10"/>
        <v>1986</v>
      </c>
      <c r="M406" s="27">
        <f t="shared" si="11"/>
        <v>8</v>
      </c>
      <c r="N406" s="27">
        <f t="shared" ca="1" si="14"/>
        <v>40</v>
      </c>
      <c r="O406" s="27" t="str" cm="1">
        <f t="array" ref="O406">_xlfn.IFS($F406&gt;=750,"Excellent",$F406&gt;=700,"Good",$F406&gt;=650,"Moderate",
$F406&lt;650,"Risky"
)</f>
        <v>Good</v>
      </c>
      <c r="P406" s="27" t="str" cm="1">
        <f t="array" ref="P406">_xlfn.IFS(
AND(F406&gt;=750,H406&lt;=2),"Low Risk",
AND(F406&gt;=700,H406&lt;=5),"Medium Risk",
TRUE,"High Risk"
)</f>
        <v>Medium Risk</v>
      </c>
      <c r="Q406" s="5"/>
      <c r="R406" s="5"/>
      <c r="S406" s="5"/>
      <c r="T406" s="5"/>
      <c r="U406" s="5"/>
      <c r="V406" s="5"/>
      <c r="W406" s="5"/>
      <c r="X406" s="5"/>
      <c r="Y406" s="5"/>
    </row>
    <row r="407" spans="1:25" ht="15.75" customHeight="1" x14ac:dyDescent="0.25">
      <c r="A407" s="2">
        <v>43910</v>
      </c>
      <c r="B407" s="3">
        <v>56610</v>
      </c>
      <c r="C407" s="4" t="s">
        <v>30</v>
      </c>
      <c r="D407" s="4" t="str">
        <f t="shared" si="8"/>
        <v>Operation</v>
      </c>
      <c r="E407" s="4" t="str">
        <f t="shared" si="9"/>
        <v>Director</v>
      </c>
      <c r="F407" s="13">
        <v>777</v>
      </c>
      <c r="G407" s="13">
        <v>4</v>
      </c>
      <c r="H407" s="13">
        <v>9</v>
      </c>
      <c r="I407" s="2">
        <v>33028</v>
      </c>
      <c r="J407" s="15">
        <v>947933</v>
      </c>
      <c r="K407" s="4" t="s">
        <v>14</v>
      </c>
      <c r="L407" s="27">
        <f t="shared" si="10"/>
        <v>1990</v>
      </c>
      <c r="M407" s="27">
        <f t="shared" si="11"/>
        <v>3</v>
      </c>
      <c r="N407" s="27">
        <f t="shared" ca="1" si="14"/>
        <v>36</v>
      </c>
      <c r="O407" s="27" t="str" cm="1">
        <f t="array" ref="O407">_xlfn.IFS($F407&gt;=750,"Excellent",$F407&gt;=700,"Good",$F407&gt;=650,"Moderate",
$F407&lt;650,"Risky"
)</f>
        <v>Excellent</v>
      </c>
      <c r="P407" s="27" t="str" cm="1">
        <f t="array" ref="P407">_xlfn.IFS(
AND(F407&gt;=750,H407&lt;=2),"Low Risk",
AND(F407&gt;=700,H407&lt;=5),"Medium Risk",
TRUE,"High Risk"
)</f>
        <v>High Risk</v>
      </c>
      <c r="Q407" s="5"/>
      <c r="R407" s="5"/>
      <c r="S407" s="5"/>
      <c r="T407" s="5"/>
      <c r="U407" s="5"/>
      <c r="V407" s="5"/>
      <c r="W407" s="5"/>
      <c r="X407" s="5"/>
      <c r="Y407" s="5"/>
    </row>
    <row r="408" spans="1:25" ht="15.75" customHeight="1" x14ac:dyDescent="0.25">
      <c r="A408" s="2">
        <v>44155</v>
      </c>
      <c r="B408" s="3">
        <v>30871</v>
      </c>
      <c r="C408" s="4" t="s">
        <v>19</v>
      </c>
      <c r="D408" s="4" t="str">
        <f t="shared" si="8"/>
        <v>Marketing</v>
      </c>
      <c r="E408" s="4" t="str">
        <f t="shared" si="9"/>
        <v>Manager</v>
      </c>
      <c r="F408" s="13">
        <v>739</v>
      </c>
      <c r="G408" s="13">
        <v>2</v>
      </c>
      <c r="H408" s="13">
        <v>5</v>
      </c>
      <c r="I408" s="2">
        <v>30341</v>
      </c>
      <c r="J408" s="15">
        <v>809212</v>
      </c>
      <c r="K408" s="4" t="s">
        <v>14</v>
      </c>
      <c r="L408" s="27">
        <f t="shared" si="10"/>
        <v>1983</v>
      </c>
      <c r="M408" s="27">
        <f t="shared" si="11"/>
        <v>11</v>
      </c>
      <c r="N408" s="27">
        <f t="shared" ca="1" si="14"/>
        <v>43</v>
      </c>
      <c r="O408" s="27" t="str" cm="1">
        <f t="array" ref="O408">_xlfn.IFS($F408&gt;=750,"Excellent",$F408&gt;=700,"Good",$F408&gt;=650,"Moderate",
$F408&lt;650,"Risky"
)</f>
        <v>Good</v>
      </c>
      <c r="P408" s="27" t="str" cm="1">
        <f t="array" ref="P408">_xlfn.IFS(
AND(F408&gt;=750,H408&lt;=2),"Low Risk",
AND(F408&gt;=700,H408&lt;=5),"Medium Risk",
TRUE,"High Risk"
)</f>
        <v>Medium Risk</v>
      </c>
      <c r="Q408" s="5"/>
      <c r="R408" s="5"/>
      <c r="S408" s="5"/>
      <c r="T408" s="5"/>
      <c r="U408" s="5"/>
      <c r="V408" s="5"/>
      <c r="W408" s="5"/>
      <c r="X408" s="5"/>
      <c r="Y408" s="5"/>
    </row>
    <row r="409" spans="1:25" ht="15.75" customHeight="1" x14ac:dyDescent="0.25">
      <c r="A409" s="2">
        <v>43922</v>
      </c>
      <c r="B409" s="3">
        <v>79807</v>
      </c>
      <c r="C409" s="4" t="s">
        <v>32</v>
      </c>
      <c r="D409" s="4" t="str">
        <f t="shared" si="8"/>
        <v>Finance</v>
      </c>
      <c r="E409" s="4" t="str">
        <f t="shared" si="9"/>
        <v>Executive</v>
      </c>
      <c r="F409" s="13">
        <v>730</v>
      </c>
      <c r="G409" s="13">
        <v>3</v>
      </c>
      <c r="H409" s="13">
        <v>3</v>
      </c>
      <c r="I409" s="2">
        <v>34684</v>
      </c>
      <c r="J409" s="15">
        <v>933509</v>
      </c>
      <c r="K409" s="4" t="s">
        <v>18</v>
      </c>
      <c r="L409" s="27">
        <f t="shared" si="10"/>
        <v>1994</v>
      </c>
      <c r="M409" s="27">
        <f t="shared" si="11"/>
        <v>4</v>
      </c>
      <c r="N409" s="27">
        <f t="shared" ca="1" si="14"/>
        <v>32</v>
      </c>
      <c r="O409" s="27" t="str" cm="1">
        <f t="array" ref="O409">_xlfn.IFS($F409&gt;=750,"Excellent",$F409&gt;=700,"Good",$F409&gt;=650,"Moderate",
$F409&lt;650,"Risky"
)</f>
        <v>Good</v>
      </c>
      <c r="P409" s="27" t="str" cm="1">
        <f t="array" ref="P409">_xlfn.IFS(
AND(F409&gt;=750,H409&lt;=2),"Low Risk",
AND(F409&gt;=700,H409&lt;=5),"Medium Risk",
TRUE,"High Risk"
)</f>
        <v>Medium Risk</v>
      </c>
      <c r="Q409" s="5"/>
      <c r="R409" s="5"/>
      <c r="S409" s="5"/>
      <c r="T409" s="5"/>
      <c r="U409" s="5"/>
      <c r="V409" s="5"/>
      <c r="W409" s="5"/>
      <c r="X409" s="5"/>
      <c r="Y409" s="5"/>
    </row>
    <row r="410" spans="1:25" ht="15.75" customHeight="1" x14ac:dyDescent="0.25">
      <c r="A410" s="2">
        <v>44004</v>
      </c>
      <c r="B410" s="3">
        <v>42630</v>
      </c>
      <c r="C410" s="4" t="s">
        <v>29</v>
      </c>
      <c r="D410" s="4" t="str">
        <f t="shared" si="8"/>
        <v>Sales</v>
      </c>
      <c r="E410" s="4" t="str">
        <f t="shared" si="9"/>
        <v>Director</v>
      </c>
      <c r="F410" s="13">
        <v>733</v>
      </c>
      <c r="G410" s="13">
        <v>1</v>
      </c>
      <c r="H410" s="13">
        <v>1</v>
      </c>
      <c r="I410" s="2">
        <v>32063</v>
      </c>
      <c r="J410" s="15">
        <v>825057</v>
      </c>
      <c r="K410" s="4" t="s">
        <v>21</v>
      </c>
      <c r="L410" s="27">
        <f t="shared" si="10"/>
        <v>1987</v>
      </c>
      <c r="M410" s="27">
        <f t="shared" si="11"/>
        <v>6</v>
      </c>
      <c r="N410" s="27">
        <f t="shared" ca="1" si="14"/>
        <v>39</v>
      </c>
      <c r="O410" s="27" t="str" cm="1">
        <f t="array" ref="O410">_xlfn.IFS($F410&gt;=750,"Excellent",$F410&gt;=700,"Good",$F410&gt;=650,"Moderate",
$F410&lt;650,"Risky"
)</f>
        <v>Good</v>
      </c>
      <c r="P410" s="27" t="str" cm="1">
        <f t="array" ref="P410">_xlfn.IFS(
AND(F410&gt;=750,H410&lt;=2),"Low Risk",
AND(F410&gt;=700,H410&lt;=5),"Medium Risk",
TRUE,"High Risk"
)</f>
        <v>Medium Risk</v>
      </c>
      <c r="Q410" s="5"/>
      <c r="R410" s="5"/>
      <c r="S410" s="5"/>
      <c r="T410" s="5"/>
      <c r="U410" s="5"/>
      <c r="V410" s="5"/>
      <c r="W410" s="5"/>
      <c r="X410" s="5"/>
      <c r="Y410" s="5"/>
    </row>
    <row r="411" spans="1:25" ht="15.75" customHeight="1" x14ac:dyDescent="0.25">
      <c r="A411" s="2">
        <v>44168</v>
      </c>
      <c r="B411" s="3">
        <v>22737</v>
      </c>
      <c r="C411" s="4" t="s">
        <v>16</v>
      </c>
      <c r="D411" s="4" t="str">
        <f t="shared" si="8"/>
        <v>Marketing</v>
      </c>
      <c r="E411" s="4" t="str">
        <f t="shared" si="9"/>
        <v>Executive</v>
      </c>
      <c r="F411" s="13">
        <v>754</v>
      </c>
      <c r="G411" s="13">
        <v>1</v>
      </c>
      <c r="H411" s="13">
        <v>9</v>
      </c>
      <c r="I411" s="2">
        <v>31429</v>
      </c>
      <c r="J411" s="15">
        <v>842137</v>
      </c>
      <c r="K411" s="4" t="s">
        <v>18</v>
      </c>
      <c r="L411" s="27">
        <f t="shared" si="10"/>
        <v>1986</v>
      </c>
      <c r="M411" s="27">
        <f t="shared" si="11"/>
        <v>12</v>
      </c>
      <c r="N411" s="27">
        <f t="shared" ca="1" si="14"/>
        <v>40</v>
      </c>
      <c r="O411" s="27" t="str" cm="1">
        <f t="array" ref="O411">_xlfn.IFS($F411&gt;=750,"Excellent",$F411&gt;=700,"Good",$F411&gt;=650,"Moderate",
$F411&lt;650,"Risky"
)</f>
        <v>Excellent</v>
      </c>
      <c r="P411" s="27" t="str" cm="1">
        <f t="array" ref="P411">_xlfn.IFS(
AND(F411&gt;=750,H411&lt;=2),"Low Risk",
AND(F411&gt;=700,H411&lt;=5),"Medium Risk",
TRUE,"High Risk"
)</f>
        <v>High Risk</v>
      </c>
      <c r="Q411" s="5"/>
      <c r="R411" s="5"/>
      <c r="S411" s="5"/>
      <c r="T411" s="5"/>
      <c r="U411" s="5"/>
      <c r="V411" s="5"/>
      <c r="W411" s="5"/>
      <c r="X411" s="5"/>
      <c r="Y411" s="5"/>
    </row>
    <row r="412" spans="1:25" ht="15.75" customHeight="1" x14ac:dyDescent="0.25">
      <c r="A412" s="2">
        <v>44101</v>
      </c>
      <c r="B412" s="3">
        <v>75329</v>
      </c>
      <c r="C412" s="4" t="s">
        <v>37</v>
      </c>
      <c r="D412" s="4" t="str">
        <f t="shared" si="8"/>
        <v>Strategy</v>
      </c>
      <c r="E412" s="4" t="str">
        <f t="shared" si="9"/>
        <v>Director</v>
      </c>
      <c r="F412" s="13">
        <v>718</v>
      </c>
      <c r="G412" s="13">
        <v>4</v>
      </c>
      <c r="H412" s="13">
        <v>6</v>
      </c>
      <c r="I412" s="2">
        <v>32097</v>
      </c>
      <c r="J412" s="15">
        <v>742707</v>
      </c>
      <c r="K412" s="4" t="s">
        <v>18</v>
      </c>
      <c r="L412" s="27">
        <f t="shared" si="10"/>
        <v>1987</v>
      </c>
      <c r="M412" s="27">
        <f t="shared" si="11"/>
        <v>9</v>
      </c>
      <c r="N412" s="27">
        <f t="shared" ca="1" si="14"/>
        <v>39</v>
      </c>
      <c r="O412" s="27" t="str" cm="1">
        <f t="array" ref="O412">_xlfn.IFS($F412&gt;=750,"Excellent",$F412&gt;=700,"Good",$F412&gt;=650,"Moderate",
$F412&lt;650,"Risky"
)</f>
        <v>Good</v>
      </c>
      <c r="P412" s="27" t="str" cm="1">
        <f t="array" ref="P412">_xlfn.IFS(
AND(F412&gt;=750,H412&lt;=2),"Low Risk",
AND(F412&gt;=700,H412&lt;=5),"Medium Risk",
TRUE,"High Risk"
)</f>
        <v>High Risk</v>
      </c>
      <c r="Q412" s="5"/>
      <c r="R412" s="5"/>
      <c r="S412" s="5"/>
      <c r="T412" s="5"/>
      <c r="U412" s="5"/>
      <c r="V412" s="5"/>
      <c r="W412" s="5"/>
      <c r="X412" s="5"/>
      <c r="Y412" s="5"/>
    </row>
    <row r="413" spans="1:25" ht="15.75" customHeight="1" x14ac:dyDescent="0.25">
      <c r="A413" s="2">
        <v>44067</v>
      </c>
      <c r="B413" s="3">
        <v>57770</v>
      </c>
      <c r="C413" s="4" t="s">
        <v>27</v>
      </c>
      <c r="D413" s="4" t="str">
        <f t="shared" si="8"/>
        <v>Operation</v>
      </c>
      <c r="E413" s="4" t="str">
        <f t="shared" si="9"/>
        <v>Intern</v>
      </c>
      <c r="F413" s="13">
        <v>785</v>
      </c>
      <c r="G413" s="13">
        <v>3</v>
      </c>
      <c r="H413" s="13">
        <v>4</v>
      </c>
      <c r="I413" s="2">
        <v>33376</v>
      </c>
      <c r="J413" s="15">
        <v>958957</v>
      </c>
      <c r="K413" s="4" t="s">
        <v>18</v>
      </c>
      <c r="L413" s="27">
        <f t="shared" si="10"/>
        <v>1991</v>
      </c>
      <c r="M413" s="27">
        <f t="shared" si="11"/>
        <v>8</v>
      </c>
      <c r="N413" s="27">
        <f t="shared" ca="1" si="14"/>
        <v>35</v>
      </c>
      <c r="O413" s="27" t="str" cm="1">
        <f t="array" ref="O413">_xlfn.IFS($F413&gt;=750,"Excellent",$F413&gt;=700,"Good",$F413&gt;=650,"Moderate",
$F413&lt;650,"Risky"
)</f>
        <v>Excellent</v>
      </c>
      <c r="P413" s="27" t="str" cm="1">
        <f t="array" ref="P413">_xlfn.IFS(
AND(F413&gt;=750,H413&lt;=2),"Low Risk",
AND(F413&gt;=700,H413&lt;=5),"Medium Risk",
TRUE,"High Risk"
)</f>
        <v>Medium Risk</v>
      </c>
      <c r="Q413" s="5"/>
      <c r="R413" s="5"/>
      <c r="S413" s="5"/>
      <c r="T413" s="5"/>
      <c r="U413" s="5"/>
      <c r="V413" s="5"/>
      <c r="W413" s="5"/>
      <c r="X413" s="5"/>
      <c r="Y413" s="5"/>
    </row>
    <row r="414" spans="1:25" ht="15.75" customHeight="1" x14ac:dyDescent="0.25">
      <c r="A414" s="2">
        <v>44163</v>
      </c>
      <c r="B414" s="3">
        <v>13345</v>
      </c>
      <c r="C414" s="4" t="s">
        <v>15</v>
      </c>
      <c r="D414" s="4" t="str">
        <f t="shared" si="8"/>
        <v>Operation</v>
      </c>
      <c r="E414" s="4" t="str">
        <f t="shared" si="9"/>
        <v>Executive</v>
      </c>
      <c r="F414" s="13">
        <v>717</v>
      </c>
      <c r="G414" s="13">
        <v>1</v>
      </c>
      <c r="H414" s="13">
        <v>1</v>
      </c>
      <c r="I414" s="2">
        <v>31400</v>
      </c>
      <c r="J414" s="15">
        <v>823067</v>
      </c>
      <c r="K414" s="4" t="s">
        <v>14</v>
      </c>
      <c r="L414" s="27">
        <f t="shared" si="10"/>
        <v>1985</v>
      </c>
      <c r="M414" s="27">
        <f t="shared" si="11"/>
        <v>11</v>
      </c>
      <c r="N414" s="27">
        <f t="shared" ca="1" si="14"/>
        <v>41</v>
      </c>
      <c r="O414" s="27" t="str" cm="1">
        <f t="array" ref="O414">_xlfn.IFS($F414&gt;=750,"Excellent",$F414&gt;=700,"Good",$F414&gt;=650,"Moderate",
$F414&lt;650,"Risky"
)</f>
        <v>Good</v>
      </c>
      <c r="P414" s="27" t="str" cm="1">
        <f t="array" ref="P414">_xlfn.IFS(
AND(F414&gt;=750,H414&lt;=2),"Low Risk",
AND(F414&gt;=700,H414&lt;=5),"Medium Risk",
TRUE,"High Risk"
)</f>
        <v>Medium Risk</v>
      </c>
      <c r="Q414" s="5"/>
      <c r="R414" s="5"/>
      <c r="S414" s="5"/>
      <c r="T414" s="5"/>
      <c r="U414" s="5"/>
      <c r="V414" s="5"/>
      <c r="W414" s="5"/>
      <c r="X414" s="5"/>
      <c r="Y414" s="5"/>
    </row>
    <row r="415" spans="1:25" ht="15.75" customHeight="1" x14ac:dyDescent="0.25">
      <c r="A415" s="2">
        <v>44076</v>
      </c>
      <c r="B415" s="3">
        <v>17962</v>
      </c>
      <c r="C415" s="4" t="s">
        <v>36</v>
      </c>
      <c r="D415" s="4" t="str">
        <f t="shared" si="8"/>
        <v>Sales</v>
      </c>
      <c r="E415" s="4" t="str">
        <f t="shared" si="9"/>
        <v>Intern</v>
      </c>
      <c r="F415" s="13">
        <v>742</v>
      </c>
      <c r="G415" s="13">
        <v>2</v>
      </c>
      <c r="H415" s="13">
        <v>2</v>
      </c>
      <c r="I415" s="2">
        <v>32213</v>
      </c>
      <c r="J415" s="15">
        <v>888310</v>
      </c>
      <c r="K415" s="4" t="s">
        <v>18</v>
      </c>
      <c r="L415" s="27">
        <f t="shared" si="10"/>
        <v>1988</v>
      </c>
      <c r="M415" s="27">
        <f t="shared" si="11"/>
        <v>9</v>
      </c>
      <c r="N415" s="27">
        <f t="shared" ca="1" si="14"/>
        <v>38</v>
      </c>
      <c r="O415" s="27" t="str" cm="1">
        <f t="array" ref="O415">_xlfn.IFS($F415&gt;=750,"Excellent",$F415&gt;=700,"Good",$F415&gt;=650,"Moderate",
$F415&lt;650,"Risky"
)</f>
        <v>Good</v>
      </c>
      <c r="P415" s="27" t="str" cm="1">
        <f t="array" ref="P415">_xlfn.IFS(
AND(F415&gt;=750,H415&lt;=2),"Low Risk",
AND(F415&gt;=700,H415&lt;=5),"Medium Risk",
TRUE,"High Risk"
)</f>
        <v>Medium Risk</v>
      </c>
      <c r="Q415" s="5"/>
      <c r="R415" s="5"/>
      <c r="S415" s="5"/>
      <c r="T415" s="5"/>
      <c r="U415" s="5"/>
      <c r="V415" s="5"/>
      <c r="W415" s="5"/>
      <c r="X415" s="5"/>
      <c r="Y415" s="5"/>
    </row>
    <row r="416" spans="1:25" ht="15.75" customHeight="1" x14ac:dyDescent="0.25">
      <c r="A416" s="2">
        <v>44008</v>
      </c>
      <c r="B416" s="3">
        <v>62019</v>
      </c>
      <c r="C416" s="4" t="s">
        <v>39</v>
      </c>
      <c r="D416" s="4" t="str">
        <f t="shared" si="8"/>
        <v>Growth</v>
      </c>
      <c r="E416" s="4" t="str">
        <f t="shared" si="9"/>
        <v>Executive</v>
      </c>
      <c r="F416" s="13">
        <v>773</v>
      </c>
      <c r="G416" s="13">
        <v>2</v>
      </c>
      <c r="H416" s="13">
        <v>1</v>
      </c>
      <c r="I416" s="2">
        <v>32938</v>
      </c>
      <c r="J416" s="15">
        <v>573482</v>
      </c>
      <c r="K416" s="4" t="s">
        <v>21</v>
      </c>
      <c r="L416" s="27">
        <f t="shared" si="10"/>
        <v>1990</v>
      </c>
      <c r="M416" s="27">
        <f t="shared" si="11"/>
        <v>6</v>
      </c>
      <c r="N416" s="27">
        <f t="shared" ca="1" si="14"/>
        <v>36</v>
      </c>
      <c r="O416" s="27" t="str" cm="1">
        <f t="array" ref="O416">_xlfn.IFS($F416&gt;=750,"Excellent",$F416&gt;=700,"Good",$F416&gt;=650,"Moderate",
$F416&lt;650,"Risky"
)</f>
        <v>Excellent</v>
      </c>
      <c r="P416" s="27" t="str" cm="1">
        <f t="array" ref="P416">_xlfn.IFS(
AND(F416&gt;=750,H416&lt;=2),"Low Risk",
AND(F416&gt;=700,H416&lt;=5),"Medium Risk",
TRUE,"High Risk"
)</f>
        <v>Low Risk</v>
      </c>
      <c r="Q416" s="5"/>
      <c r="R416" s="5"/>
      <c r="S416" s="5"/>
      <c r="T416" s="5"/>
      <c r="U416" s="5"/>
      <c r="V416" s="5"/>
      <c r="W416" s="5"/>
      <c r="X416" s="5"/>
      <c r="Y416" s="5"/>
    </row>
    <row r="417" spans="1:25" ht="15.75" customHeight="1" x14ac:dyDescent="0.25">
      <c r="A417" s="2">
        <v>43996</v>
      </c>
      <c r="B417" s="3">
        <v>63431</v>
      </c>
      <c r="C417" s="4" t="s">
        <v>34</v>
      </c>
      <c r="D417" s="4" t="str">
        <f t="shared" si="8"/>
        <v>Finance</v>
      </c>
      <c r="E417" s="4" t="str">
        <f t="shared" si="9"/>
        <v>Director</v>
      </c>
      <c r="F417" s="13">
        <v>794</v>
      </c>
      <c r="G417" s="13">
        <v>1</v>
      </c>
      <c r="H417" s="13">
        <v>1</v>
      </c>
      <c r="I417" s="2">
        <v>32576</v>
      </c>
      <c r="J417" s="15">
        <v>868482</v>
      </c>
      <c r="K417" s="4" t="s">
        <v>21</v>
      </c>
      <c r="L417" s="27">
        <f t="shared" si="10"/>
        <v>1989</v>
      </c>
      <c r="M417" s="27">
        <f t="shared" si="11"/>
        <v>6</v>
      </c>
      <c r="N417" s="27">
        <f t="shared" ca="1" si="14"/>
        <v>37</v>
      </c>
      <c r="O417" s="27" t="str" cm="1">
        <f t="array" ref="O417">_xlfn.IFS($F417&gt;=750,"Excellent",$F417&gt;=700,"Good",$F417&gt;=650,"Moderate",
$F417&lt;650,"Risky"
)</f>
        <v>Excellent</v>
      </c>
      <c r="P417" s="27" t="str" cm="1">
        <f t="array" ref="P417">_xlfn.IFS(
AND(F417&gt;=750,H417&lt;=2),"Low Risk",
AND(F417&gt;=700,H417&lt;=5),"Medium Risk",
TRUE,"High Risk"
)</f>
        <v>Low Risk</v>
      </c>
      <c r="Q417" s="5"/>
      <c r="R417" s="5"/>
      <c r="S417" s="5"/>
      <c r="T417" s="5"/>
      <c r="U417" s="5"/>
      <c r="V417" s="5"/>
      <c r="W417" s="5"/>
      <c r="X417" s="5"/>
      <c r="Y417" s="5"/>
    </row>
    <row r="418" spans="1:25" ht="15.75" customHeight="1" x14ac:dyDescent="0.25">
      <c r="A418" s="2">
        <v>43848</v>
      </c>
      <c r="B418" s="3">
        <v>87231</v>
      </c>
      <c r="C418" s="4" t="s">
        <v>19</v>
      </c>
      <c r="D418" s="4" t="str">
        <f t="shared" si="8"/>
        <v>Marketing</v>
      </c>
      <c r="E418" s="4" t="str">
        <f t="shared" si="9"/>
        <v>Manager</v>
      </c>
      <c r="F418" s="13">
        <v>733</v>
      </c>
      <c r="G418" s="13">
        <v>3</v>
      </c>
      <c r="H418" s="13">
        <v>1</v>
      </c>
      <c r="I418" s="2">
        <v>32556</v>
      </c>
      <c r="J418" s="15">
        <v>977858</v>
      </c>
      <c r="K418" s="4" t="s">
        <v>21</v>
      </c>
      <c r="L418" s="27">
        <f t="shared" si="10"/>
        <v>1989</v>
      </c>
      <c r="M418" s="27">
        <f t="shared" si="11"/>
        <v>1</v>
      </c>
      <c r="N418" s="27">
        <f t="shared" ca="1" si="14"/>
        <v>37</v>
      </c>
      <c r="O418" s="27" t="str" cm="1">
        <f t="array" ref="O418">_xlfn.IFS($F418&gt;=750,"Excellent",$F418&gt;=700,"Good",$F418&gt;=650,"Moderate",
$F418&lt;650,"Risky"
)</f>
        <v>Good</v>
      </c>
      <c r="P418" s="27" t="str" cm="1">
        <f t="array" ref="P418">_xlfn.IFS(
AND(F418&gt;=750,H418&lt;=2),"Low Risk",
AND(F418&gt;=700,H418&lt;=5),"Medium Risk",
TRUE,"High Risk"
)</f>
        <v>Medium Risk</v>
      </c>
      <c r="Q418" s="5"/>
      <c r="R418" s="5"/>
      <c r="S418" s="5"/>
      <c r="T418" s="5"/>
      <c r="U418" s="5"/>
      <c r="V418" s="5"/>
      <c r="W418" s="5"/>
      <c r="X418" s="5"/>
      <c r="Y418" s="5"/>
    </row>
    <row r="419" spans="1:25" ht="15.75" customHeight="1" x14ac:dyDescent="0.25">
      <c r="A419" s="2">
        <v>43912</v>
      </c>
      <c r="B419" s="3">
        <v>20237</v>
      </c>
      <c r="C419" s="4" t="s">
        <v>20</v>
      </c>
      <c r="D419" s="4" t="str">
        <f t="shared" si="8"/>
        <v>Operation</v>
      </c>
      <c r="E419" s="4" t="str">
        <f t="shared" si="9"/>
        <v>Manager</v>
      </c>
      <c r="F419" s="13">
        <v>709</v>
      </c>
      <c r="G419" s="13">
        <v>3</v>
      </c>
      <c r="H419" s="13">
        <v>6</v>
      </c>
      <c r="I419" s="2">
        <v>34119</v>
      </c>
      <c r="J419" s="15">
        <v>830519</v>
      </c>
      <c r="K419" s="4" t="s">
        <v>21</v>
      </c>
      <c r="L419" s="27">
        <f t="shared" si="10"/>
        <v>1993</v>
      </c>
      <c r="M419" s="27">
        <f t="shared" si="11"/>
        <v>3</v>
      </c>
      <c r="N419" s="27">
        <f t="shared" ca="1" si="14"/>
        <v>33</v>
      </c>
      <c r="O419" s="27" t="str" cm="1">
        <f t="array" ref="O419">_xlfn.IFS($F419&gt;=750,"Excellent",$F419&gt;=700,"Good",$F419&gt;=650,"Moderate",
$F419&lt;650,"Risky"
)</f>
        <v>Good</v>
      </c>
      <c r="P419" s="27" t="str" cm="1">
        <f t="array" ref="P419">_xlfn.IFS(
AND(F419&gt;=750,H419&lt;=2),"Low Risk",
AND(F419&gt;=700,H419&lt;=5),"Medium Risk",
TRUE,"High Risk"
)</f>
        <v>High Risk</v>
      </c>
      <c r="Q419" s="5"/>
      <c r="R419" s="5"/>
      <c r="S419" s="5"/>
      <c r="T419" s="5"/>
      <c r="U419" s="5"/>
      <c r="V419" s="5"/>
      <c r="W419" s="5"/>
      <c r="X419" s="5"/>
      <c r="Y419" s="5"/>
    </row>
    <row r="420" spans="1:25" ht="15.75" customHeight="1" x14ac:dyDescent="0.25">
      <c r="A420" s="2">
        <v>43899</v>
      </c>
      <c r="B420" s="3">
        <v>27286</v>
      </c>
      <c r="C420" s="4" t="s">
        <v>19</v>
      </c>
      <c r="D420" s="4" t="str">
        <f t="shared" si="8"/>
        <v>Marketing</v>
      </c>
      <c r="E420" s="4" t="str">
        <f t="shared" si="9"/>
        <v>Manager</v>
      </c>
      <c r="F420" s="13">
        <v>738</v>
      </c>
      <c r="G420" s="13">
        <v>1</v>
      </c>
      <c r="H420" s="13">
        <v>10</v>
      </c>
      <c r="I420" s="2">
        <v>33190</v>
      </c>
      <c r="J420" s="15">
        <v>621502</v>
      </c>
      <c r="K420" s="4" t="s">
        <v>18</v>
      </c>
      <c r="L420" s="27">
        <f t="shared" si="10"/>
        <v>1990</v>
      </c>
      <c r="M420" s="27">
        <f t="shared" si="11"/>
        <v>3</v>
      </c>
      <c r="N420" s="27">
        <f t="shared" ca="1" si="14"/>
        <v>36</v>
      </c>
      <c r="O420" s="27" t="str" cm="1">
        <f t="array" ref="O420">_xlfn.IFS($F420&gt;=750,"Excellent",$F420&gt;=700,"Good",$F420&gt;=650,"Moderate",
$F420&lt;650,"Risky"
)</f>
        <v>Good</v>
      </c>
      <c r="P420" s="27" t="str" cm="1">
        <f t="array" ref="P420">_xlfn.IFS(
AND(F420&gt;=750,H420&lt;=2),"Low Risk",
AND(F420&gt;=700,H420&lt;=5),"Medium Risk",
TRUE,"High Risk"
)</f>
        <v>High Risk</v>
      </c>
      <c r="Q420" s="5"/>
      <c r="R420" s="5"/>
      <c r="S420" s="5"/>
      <c r="T420" s="5"/>
      <c r="U420" s="5"/>
      <c r="V420" s="5"/>
      <c r="W420" s="5"/>
      <c r="X420" s="5"/>
      <c r="Y420" s="5"/>
    </row>
    <row r="421" spans="1:25" ht="15.75" customHeight="1" x14ac:dyDescent="0.25">
      <c r="A421" s="2">
        <v>43833</v>
      </c>
      <c r="B421" s="3">
        <v>47440</v>
      </c>
      <c r="C421" s="4" t="s">
        <v>38</v>
      </c>
      <c r="D421" s="4" t="str">
        <f t="shared" si="8"/>
        <v>Finance</v>
      </c>
      <c r="E421" s="4" t="str">
        <f t="shared" si="9"/>
        <v>Manager</v>
      </c>
      <c r="F421" s="13">
        <v>759</v>
      </c>
      <c r="G421" s="13">
        <v>3</v>
      </c>
      <c r="H421" s="13">
        <v>2</v>
      </c>
      <c r="I421" s="2">
        <v>30605</v>
      </c>
      <c r="J421" s="15">
        <v>899239</v>
      </c>
      <c r="K421" s="4" t="s">
        <v>21</v>
      </c>
      <c r="L421" s="27">
        <f t="shared" si="10"/>
        <v>1983</v>
      </c>
      <c r="M421" s="27">
        <f t="shared" si="11"/>
        <v>1</v>
      </c>
      <c r="N421" s="27">
        <f t="shared" ca="1" si="14"/>
        <v>43</v>
      </c>
      <c r="O421" s="27" t="str" cm="1">
        <f t="array" ref="O421">_xlfn.IFS($F421&gt;=750,"Excellent",$F421&gt;=700,"Good",$F421&gt;=650,"Moderate",
$F421&lt;650,"Risky"
)</f>
        <v>Excellent</v>
      </c>
      <c r="P421" s="27" t="str" cm="1">
        <f t="array" ref="P421">_xlfn.IFS(
AND(F421&gt;=750,H421&lt;=2),"Low Risk",
AND(F421&gt;=700,H421&lt;=5),"Medium Risk",
TRUE,"High Risk"
)</f>
        <v>Low Risk</v>
      </c>
      <c r="Q421" s="5"/>
      <c r="R421" s="5"/>
      <c r="S421" s="5"/>
      <c r="T421" s="5"/>
      <c r="U421" s="5"/>
      <c r="V421" s="5"/>
      <c r="W421" s="5"/>
      <c r="X421" s="5"/>
      <c r="Y421" s="5"/>
    </row>
    <row r="422" spans="1:25" ht="15.75" customHeight="1" x14ac:dyDescent="0.25">
      <c r="A422" s="2">
        <v>43893</v>
      </c>
      <c r="B422" s="3">
        <v>47835</v>
      </c>
      <c r="C422" s="4" t="s">
        <v>20</v>
      </c>
      <c r="D422" s="4" t="str">
        <f t="shared" si="8"/>
        <v>Operation</v>
      </c>
      <c r="E422" s="4" t="str">
        <f t="shared" si="9"/>
        <v>Manager</v>
      </c>
      <c r="F422" s="13">
        <v>731</v>
      </c>
      <c r="G422" s="13">
        <v>4</v>
      </c>
      <c r="H422" s="13">
        <v>1</v>
      </c>
      <c r="I422" s="2">
        <v>29318</v>
      </c>
      <c r="J422" s="15">
        <v>672073</v>
      </c>
      <c r="K422" s="4" t="s">
        <v>18</v>
      </c>
      <c r="L422" s="27">
        <f t="shared" si="10"/>
        <v>1980</v>
      </c>
      <c r="M422" s="27">
        <f t="shared" si="11"/>
        <v>3</v>
      </c>
      <c r="N422" s="27">
        <f t="shared" ca="1" si="14"/>
        <v>46</v>
      </c>
      <c r="O422" s="27" t="str" cm="1">
        <f t="array" ref="O422">_xlfn.IFS($F422&gt;=750,"Excellent",$F422&gt;=700,"Good",$F422&gt;=650,"Moderate",
$F422&lt;650,"Risky"
)</f>
        <v>Good</v>
      </c>
      <c r="P422" s="27" t="str" cm="1">
        <f t="array" ref="P422">_xlfn.IFS(
AND(F422&gt;=750,H422&lt;=2),"Low Risk",
AND(F422&gt;=700,H422&lt;=5),"Medium Risk",
TRUE,"High Risk"
)</f>
        <v>Medium Risk</v>
      </c>
      <c r="Q422" s="5"/>
      <c r="R422" s="5"/>
      <c r="S422" s="5"/>
      <c r="T422" s="5"/>
      <c r="U422" s="5"/>
      <c r="V422" s="5"/>
      <c r="W422" s="5"/>
      <c r="X422" s="5"/>
      <c r="Y422" s="5"/>
    </row>
    <row r="423" spans="1:25" ht="15.75" customHeight="1" x14ac:dyDescent="0.25">
      <c r="A423" s="2">
        <v>44081</v>
      </c>
      <c r="B423" s="3">
        <v>23501</v>
      </c>
      <c r="C423" s="4" t="s">
        <v>34</v>
      </c>
      <c r="D423" s="4" t="str">
        <f t="shared" si="8"/>
        <v>Finance</v>
      </c>
      <c r="E423" s="4" t="str">
        <f t="shared" si="9"/>
        <v>Director</v>
      </c>
      <c r="F423" s="13">
        <v>704</v>
      </c>
      <c r="G423" s="13">
        <v>2</v>
      </c>
      <c r="H423" s="13">
        <v>9</v>
      </c>
      <c r="I423" s="2">
        <v>33013</v>
      </c>
      <c r="J423" s="15">
        <v>783595</v>
      </c>
      <c r="K423" s="4" t="s">
        <v>14</v>
      </c>
      <c r="L423" s="27">
        <f t="shared" si="10"/>
        <v>1990</v>
      </c>
      <c r="M423" s="27">
        <f t="shared" si="11"/>
        <v>9</v>
      </c>
      <c r="N423" s="27">
        <f t="shared" ca="1" si="14"/>
        <v>36</v>
      </c>
      <c r="O423" s="27" t="str" cm="1">
        <f t="array" ref="O423">_xlfn.IFS($F423&gt;=750,"Excellent",$F423&gt;=700,"Good",$F423&gt;=650,"Moderate",
$F423&lt;650,"Risky"
)</f>
        <v>Good</v>
      </c>
      <c r="P423" s="27" t="str" cm="1">
        <f t="array" ref="P423">_xlfn.IFS(
AND(F423&gt;=750,H423&lt;=2),"Low Risk",
AND(F423&gt;=700,H423&lt;=5),"Medium Risk",
TRUE,"High Risk"
)</f>
        <v>High Risk</v>
      </c>
      <c r="Q423" s="5"/>
      <c r="R423" s="5"/>
      <c r="S423" s="5"/>
      <c r="T423" s="5"/>
      <c r="U423" s="5"/>
      <c r="V423" s="5"/>
      <c r="W423" s="5"/>
      <c r="X423" s="5"/>
      <c r="Y423" s="5"/>
    </row>
    <row r="424" spans="1:25" ht="15.75" customHeight="1" x14ac:dyDescent="0.25">
      <c r="A424" s="2">
        <v>44160</v>
      </c>
      <c r="B424" s="3">
        <v>74406</v>
      </c>
      <c r="C424" s="4" t="s">
        <v>39</v>
      </c>
      <c r="D424" s="4" t="str">
        <f t="shared" si="8"/>
        <v>Growth</v>
      </c>
      <c r="E424" s="4" t="str">
        <f t="shared" si="9"/>
        <v>Executive</v>
      </c>
      <c r="F424" s="13">
        <v>791</v>
      </c>
      <c r="G424" s="13">
        <v>2</v>
      </c>
      <c r="H424" s="13">
        <v>9</v>
      </c>
      <c r="I424" s="2">
        <v>30661</v>
      </c>
      <c r="J424" s="15">
        <v>696234</v>
      </c>
      <c r="K424" s="4" t="s">
        <v>21</v>
      </c>
      <c r="L424" s="27">
        <f t="shared" si="10"/>
        <v>1983</v>
      </c>
      <c r="M424" s="27">
        <f t="shared" si="11"/>
        <v>11</v>
      </c>
      <c r="N424" s="27">
        <f t="shared" ca="1" si="14"/>
        <v>43</v>
      </c>
      <c r="O424" s="27" t="str" cm="1">
        <f t="array" ref="O424">_xlfn.IFS($F424&gt;=750,"Excellent",$F424&gt;=700,"Good",$F424&gt;=650,"Moderate",
$F424&lt;650,"Risky"
)</f>
        <v>Excellent</v>
      </c>
      <c r="P424" s="27" t="str" cm="1">
        <f t="array" ref="P424">_xlfn.IFS(
AND(F424&gt;=750,H424&lt;=2),"Low Risk",
AND(F424&gt;=700,H424&lt;=5),"Medium Risk",
TRUE,"High Risk"
)</f>
        <v>High Risk</v>
      </c>
      <c r="Q424" s="5"/>
      <c r="R424" s="5"/>
      <c r="S424" s="5"/>
      <c r="T424" s="5"/>
      <c r="U424" s="5"/>
      <c r="V424" s="5"/>
      <c r="W424" s="5"/>
      <c r="X424" s="5"/>
      <c r="Y424" s="5"/>
    </row>
    <row r="425" spans="1:25" ht="15.75" customHeight="1" x14ac:dyDescent="0.25">
      <c r="A425" s="2">
        <v>44062</v>
      </c>
      <c r="B425" s="3">
        <v>32850</v>
      </c>
      <c r="C425" s="4" t="s">
        <v>16</v>
      </c>
      <c r="D425" s="4" t="str">
        <f t="shared" si="8"/>
        <v>Marketing</v>
      </c>
      <c r="E425" s="4" t="str">
        <f t="shared" si="9"/>
        <v>Executive</v>
      </c>
      <c r="F425" s="13">
        <v>775</v>
      </c>
      <c r="G425" s="13">
        <v>4</v>
      </c>
      <c r="H425" s="13">
        <v>7</v>
      </c>
      <c r="I425" s="2">
        <v>29675</v>
      </c>
      <c r="J425" s="15">
        <v>593559</v>
      </c>
      <c r="K425" s="4" t="s">
        <v>21</v>
      </c>
      <c r="L425" s="27">
        <f t="shared" si="10"/>
        <v>1981</v>
      </c>
      <c r="M425" s="27">
        <f t="shared" si="11"/>
        <v>8</v>
      </c>
      <c r="N425" s="27">
        <f t="shared" ca="1" si="14"/>
        <v>45</v>
      </c>
      <c r="O425" s="27" t="str" cm="1">
        <f t="array" ref="O425">_xlfn.IFS($F425&gt;=750,"Excellent",$F425&gt;=700,"Good",$F425&gt;=650,"Moderate",
$F425&lt;650,"Risky"
)</f>
        <v>Excellent</v>
      </c>
      <c r="P425" s="27" t="str" cm="1">
        <f t="array" ref="P425">_xlfn.IFS(
AND(F425&gt;=750,H425&lt;=2),"Low Risk",
AND(F425&gt;=700,H425&lt;=5),"Medium Risk",
TRUE,"High Risk"
)</f>
        <v>High Risk</v>
      </c>
      <c r="Q425" s="5"/>
      <c r="R425" s="5"/>
      <c r="S425" s="5"/>
      <c r="T425" s="5"/>
      <c r="U425" s="5"/>
      <c r="V425" s="5"/>
      <c r="W425" s="5"/>
      <c r="X425" s="5"/>
      <c r="Y425" s="5"/>
    </row>
    <row r="426" spans="1:25" ht="15.75" customHeight="1" x14ac:dyDescent="0.25">
      <c r="A426" s="2">
        <v>43999</v>
      </c>
      <c r="B426" s="3">
        <v>81614</v>
      </c>
      <c r="C426" s="4" t="s">
        <v>36</v>
      </c>
      <c r="D426" s="4" t="str">
        <f t="shared" si="8"/>
        <v>Sales</v>
      </c>
      <c r="E426" s="4" t="str">
        <f t="shared" si="9"/>
        <v>Intern</v>
      </c>
      <c r="F426" s="13">
        <v>772</v>
      </c>
      <c r="G426" s="13">
        <v>1</v>
      </c>
      <c r="H426" s="13">
        <v>5</v>
      </c>
      <c r="I426" s="2">
        <v>30018</v>
      </c>
      <c r="J426" s="15">
        <v>908278</v>
      </c>
      <c r="K426" s="4" t="s">
        <v>18</v>
      </c>
      <c r="L426" s="27">
        <f t="shared" si="10"/>
        <v>1982</v>
      </c>
      <c r="M426" s="27">
        <f t="shared" si="11"/>
        <v>6</v>
      </c>
      <c r="N426" s="27">
        <f t="shared" ca="1" si="14"/>
        <v>44</v>
      </c>
      <c r="O426" s="27" t="str" cm="1">
        <f t="array" ref="O426">_xlfn.IFS($F426&gt;=750,"Excellent",$F426&gt;=700,"Good",$F426&gt;=650,"Moderate",
$F426&lt;650,"Risky"
)</f>
        <v>Excellent</v>
      </c>
      <c r="P426" s="27" t="str" cm="1">
        <f t="array" ref="P426">_xlfn.IFS(
AND(F426&gt;=750,H426&lt;=2),"Low Risk",
AND(F426&gt;=700,H426&lt;=5),"Medium Risk",
TRUE,"High Risk"
)</f>
        <v>Medium Risk</v>
      </c>
      <c r="Q426" s="5"/>
      <c r="R426" s="5"/>
      <c r="S426" s="5"/>
      <c r="T426" s="5"/>
      <c r="U426" s="5"/>
      <c r="V426" s="5"/>
      <c r="W426" s="5"/>
      <c r="X426" s="5"/>
      <c r="Y426" s="5"/>
    </row>
    <row r="427" spans="1:25" ht="15.75" customHeight="1" x14ac:dyDescent="0.25">
      <c r="A427" s="2">
        <v>43907</v>
      </c>
      <c r="B427" s="3">
        <v>87248</v>
      </c>
      <c r="C427" s="4" t="s">
        <v>23</v>
      </c>
      <c r="D427" s="4" t="str">
        <f t="shared" si="8"/>
        <v>Marketing</v>
      </c>
      <c r="E427" s="4" t="str">
        <f t="shared" si="9"/>
        <v>Intern</v>
      </c>
      <c r="F427" s="13">
        <v>766</v>
      </c>
      <c r="G427" s="13">
        <v>4</v>
      </c>
      <c r="H427" s="13">
        <v>1</v>
      </c>
      <c r="I427" s="2">
        <v>33326</v>
      </c>
      <c r="J427" s="15">
        <v>907757</v>
      </c>
      <c r="K427" s="4" t="s">
        <v>21</v>
      </c>
      <c r="L427" s="27">
        <f t="shared" si="10"/>
        <v>1991</v>
      </c>
      <c r="M427" s="27">
        <f t="shared" si="11"/>
        <v>3</v>
      </c>
      <c r="N427" s="27">
        <f t="shared" ca="1" si="14"/>
        <v>35</v>
      </c>
      <c r="O427" s="27" t="str" cm="1">
        <f t="array" ref="O427">_xlfn.IFS($F427&gt;=750,"Excellent",$F427&gt;=700,"Good",$F427&gt;=650,"Moderate",
$F427&lt;650,"Risky"
)</f>
        <v>Excellent</v>
      </c>
      <c r="P427" s="27" t="str" cm="1">
        <f t="array" ref="P427">_xlfn.IFS(
AND(F427&gt;=750,H427&lt;=2),"Low Risk",
AND(F427&gt;=700,H427&lt;=5),"Medium Risk",
TRUE,"High Risk"
)</f>
        <v>Low Risk</v>
      </c>
      <c r="Q427" s="5"/>
      <c r="R427" s="5"/>
      <c r="S427" s="5"/>
      <c r="T427" s="5"/>
      <c r="U427" s="5"/>
      <c r="V427" s="5"/>
      <c r="W427" s="5"/>
      <c r="X427" s="5"/>
      <c r="Y427" s="5"/>
    </row>
    <row r="428" spans="1:25" ht="15.75" customHeight="1" x14ac:dyDescent="0.25">
      <c r="A428" s="2">
        <v>44123</v>
      </c>
      <c r="B428" s="3">
        <v>99123</v>
      </c>
      <c r="C428" s="4" t="s">
        <v>29</v>
      </c>
      <c r="D428" s="4" t="str">
        <f t="shared" si="8"/>
        <v>Sales</v>
      </c>
      <c r="E428" s="4" t="str">
        <f t="shared" si="9"/>
        <v>Director</v>
      </c>
      <c r="F428" s="13">
        <v>756</v>
      </c>
      <c r="G428" s="13">
        <v>1</v>
      </c>
      <c r="H428" s="13">
        <v>4</v>
      </c>
      <c r="I428" s="2">
        <v>30133</v>
      </c>
      <c r="J428" s="15">
        <v>681492</v>
      </c>
      <c r="K428" s="4" t="s">
        <v>18</v>
      </c>
      <c r="L428" s="27">
        <f t="shared" si="10"/>
        <v>1982</v>
      </c>
      <c r="M428" s="27">
        <f t="shared" si="11"/>
        <v>10</v>
      </c>
      <c r="N428" s="27">
        <f t="shared" ca="1" si="14"/>
        <v>44</v>
      </c>
      <c r="O428" s="27" t="str" cm="1">
        <f t="array" ref="O428">_xlfn.IFS($F428&gt;=750,"Excellent",$F428&gt;=700,"Good",$F428&gt;=650,"Moderate",
$F428&lt;650,"Risky"
)</f>
        <v>Excellent</v>
      </c>
      <c r="P428" s="27" t="str" cm="1">
        <f t="array" ref="P428">_xlfn.IFS(
AND(F428&gt;=750,H428&lt;=2),"Low Risk",
AND(F428&gt;=700,H428&lt;=5),"Medium Risk",
TRUE,"High Risk"
)</f>
        <v>Medium Risk</v>
      </c>
      <c r="Q428" s="5"/>
      <c r="R428" s="5"/>
      <c r="S428" s="5"/>
      <c r="T428" s="5"/>
      <c r="U428" s="5"/>
      <c r="V428" s="5"/>
      <c r="W428" s="5"/>
      <c r="X428" s="5"/>
      <c r="Y428" s="5"/>
    </row>
    <row r="429" spans="1:25" ht="15.75" customHeight="1" x14ac:dyDescent="0.25">
      <c r="A429" s="2">
        <v>43992</v>
      </c>
      <c r="B429" s="3">
        <v>26238</v>
      </c>
      <c r="C429" s="4" t="s">
        <v>20</v>
      </c>
      <c r="D429" s="4" t="str">
        <f t="shared" si="8"/>
        <v>Operation</v>
      </c>
      <c r="E429" s="4" t="str">
        <f t="shared" si="9"/>
        <v>Manager</v>
      </c>
      <c r="F429" s="13">
        <v>718</v>
      </c>
      <c r="G429" s="13">
        <v>2</v>
      </c>
      <c r="H429" s="13">
        <v>2</v>
      </c>
      <c r="I429" s="2">
        <v>33470</v>
      </c>
      <c r="J429" s="15">
        <v>614109</v>
      </c>
      <c r="K429" s="4" t="s">
        <v>14</v>
      </c>
      <c r="L429" s="27">
        <f t="shared" si="10"/>
        <v>1991</v>
      </c>
      <c r="M429" s="27">
        <f t="shared" si="11"/>
        <v>6</v>
      </c>
      <c r="N429" s="27">
        <f t="shared" ca="1" si="14"/>
        <v>35</v>
      </c>
      <c r="O429" s="27" t="str" cm="1">
        <f t="array" ref="O429">_xlfn.IFS($F429&gt;=750,"Excellent",$F429&gt;=700,"Good",$F429&gt;=650,"Moderate",
$F429&lt;650,"Risky"
)</f>
        <v>Good</v>
      </c>
      <c r="P429" s="27" t="str" cm="1">
        <f t="array" ref="P429">_xlfn.IFS(
AND(F429&gt;=750,H429&lt;=2),"Low Risk",
AND(F429&gt;=700,H429&lt;=5),"Medium Risk",
TRUE,"High Risk"
)</f>
        <v>Medium Risk</v>
      </c>
      <c r="Q429" s="5"/>
      <c r="R429" s="5"/>
      <c r="S429" s="5"/>
      <c r="T429" s="5"/>
      <c r="U429" s="5"/>
      <c r="V429" s="5"/>
      <c r="W429" s="5"/>
      <c r="X429" s="5"/>
      <c r="Y429" s="5"/>
    </row>
    <row r="430" spans="1:25" ht="15.75" customHeight="1" x14ac:dyDescent="0.25">
      <c r="A430" s="2">
        <v>43876</v>
      </c>
      <c r="B430" s="3">
        <v>84986</v>
      </c>
      <c r="C430" s="4" t="s">
        <v>35</v>
      </c>
      <c r="D430" s="4" t="str">
        <f t="shared" si="8"/>
        <v>Growth</v>
      </c>
      <c r="E430" s="4" t="str">
        <f t="shared" si="9"/>
        <v>Intern</v>
      </c>
      <c r="F430" s="13">
        <v>723</v>
      </c>
      <c r="G430" s="13">
        <v>2</v>
      </c>
      <c r="H430" s="13">
        <v>4</v>
      </c>
      <c r="I430" s="2">
        <v>34527</v>
      </c>
      <c r="J430" s="15">
        <v>909370</v>
      </c>
      <c r="K430" s="4" t="s">
        <v>14</v>
      </c>
      <c r="L430" s="27">
        <f t="shared" si="10"/>
        <v>1994</v>
      </c>
      <c r="M430" s="27">
        <f t="shared" si="11"/>
        <v>2</v>
      </c>
      <c r="N430" s="27">
        <f t="shared" ca="1" si="14"/>
        <v>32</v>
      </c>
      <c r="O430" s="27" t="str" cm="1">
        <f t="array" ref="O430">_xlfn.IFS($F430&gt;=750,"Excellent",$F430&gt;=700,"Good",$F430&gt;=650,"Moderate",
$F430&lt;650,"Risky"
)</f>
        <v>Good</v>
      </c>
      <c r="P430" s="27" t="str" cm="1">
        <f t="array" ref="P430">_xlfn.IFS(
AND(F430&gt;=750,H430&lt;=2),"Low Risk",
AND(F430&gt;=700,H430&lt;=5),"Medium Risk",
TRUE,"High Risk"
)</f>
        <v>Medium Risk</v>
      </c>
      <c r="Q430" s="5"/>
      <c r="R430" s="5"/>
      <c r="S430" s="5"/>
      <c r="T430" s="5"/>
      <c r="U430" s="5"/>
      <c r="V430" s="5"/>
      <c r="W430" s="5"/>
      <c r="X430" s="5"/>
      <c r="Y430" s="5"/>
    </row>
    <row r="431" spans="1:25" ht="15.75" customHeight="1" x14ac:dyDescent="0.25">
      <c r="A431" s="2">
        <v>44133</v>
      </c>
      <c r="B431" s="3">
        <v>90759</v>
      </c>
      <c r="C431" s="4" t="s">
        <v>39</v>
      </c>
      <c r="D431" s="4" t="str">
        <f t="shared" si="8"/>
        <v>Growth</v>
      </c>
      <c r="E431" s="4" t="str">
        <f t="shared" si="9"/>
        <v>Executive</v>
      </c>
      <c r="F431" s="13">
        <v>710</v>
      </c>
      <c r="G431" s="13">
        <v>5</v>
      </c>
      <c r="H431" s="13">
        <v>4</v>
      </c>
      <c r="I431" s="2">
        <v>31523</v>
      </c>
      <c r="J431" s="15">
        <v>669471</v>
      </c>
      <c r="K431" s="4" t="s">
        <v>14</v>
      </c>
      <c r="L431" s="27">
        <f t="shared" si="10"/>
        <v>1986</v>
      </c>
      <c r="M431" s="27">
        <f t="shared" si="11"/>
        <v>10</v>
      </c>
      <c r="N431" s="27">
        <f t="shared" ca="1" si="14"/>
        <v>40</v>
      </c>
      <c r="O431" s="27" t="str" cm="1">
        <f t="array" ref="O431">_xlfn.IFS($F431&gt;=750,"Excellent",$F431&gt;=700,"Good",$F431&gt;=650,"Moderate",
$F431&lt;650,"Risky"
)</f>
        <v>Good</v>
      </c>
      <c r="P431" s="27" t="str" cm="1">
        <f t="array" ref="P431">_xlfn.IFS(
AND(F431&gt;=750,H431&lt;=2),"Low Risk",
AND(F431&gt;=700,H431&lt;=5),"Medium Risk",
TRUE,"High Risk"
)</f>
        <v>Medium Risk</v>
      </c>
      <c r="Q431" s="5"/>
      <c r="R431" s="5"/>
      <c r="S431" s="5"/>
      <c r="T431" s="5"/>
      <c r="U431" s="5"/>
      <c r="V431" s="5"/>
      <c r="W431" s="5"/>
      <c r="X431" s="5"/>
      <c r="Y431" s="5"/>
    </row>
    <row r="432" spans="1:25" ht="15.75" customHeight="1" x14ac:dyDescent="0.25">
      <c r="A432" s="2">
        <v>44108</v>
      </c>
      <c r="B432" s="3">
        <v>57440</v>
      </c>
      <c r="C432" s="4" t="s">
        <v>35</v>
      </c>
      <c r="D432" s="4" t="str">
        <f t="shared" si="8"/>
        <v>Growth</v>
      </c>
      <c r="E432" s="4" t="str">
        <f t="shared" si="9"/>
        <v>Intern</v>
      </c>
      <c r="F432" s="13">
        <v>743</v>
      </c>
      <c r="G432" s="13">
        <v>2</v>
      </c>
      <c r="H432" s="13">
        <v>3</v>
      </c>
      <c r="I432" s="2">
        <v>31923</v>
      </c>
      <c r="J432" s="15">
        <v>758121</v>
      </c>
      <c r="K432" s="4" t="s">
        <v>18</v>
      </c>
      <c r="L432" s="27">
        <f t="shared" si="10"/>
        <v>1987</v>
      </c>
      <c r="M432" s="27">
        <f t="shared" si="11"/>
        <v>10</v>
      </c>
      <c r="N432" s="27">
        <f t="shared" ca="1" si="14"/>
        <v>39</v>
      </c>
      <c r="O432" s="27" t="str" cm="1">
        <f t="array" ref="O432">_xlfn.IFS($F432&gt;=750,"Excellent",$F432&gt;=700,"Good",$F432&gt;=650,"Moderate",
$F432&lt;650,"Risky"
)</f>
        <v>Good</v>
      </c>
      <c r="P432" s="27" t="str" cm="1">
        <f t="array" ref="P432">_xlfn.IFS(
AND(F432&gt;=750,H432&lt;=2),"Low Risk",
AND(F432&gt;=700,H432&lt;=5),"Medium Risk",
TRUE,"High Risk"
)</f>
        <v>Medium Risk</v>
      </c>
      <c r="Q432" s="5"/>
      <c r="R432" s="5"/>
      <c r="S432" s="5"/>
      <c r="T432" s="5"/>
      <c r="U432" s="5"/>
      <c r="V432" s="5"/>
      <c r="W432" s="5"/>
      <c r="X432" s="5"/>
      <c r="Y432" s="5"/>
    </row>
    <row r="433" spans="1:25" ht="15.75" customHeight="1" x14ac:dyDescent="0.25">
      <c r="A433" s="2">
        <v>44033</v>
      </c>
      <c r="B433" s="3">
        <v>50601</v>
      </c>
      <c r="C433" s="4" t="s">
        <v>19</v>
      </c>
      <c r="D433" s="4" t="str">
        <f t="shared" si="8"/>
        <v>Marketing</v>
      </c>
      <c r="E433" s="4" t="str">
        <f t="shared" si="9"/>
        <v>Manager</v>
      </c>
      <c r="F433" s="13">
        <v>760</v>
      </c>
      <c r="G433" s="13">
        <v>5</v>
      </c>
      <c r="H433" s="13">
        <v>4</v>
      </c>
      <c r="I433" s="2">
        <v>32144</v>
      </c>
      <c r="J433" s="15">
        <v>601051</v>
      </c>
      <c r="K433" s="4" t="s">
        <v>14</v>
      </c>
      <c r="L433" s="27">
        <f t="shared" si="10"/>
        <v>1988</v>
      </c>
      <c r="M433" s="27">
        <f t="shared" si="11"/>
        <v>7</v>
      </c>
      <c r="N433" s="27">
        <f t="shared" ca="1" si="14"/>
        <v>38</v>
      </c>
      <c r="O433" s="27" t="str" cm="1">
        <f t="array" ref="O433">_xlfn.IFS($F433&gt;=750,"Excellent",$F433&gt;=700,"Good",$F433&gt;=650,"Moderate",
$F433&lt;650,"Risky"
)</f>
        <v>Excellent</v>
      </c>
      <c r="P433" s="27" t="str" cm="1">
        <f t="array" ref="P433">_xlfn.IFS(
AND(F433&gt;=750,H433&lt;=2),"Low Risk",
AND(F433&gt;=700,H433&lt;=5),"Medium Risk",
TRUE,"High Risk"
)</f>
        <v>Medium Risk</v>
      </c>
      <c r="Q433" s="5"/>
      <c r="R433" s="5"/>
      <c r="S433" s="5"/>
      <c r="T433" s="5"/>
      <c r="U433" s="5"/>
      <c r="V433" s="5"/>
      <c r="W433" s="5"/>
      <c r="X433" s="5"/>
      <c r="Y433" s="5"/>
    </row>
    <row r="434" spans="1:25" ht="15.75" customHeight="1" x14ac:dyDescent="0.25">
      <c r="A434" s="2">
        <v>43956</v>
      </c>
      <c r="B434" s="3">
        <v>99068</v>
      </c>
      <c r="C434" s="4" t="s">
        <v>31</v>
      </c>
      <c r="D434" s="4" t="str">
        <f t="shared" si="8"/>
        <v>Finance</v>
      </c>
      <c r="E434" s="4" t="str">
        <f t="shared" si="9"/>
        <v>Intern</v>
      </c>
      <c r="F434" s="13">
        <v>776</v>
      </c>
      <c r="G434" s="13">
        <v>5</v>
      </c>
      <c r="H434" s="13">
        <v>2</v>
      </c>
      <c r="I434" s="2">
        <v>30588</v>
      </c>
      <c r="J434" s="15">
        <v>716266</v>
      </c>
      <c r="K434" s="4" t="s">
        <v>21</v>
      </c>
      <c r="L434" s="27">
        <f t="shared" si="10"/>
        <v>1983</v>
      </c>
      <c r="M434" s="27">
        <f t="shared" si="11"/>
        <v>5</v>
      </c>
      <c r="N434" s="27">
        <f t="shared" ca="1" si="14"/>
        <v>43</v>
      </c>
      <c r="O434" s="27" t="str" cm="1">
        <f t="array" ref="O434">_xlfn.IFS($F434&gt;=750,"Excellent",$F434&gt;=700,"Good",$F434&gt;=650,"Moderate",
$F434&lt;650,"Risky"
)</f>
        <v>Excellent</v>
      </c>
      <c r="P434" s="27" t="str" cm="1">
        <f t="array" ref="P434">_xlfn.IFS(
AND(F434&gt;=750,H434&lt;=2),"Low Risk",
AND(F434&gt;=700,H434&lt;=5),"Medium Risk",
TRUE,"High Risk"
)</f>
        <v>Low Risk</v>
      </c>
      <c r="Q434" s="5"/>
      <c r="R434" s="5"/>
      <c r="S434" s="5"/>
      <c r="T434" s="5"/>
      <c r="U434" s="5"/>
      <c r="V434" s="5"/>
      <c r="W434" s="5"/>
      <c r="X434" s="5"/>
      <c r="Y434" s="5"/>
    </row>
    <row r="435" spans="1:25" ht="15.75" customHeight="1" x14ac:dyDescent="0.25">
      <c r="A435" s="2">
        <v>43958</v>
      </c>
      <c r="B435" s="3">
        <v>35458</v>
      </c>
      <c r="C435" s="4" t="s">
        <v>33</v>
      </c>
      <c r="D435" s="4" t="str">
        <f t="shared" si="8"/>
        <v>Sales</v>
      </c>
      <c r="E435" s="4" t="str">
        <f t="shared" si="9"/>
        <v>Executive</v>
      </c>
      <c r="F435" s="13">
        <v>752</v>
      </c>
      <c r="G435" s="13">
        <v>4</v>
      </c>
      <c r="H435" s="13">
        <v>4</v>
      </c>
      <c r="I435" s="2">
        <v>33451</v>
      </c>
      <c r="J435" s="15">
        <v>957388</v>
      </c>
      <c r="K435" s="4" t="s">
        <v>18</v>
      </c>
      <c r="L435" s="27">
        <f t="shared" si="10"/>
        <v>1991</v>
      </c>
      <c r="M435" s="27">
        <f t="shared" si="11"/>
        <v>5</v>
      </c>
      <c r="N435" s="27">
        <f t="shared" ca="1" si="14"/>
        <v>35</v>
      </c>
      <c r="O435" s="27" t="str" cm="1">
        <f t="array" ref="O435">_xlfn.IFS($F435&gt;=750,"Excellent",$F435&gt;=700,"Good",$F435&gt;=650,"Moderate",
$F435&lt;650,"Risky"
)</f>
        <v>Excellent</v>
      </c>
      <c r="P435" s="27" t="str" cm="1">
        <f t="array" ref="P435">_xlfn.IFS(
AND(F435&gt;=750,H435&lt;=2),"Low Risk",
AND(F435&gt;=700,H435&lt;=5),"Medium Risk",
TRUE,"High Risk"
)</f>
        <v>Medium Risk</v>
      </c>
      <c r="Q435" s="5"/>
      <c r="R435" s="5"/>
      <c r="S435" s="5"/>
      <c r="T435" s="5"/>
      <c r="U435" s="5"/>
      <c r="V435" s="5"/>
      <c r="W435" s="5"/>
      <c r="X435" s="5"/>
      <c r="Y435" s="5"/>
    </row>
    <row r="436" spans="1:25" ht="15.75" customHeight="1" x14ac:dyDescent="0.25">
      <c r="A436" s="2">
        <v>43938</v>
      </c>
      <c r="B436" s="3">
        <v>95836</v>
      </c>
      <c r="C436" s="4" t="s">
        <v>22</v>
      </c>
      <c r="D436" s="4" t="str">
        <f t="shared" si="8"/>
        <v>Strategy</v>
      </c>
      <c r="E436" s="4" t="str">
        <f t="shared" si="9"/>
        <v>Executive</v>
      </c>
      <c r="F436" s="13">
        <v>776</v>
      </c>
      <c r="G436" s="13">
        <v>4</v>
      </c>
      <c r="H436" s="13">
        <v>6</v>
      </c>
      <c r="I436" s="2">
        <v>34229</v>
      </c>
      <c r="J436" s="15">
        <v>514244</v>
      </c>
      <c r="K436" s="4" t="s">
        <v>14</v>
      </c>
      <c r="L436" s="27">
        <f t="shared" si="10"/>
        <v>1993</v>
      </c>
      <c r="M436" s="27">
        <f t="shared" si="11"/>
        <v>4</v>
      </c>
      <c r="N436" s="27">
        <f t="shared" ca="1" si="14"/>
        <v>33</v>
      </c>
      <c r="O436" s="27" t="str" cm="1">
        <f t="array" ref="O436">_xlfn.IFS($F436&gt;=750,"Excellent",$F436&gt;=700,"Good",$F436&gt;=650,"Moderate",
$F436&lt;650,"Risky"
)</f>
        <v>Excellent</v>
      </c>
      <c r="P436" s="27" t="str" cm="1">
        <f t="array" ref="P436">_xlfn.IFS(
AND(F436&gt;=750,H436&lt;=2),"Low Risk",
AND(F436&gt;=700,H436&lt;=5),"Medium Risk",
TRUE,"High Risk"
)</f>
        <v>High Risk</v>
      </c>
      <c r="Q436" s="5"/>
      <c r="R436" s="5"/>
      <c r="S436" s="5"/>
      <c r="T436" s="5"/>
      <c r="U436" s="5"/>
      <c r="V436" s="5"/>
      <c r="W436" s="5"/>
      <c r="X436" s="5"/>
      <c r="Y436" s="5"/>
    </row>
    <row r="437" spans="1:25" ht="15.75" customHeight="1" x14ac:dyDescent="0.25">
      <c r="A437" s="2">
        <v>44053</v>
      </c>
      <c r="B437" s="3">
        <v>58497</v>
      </c>
      <c r="C437" s="4" t="s">
        <v>13</v>
      </c>
      <c r="D437" s="4" t="str">
        <f t="shared" si="8"/>
        <v>Marketing</v>
      </c>
      <c r="E437" s="4" t="str">
        <f t="shared" si="9"/>
        <v>Director</v>
      </c>
      <c r="F437" s="13">
        <v>788</v>
      </c>
      <c r="G437" s="13">
        <v>2</v>
      </c>
      <c r="H437" s="13">
        <v>4</v>
      </c>
      <c r="I437" s="2">
        <v>32579</v>
      </c>
      <c r="J437" s="15">
        <v>540095</v>
      </c>
      <c r="K437" s="4" t="s">
        <v>21</v>
      </c>
      <c r="L437" s="27">
        <f t="shared" si="10"/>
        <v>1989</v>
      </c>
      <c r="M437" s="27">
        <f t="shared" si="11"/>
        <v>8</v>
      </c>
      <c r="N437" s="27">
        <f t="shared" ca="1" si="14"/>
        <v>37</v>
      </c>
      <c r="O437" s="27" t="str" cm="1">
        <f t="array" ref="O437">_xlfn.IFS($F437&gt;=750,"Excellent",$F437&gt;=700,"Good",$F437&gt;=650,"Moderate",
$F437&lt;650,"Risky"
)</f>
        <v>Excellent</v>
      </c>
      <c r="P437" s="27" t="str" cm="1">
        <f t="array" ref="P437">_xlfn.IFS(
AND(F437&gt;=750,H437&lt;=2),"Low Risk",
AND(F437&gt;=700,H437&lt;=5),"Medium Risk",
TRUE,"High Risk"
)</f>
        <v>Medium Risk</v>
      </c>
      <c r="Q437" s="5"/>
      <c r="R437" s="5"/>
      <c r="S437" s="5"/>
      <c r="T437" s="5"/>
      <c r="U437" s="5"/>
      <c r="V437" s="5"/>
      <c r="W437" s="5"/>
      <c r="X437" s="5"/>
      <c r="Y437" s="5"/>
    </row>
    <row r="438" spans="1:25" ht="15.75" customHeight="1" x14ac:dyDescent="0.25">
      <c r="A438" s="2">
        <v>43861</v>
      </c>
      <c r="B438" s="3">
        <v>40845</v>
      </c>
      <c r="C438" s="4" t="s">
        <v>20</v>
      </c>
      <c r="D438" s="4" t="str">
        <f t="shared" si="8"/>
        <v>Operation</v>
      </c>
      <c r="E438" s="4" t="str">
        <f t="shared" si="9"/>
        <v>Manager</v>
      </c>
      <c r="F438" s="13">
        <v>743</v>
      </c>
      <c r="G438" s="13">
        <v>5</v>
      </c>
      <c r="H438" s="13">
        <v>4</v>
      </c>
      <c r="I438" s="2">
        <v>32013</v>
      </c>
      <c r="J438" s="15">
        <v>522518</v>
      </c>
      <c r="K438" s="4" t="s">
        <v>14</v>
      </c>
      <c r="L438" s="27">
        <f t="shared" si="10"/>
        <v>1987</v>
      </c>
      <c r="M438" s="27">
        <f t="shared" si="11"/>
        <v>1</v>
      </c>
      <c r="N438" s="27">
        <f t="shared" ca="1" si="14"/>
        <v>39</v>
      </c>
      <c r="O438" s="27" t="str" cm="1">
        <f t="array" ref="O438">_xlfn.IFS($F438&gt;=750,"Excellent",$F438&gt;=700,"Good",$F438&gt;=650,"Moderate",
$F438&lt;650,"Risky"
)</f>
        <v>Good</v>
      </c>
      <c r="P438" s="27" t="str" cm="1">
        <f t="array" ref="P438">_xlfn.IFS(
AND(F438&gt;=750,H438&lt;=2),"Low Risk",
AND(F438&gt;=700,H438&lt;=5),"Medium Risk",
TRUE,"High Risk"
)</f>
        <v>Medium Risk</v>
      </c>
      <c r="Q438" s="5"/>
      <c r="R438" s="5"/>
      <c r="S438" s="5"/>
      <c r="T438" s="5"/>
      <c r="U438" s="5"/>
      <c r="V438" s="5"/>
      <c r="W438" s="5"/>
      <c r="X438" s="5"/>
      <c r="Y438" s="5"/>
    </row>
    <row r="439" spans="1:25" ht="15.75" customHeight="1" x14ac:dyDescent="0.25">
      <c r="A439" s="2">
        <v>44131</v>
      </c>
      <c r="B439" s="3">
        <v>21565</v>
      </c>
      <c r="C439" s="4" t="s">
        <v>39</v>
      </c>
      <c r="D439" s="4" t="str">
        <f t="shared" si="8"/>
        <v>Growth</v>
      </c>
      <c r="E439" s="4" t="str">
        <f t="shared" si="9"/>
        <v>Executive</v>
      </c>
      <c r="F439" s="13">
        <v>751</v>
      </c>
      <c r="G439" s="13">
        <v>3</v>
      </c>
      <c r="H439" s="13">
        <v>1</v>
      </c>
      <c r="I439" s="2">
        <v>31999</v>
      </c>
      <c r="J439" s="15">
        <v>700173</v>
      </c>
      <c r="K439" s="4" t="s">
        <v>14</v>
      </c>
      <c r="L439" s="27">
        <f t="shared" si="10"/>
        <v>1987</v>
      </c>
      <c r="M439" s="27">
        <f t="shared" si="11"/>
        <v>10</v>
      </c>
      <c r="N439" s="27">
        <f t="shared" ca="1" si="14"/>
        <v>39</v>
      </c>
      <c r="O439" s="27" t="str" cm="1">
        <f t="array" ref="O439">_xlfn.IFS($F439&gt;=750,"Excellent",$F439&gt;=700,"Good",$F439&gt;=650,"Moderate",
$F439&lt;650,"Risky"
)</f>
        <v>Excellent</v>
      </c>
      <c r="P439" s="27" t="str" cm="1">
        <f t="array" ref="P439">_xlfn.IFS(
AND(F439&gt;=750,H439&lt;=2),"Low Risk",
AND(F439&gt;=700,H439&lt;=5),"Medium Risk",
TRUE,"High Risk"
)</f>
        <v>Low Risk</v>
      </c>
      <c r="Q439" s="5"/>
      <c r="R439" s="5"/>
      <c r="S439" s="5"/>
      <c r="T439" s="5"/>
      <c r="U439" s="5"/>
      <c r="V439" s="5"/>
      <c r="W439" s="5"/>
      <c r="X439" s="5"/>
      <c r="Y439" s="5"/>
    </row>
    <row r="440" spans="1:25" ht="15.75" customHeight="1" x14ac:dyDescent="0.25">
      <c r="A440" s="2">
        <v>43970</v>
      </c>
      <c r="B440" s="3">
        <v>76798</v>
      </c>
      <c r="C440" s="4" t="s">
        <v>23</v>
      </c>
      <c r="D440" s="4" t="str">
        <f t="shared" si="8"/>
        <v>Marketing</v>
      </c>
      <c r="E440" s="4" t="str">
        <f t="shared" si="9"/>
        <v>Intern</v>
      </c>
      <c r="F440" s="13">
        <v>761</v>
      </c>
      <c r="G440" s="13">
        <v>1</v>
      </c>
      <c r="H440" s="13">
        <v>7</v>
      </c>
      <c r="I440" s="2">
        <v>33743</v>
      </c>
      <c r="J440" s="15">
        <v>857894</v>
      </c>
      <c r="K440" s="4" t="s">
        <v>21</v>
      </c>
      <c r="L440" s="27">
        <f t="shared" si="10"/>
        <v>1992</v>
      </c>
      <c r="M440" s="27">
        <f t="shared" si="11"/>
        <v>5</v>
      </c>
      <c r="N440" s="27">
        <f t="shared" ca="1" si="14"/>
        <v>34</v>
      </c>
      <c r="O440" s="27" t="str" cm="1">
        <f t="array" ref="O440">_xlfn.IFS($F440&gt;=750,"Excellent",$F440&gt;=700,"Good",$F440&gt;=650,"Moderate",
$F440&lt;650,"Risky"
)</f>
        <v>Excellent</v>
      </c>
      <c r="P440" s="27" t="str" cm="1">
        <f t="array" ref="P440">_xlfn.IFS(
AND(F440&gt;=750,H440&lt;=2),"Low Risk",
AND(F440&gt;=700,H440&lt;=5),"Medium Risk",
TRUE,"High Risk"
)</f>
        <v>High Risk</v>
      </c>
      <c r="Q440" s="5"/>
      <c r="R440" s="5"/>
      <c r="S440" s="5"/>
      <c r="T440" s="5"/>
      <c r="U440" s="5"/>
      <c r="V440" s="5"/>
      <c r="W440" s="5"/>
      <c r="X440" s="5"/>
      <c r="Y440" s="5"/>
    </row>
    <row r="441" spans="1:25" ht="15.75" customHeight="1" x14ac:dyDescent="0.25">
      <c r="A441" s="2">
        <v>43835</v>
      </c>
      <c r="B441" s="3">
        <v>60752</v>
      </c>
      <c r="C441" s="4" t="s">
        <v>23</v>
      </c>
      <c r="D441" s="4" t="str">
        <f t="shared" si="8"/>
        <v>Marketing</v>
      </c>
      <c r="E441" s="4" t="str">
        <f t="shared" si="9"/>
        <v>Intern</v>
      </c>
      <c r="F441" s="13">
        <v>726</v>
      </c>
      <c r="G441" s="13">
        <v>4</v>
      </c>
      <c r="H441" s="13">
        <v>9</v>
      </c>
      <c r="I441" s="2">
        <v>31493</v>
      </c>
      <c r="J441" s="15">
        <v>720127</v>
      </c>
      <c r="K441" s="4" t="s">
        <v>21</v>
      </c>
      <c r="L441" s="27">
        <f t="shared" si="10"/>
        <v>1986</v>
      </c>
      <c r="M441" s="27">
        <f t="shared" si="11"/>
        <v>1</v>
      </c>
      <c r="N441" s="27">
        <f t="shared" ca="1" si="14"/>
        <v>40</v>
      </c>
      <c r="O441" s="27" t="str" cm="1">
        <f t="array" ref="O441">_xlfn.IFS($F441&gt;=750,"Excellent",$F441&gt;=700,"Good",$F441&gt;=650,"Moderate",
$F441&lt;650,"Risky"
)</f>
        <v>Good</v>
      </c>
      <c r="P441" s="27" t="str" cm="1">
        <f t="array" ref="P441">_xlfn.IFS(
AND(F441&gt;=750,H441&lt;=2),"Low Risk",
AND(F441&gt;=700,H441&lt;=5),"Medium Risk",
TRUE,"High Risk"
)</f>
        <v>High Risk</v>
      </c>
      <c r="Q441" s="5"/>
      <c r="R441" s="5"/>
      <c r="S441" s="5"/>
      <c r="T441" s="5"/>
      <c r="U441" s="5"/>
      <c r="V441" s="5"/>
      <c r="W441" s="5"/>
      <c r="X441" s="5"/>
      <c r="Y441" s="5"/>
    </row>
    <row r="442" spans="1:25" ht="15.75" customHeight="1" x14ac:dyDescent="0.25">
      <c r="A442" s="2">
        <v>44012</v>
      </c>
      <c r="B442" s="3">
        <v>97302</v>
      </c>
      <c r="C442" s="4" t="s">
        <v>36</v>
      </c>
      <c r="D442" s="4" t="str">
        <f t="shared" si="8"/>
        <v>Sales</v>
      </c>
      <c r="E442" s="4" t="str">
        <f t="shared" si="9"/>
        <v>Intern</v>
      </c>
      <c r="F442" s="13">
        <v>700</v>
      </c>
      <c r="G442" s="13">
        <v>2</v>
      </c>
      <c r="H442" s="13">
        <v>7</v>
      </c>
      <c r="I442" s="2">
        <v>31868</v>
      </c>
      <c r="J442" s="15">
        <v>944807</v>
      </c>
      <c r="K442" s="4" t="s">
        <v>21</v>
      </c>
      <c r="L442" s="27">
        <f t="shared" si="10"/>
        <v>1987</v>
      </c>
      <c r="M442" s="27">
        <f t="shared" si="11"/>
        <v>6</v>
      </c>
      <c r="N442" s="27">
        <f t="shared" ca="1" si="14"/>
        <v>39</v>
      </c>
      <c r="O442" s="27" t="str" cm="1">
        <f t="array" ref="O442">_xlfn.IFS($F442&gt;=750,"Excellent",$F442&gt;=700,"Good",$F442&gt;=650,"Moderate",
$F442&lt;650,"Risky"
)</f>
        <v>Good</v>
      </c>
      <c r="P442" s="27" t="str" cm="1">
        <f t="array" ref="P442">_xlfn.IFS(
AND(F442&gt;=750,H442&lt;=2),"Low Risk",
AND(F442&gt;=700,H442&lt;=5),"Medium Risk",
TRUE,"High Risk"
)</f>
        <v>High Risk</v>
      </c>
      <c r="Q442" s="5"/>
      <c r="R442" s="5"/>
      <c r="S442" s="5"/>
      <c r="T442" s="5"/>
      <c r="U442" s="5"/>
      <c r="V442" s="5"/>
      <c r="W442" s="5"/>
      <c r="X442" s="5"/>
      <c r="Y442" s="5"/>
    </row>
    <row r="443" spans="1:25" ht="15.75" customHeight="1" x14ac:dyDescent="0.25">
      <c r="A443" s="2">
        <v>43932</v>
      </c>
      <c r="B443" s="3">
        <v>71364</v>
      </c>
      <c r="C443" s="4" t="s">
        <v>17</v>
      </c>
      <c r="D443" s="4" t="str">
        <f t="shared" si="8"/>
        <v>Growth</v>
      </c>
      <c r="E443" s="4" t="str">
        <f t="shared" si="9"/>
        <v>Manager</v>
      </c>
      <c r="F443" s="13">
        <v>788</v>
      </c>
      <c r="G443" s="13">
        <v>4</v>
      </c>
      <c r="H443" s="13">
        <v>2</v>
      </c>
      <c r="I443" s="2">
        <v>32646</v>
      </c>
      <c r="J443" s="15">
        <v>909616</v>
      </c>
      <c r="K443" s="4" t="s">
        <v>21</v>
      </c>
      <c r="L443" s="27">
        <f t="shared" si="10"/>
        <v>1989</v>
      </c>
      <c r="M443" s="27">
        <f t="shared" si="11"/>
        <v>4</v>
      </c>
      <c r="N443" s="27">
        <f t="shared" ca="1" si="14"/>
        <v>37</v>
      </c>
      <c r="O443" s="27" t="str" cm="1">
        <f t="array" ref="O443">_xlfn.IFS($F443&gt;=750,"Excellent",$F443&gt;=700,"Good",$F443&gt;=650,"Moderate",
$F443&lt;650,"Risky"
)</f>
        <v>Excellent</v>
      </c>
      <c r="P443" s="27" t="str" cm="1">
        <f t="array" ref="P443">_xlfn.IFS(
AND(F443&gt;=750,H443&lt;=2),"Low Risk",
AND(F443&gt;=700,H443&lt;=5),"Medium Risk",
TRUE,"High Risk"
)</f>
        <v>Low Risk</v>
      </c>
      <c r="Q443" s="5"/>
      <c r="R443" s="5"/>
      <c r="S443" s="5"/>
      <c r="T443" s="5"/>
      <c r="U443" s="5"/>
      <c r="V443" s="5"/>
      <c r="W443" s="5"/>
      <c r="X443" s="5"/>
      <c r="Y443" s="5"/>
    </row>
    <row r="444" spans="1:25" ht="15.75" customHeight="1" x14ac:dyDescent="0.25">
      <c r="A444" s="2">
        <v>44045</v>
      </c>
      <c r="B444" s="3">
        <v>38430</v>
      </c>
      <c r="C444" s="4" t="s">
        <v>30</v>
      </c>
      <c r="D444" s="4" t="str">
        <f t="shared" si="8"/>
        <v>Operation</v>
      </c>
      <c r="E444" s="4" t="str">
        <f t="shared" si="9"/>
        <v>Director</v>
      </c>
      <c r="F444" s="13">
        <v>762</v>
      </c>
      <c r="G444" s="13">
        <v>2</v>
      </c>
      <c r="H444" s="13">
        <v>3</v>
      </c>
      <c r="I444" s="2">
        <v>29977</v>
      </c>
      <c r="J444" s="15">
        <v>617739</v>
      </c>
      <c r="K444" s="4" t="s">
        <v>18</v>
      </c>
      <c r="L444" s="27">
        <f t="shared" si="10"/>
        <v>1982</v>
      </c>
      <c r="M444" s="27">
        <f t="shared" si="11"/>
        <v>8</v>
      </c>
      <c r="N444" s="27">
        <f t="shared" ca="1" si="14"/>
        <v>44</v>
      </c>
      <c r="O444" s="27" t="str" cm="1">
        <f t="array" ref="O444">_xlfn.IFS($F444&gt;=750,"Excellent",$F444&gt;=700,"Good",$F444&gt;=650,"Moderate",
$F444&lt;650,"Risky"
)</f>
        <v>Excellent</v>
      </c>
      <c r="P444" s="27" t="str" cm="1">
        <f t="array" ref="P444">_xlfn.IFS(
AND(F444&gt;=750,H444&lt;=2),"Low Risk",
AND(F444&gt;=700,H444&lt;=5),"Medium Risk",
TRUE,"High Risk"
)</f>
        <v>Medium Risk</v>
      </c>
      <c r="Q444" s="5"/>
      <c r="R444" s="5"/>
      <c r="S444" s="5"/>
      <c r="T444" s="5"/>
      <c r="U444" s="5"/>
      <c r="V444" s="5"/>
      <c r="W444" s="5"/>
      <c r="X444" s="5"/>
      <c r="Y444" s="5"/>
    </row>
    <row r="445" spans="1:25" ht="15.75" customHeight="1" x14ac:dyDescent="0.25">
      <c r="A445" s="2">
        <v>43888</v>
      </c>
      <c r="B445" s="3">
        <v>47361</v>
      </c>
      <c r="C445" s="4" t="s">
        <v>39</v>
      </c>
      <c r="D445" s="4" t="str">
        <f t="shared" si="8"/>
        <v>Growth</v>
      </c>
      <c r="E445" s="4" t="str">
        <f t="shared" si="9"/>
        <v>Executive</v>
      </c>
      <c r="F445" s="13">
        <v>733</v>
      </c>
      <c r="G445" s="13">
        <v>3</v>
      </c>
      <c r="H445" s="13">
        <v>5</v>
      </c>
      <c r="I445" s="2">
        <v>34635</v>
      </c>
      <c r="J445" s="15">
        <v>644002</v>
      </c>
      <c r="K445" s="4" t="s">
        <v>14</v>
      </c>
      <c r="L445" s="27">
        <f t="shared" si="10"/>
        <v>1994</v>
      </c>
      <c r="M445" s="27">
        <f t="shared" si="11"/>
        <v>2</v>
      </c>
      <c r="N445" s="27">
        <f t="shared" ca="1" si="14"/>
        <v>32</v>
      </c>
      <c r="O445" s="27" t="str" cm="1">
        <f t="array" ref="O445">_xlfn.IFS($F445&gt;=750,"Excellent",$F445&gt;=700,"Good",$F445&gt;=650,"Moderate",
$F445&lt;650,"Risky"
)</f>
        <v>Good</v>
      </c>
      <c r="P445" s="27" t="str" cm="1">
        <f t="array" ref="P445">_xlfn.IFS(
AND(F445&gt;=750,H445&lt;=2),"Low Risk",
AND(F445&gt;=700,H445&lt;=5),"Medium Risk",
TRUE,"High Risk"
)</f>
        <v>Medium Risk</v>
      </c>
      <c r="Q445" s="5"/>
      <c r="R445" s="5"/>
      <c r="S445" s="5"/>
      <c r="T445" s="5"/>
      <c r="U445" s="5"/>
      <c r="V445" s="5"/>
      <c r="W445" s="5"/>
      <c r="X445" s="5"/>
      <c r="Y445" s="5"/>
    </row>
    <row r="446" spans="1:25" ht="15.75" customHeight="1" x14ac:dyDescent="0.25">
      <c r="A446" s="2">
        <v>43897</v>
      </c>
      <c r="B446" s="3">
        <v>24514</v>
      </c>
      <c r="C446" s="4" t="s">
        <v>36</v>
      </c>
      <c r="D446" s="4" t="str">
        <f t="shared" si="8"/>
        <v>Sales</v>
      </c>
      <c r="E446" s="4" t="str">
        <f t="shared" si="9"/>
        <v>Intern</v>
      </c>
      <c r="F446" s="13">
        <v>797</v>
      </c>
      <c r="G446" s="13">
        <v>5</v>
      </c>
      <c r="H446" s="13">
        <v>5</v>
      </c>
      <c r="I446" s="2">
        <v>32844</v>
      </c>
      <c r="J446" s="15">
        <v>865221</v>
      </c>
      <c r="K446" s="4" t="s">
        <v>21</v>
      </c>
      <c r="L446" s="27">
        <f t="shared" si="10"/>
        <v>1989</v>
      </c>
      <c r="M446" s="27">
        <f t="shared" si="11"/>
        <v>3</v>
      </c>
      <c r="N446" s="27">
        <f t="shared" ca="1" si="14"/>
        <v>37</v>
      </c>
      <c r="O446" s="27" t="str" cm="1">
        <f t="array" ref="O446">_xlfn.IFS($F446&gt;=750,"Excellent",$F446&gt;=700,"Good",$F446&gt;=650,"Moderate",
$F446&lt;650,"Risky"
)</f>
        <v>Excellent</v>
      </c>
      <c r="P446" s="27" t="str" cm="1">
        <f t="array" ref="P446">_xlfn.IFS(
AND(F446&gt;=750,H446&lt;=2),"Low Risk",
AND(F446&gt;=700,H446&lt;=5),"Medium Risk",
TRUE,"High Risk"
)</f>
        <v>Medium Risk</v>
      </c>
      <c r="Q446" s="5"/>
      <c r="R446" s="5"/>
      <c r="S446" s="5"/>
      <c r="T446" s="5"/>
      <c r="U446" s="5"/>
      <c r="V446" s="5"/>
      <c r="W446" s="5"/>
      <c r="X446" s="5"/>
      <c r="Y446" s="5"/>
    </row>
    <row r="447" spans="1:25" ht="15.75" customHeight="1" x14ac:dyDescent="0.25">
      <c r="A447" s="2">
        <v>43848</v>
      </c>
      <c r="B447" s="3">
        <v>58181</v>
      </c>
      <c r="C447" s="4" t="s">
        <v>19</v>
      </c>
      <c r="D447" s="4" t="str">
        <f t="shared" si="8"/>
        <v>Marketing</v>
      </c>
      <c r="E447" s="4" t="str">
        <f t="shared" si="9"/>
        <v>Manager</v>
      </c>
      <c r="F447" s="13">
        <v>775</v>
      </c>
      <c r="G447" s="13">
        <v>1</v>
      </c>
      <c r="H447" s="13">
        <v>7</v>
      </c>
      <c r="I447" s="2">
        <v>31357</v>
      </c>
      <c r="J447" s="15">
        <v>517907</v>
      </c>
      <c r="K447" s="4" t="s">
        <v>18</v>
      </c>
      <c r="L447" s="27">
        <f t="shared" si="10"/>
        <v>1985</v>
      </c>
      <c r="M447" s="27">
        <f t="shared" si="11"/>
        <v>1</v>
      </c>
      <c r="N447" s="27">
        <f t="shared" ca="1" si="14"/>
        <v>41</v>
      </c>
      <c r="O447" s="27" t="str" cm="1">
        <f t="array" ref="O447">_xlfn.IFS($F447&gt;=750,"Excellent",$F447&gt;=700,"Good",$F447&gt;=650,"Moderate",
$F447&lt;650,"Risky"
)</f>
        <v>Excellent</v>
      </c>
      <c r="P447" s="27" t="str" cm="1">
        <f t="array" ref="P447">_xlfn.IFS(
AND(F447&gt;=750,H447&lt;=2),"Low Risk",
AND(F447&gt;=700,H447&lt;=5),"Medium Risk",
TRUE,"High Risk"
)</f>
        <v>High Risk</v>
      </c>
      <c r="Q447" s="5"/>
      <c r="R447" s="5"/>
      <c r="S447" s="5"/>
      <c r="T447" s="5"/>
      <c r="U447" s="5"/>
      <c r="V447" s="5"/>
      <c r="W447" s="5"/>
      <c r="X447" s="5"/>
      <c r="Y447" s="5"/>
    </row>
    <row r="448" spans="1:25" ht="15.75" customHeight="1" x14ac:dyDescent="0.25">
      <c r="A448" s="2">
        <v>43975</v>
      </c>
      <c r="B448" s="3">
        <v>73371</v>
      </c>
      <c r="C448" s="4" t="s">
        <v>15</v>
      </c>
      <c r="D448" s="4" t="str">
        <f t="shared" si="8"/>
        <v>Operation</v>
      </c>
      <c r="E448" s="4" t="str">
        <f t="shared" si="9"/>
        <v>Executive</v>
      </c>
      <c r="F448" s="13">
        <v>722</v>
      </c>
      <c r="G448" s="13">
        <v>2</v>
      </c>
      <c r="H448" s="13">
        <v>8</v>
      </c>
      <c r="I448" s="2">
        <v>32274</v>
      </c>
      <c r="J448" s="15">
        <v>967821</v>
      </c>
      <c r="K448" s="4" t="s">
        <v>14</v>
      </c>
      <c r="L448" s="27">
        <f t="shared" si="10"/>
        <v>1988</v>
      </c>
      <c r="M448" s="27">
        <f t="shared" si="11"/>
        <v>5</v>
      </c>
      <c r="N448" s="27">
        <f t="shared" ca="1" si="14"/>
        <v>38</v>
      </c>
      <c r="O448" s="27" t="str" cm="1">
        <f t="array" ref="O448">_xlfn.IFS($F448&gt;=750,"Excellent",$F448&gt;=700,"Good",$F448&gt;=650,"Moderate",
$F448&lt;650,"Risky"
)</f>
        <v>Good</v>
      </c>
      <c r="P448" s="27" t="str" cm="1">
        <f t="array" ref="P448">_xlfn.IFS(
AND(F448&gt;=750,H448&lt;=2),"Low Risk",
AND(F448&gt;=700,H448&lt;=5),"Medium Risk",
TRUE,"High Risk"
)</f>
        <v>High Risk</v>
      </c>
      <c r="Q448" s="5"/>
      <c r="R448" s="5"/>
      <c r="S448" s="5"/>
      <c r="T448" s="5"/>
      <c r="U448" s="5"/>
      <c r="V448" s="5"/>
      <c r="W448" s="5"/>
      <c r="X448" s="5"/>
      <c r="Y448" s="5"/>
    </row>
    <row r="449" spans="1:25" ht="15.75" customHeight="1" x14ac:dyDescent="0.25">
      <c r="A449" s="2">
        <v>44151</v>
      </c>
      <c r="B449" s="3">
        <v>85129</v>
      </c>
      <c r="C449" s="4" t="s">
        <v>16</v>
      </c>
      <c r="D449" s="4" t="str">
        <f t="shared" si="8"/>
        <v>Marketing</v>
      </c>
      <c r="E449" s="4" t="str">
        <f t="shared" si="9"/>
        <v>Executive</v>
      </c>
      <c r="F449" s="13">
        <v>725</v>
      </c>
      <c r="G449" s="13">
        <v>5</v>
      </c>
      <c r="H449" s="13">
        <v>1</v>
      </c>
      <c r="I449" s="2">
        <v>32386</v>
      </c>
      <c r="J449" s="15">
        <v>865586</v>
      </c>
      <c r="K449" s="4" t="s">
        <v>21</v>
      </c>
      <c r="L449" s="27">
        <f t="shared" si="10"/>
        <v>1988</v>
      </c>
      <c r="M449" s="27">
        <f t="shared" si="11"/>
        <v>11</v>
      </c>
      <c r="N449" s="27">
        <f t="shared" ca="1" si="14"/>
        <v>38</v>
      </c>
      <c r="O449" s="27" t="str" cm="1">
        <f t="array" ref="O449">_xlfn.IFS($F449&gt;=750,"Excellent",$F449&gt;=700,"Good",$F449&gt;=650,"Moderate",
$F449&lt;650,"Risky"
)</f>
        <v>Good</v>
      </c>
      <c r="P449" s="27" t="str" cm="1">
        <f t="array" ref="P449">_xlfn.IFS(
AND(F449&gt;=750,H449&lt;=2),"Low Risk",
AND(F449&gt;=700,H449&lt;=5),"Medium Risk",
TRUE,"High Risk"
)</f>
        <v>Medium Risk</v>
      </c>
      <c r="Q449" s="5"/>
      <c r="R449" s="5"/>
      <c r="S449" s="5"/>
      <c r="T449" s="5"/>
      <c r="U449" s="5"/>
      <c r="V449" s="5"/>
      <c r="W449" s="5"/>
      <c r="X449" s="5"/>
      <c r="Y449" s="5"/>
    </row>
    <row r="450" spans="1:25" ht="15.75" customHeight="1" x14ac:dyDescent="0.25">
      <c r="A450" s="2">
        <v>43902</v>
      </c>
      <c r="B450" s="3">
        <v>81228</v>
      </c>
      <c r="C450" s="4" t="s">
        <v>22</v>
      </c>
      <c r="D450" s="4" t="str">
        <f t="shared" si="8"/>
        <v>Strategy</v>
      </c>
      <c r="E450" s="4" t="str">
        <f t="shared" si="9"/>
        <v>Executive</v>
      </c>
      <c r="F450" s="13">
        <v>770</v>
      </c>
      <c r="G450" s="13">
        <v>3</v>
      </c>
      <c r="H450" s="13">
        <v>6</v>
      </c>
      <c r="I450" s="2">
        <v>30800</v>
      </c>
      <c r="J450" s="15">
        <v>943462</v>
      </c>
      <c r="K450" s="4" t="s">
        <v>21</v>
      </c>
      <c r="L450" s="27">
        <f t="shared" si="10"/>
        <v>1984</v>
      </c>
      <c r="M450" s="27">
        <f t="shared" si="11"/>
        <v>3</v>
      </c>
      <c r="N450" s="27">
        <f t="shared" ca="1" si="14"/>
        <v>42</v>
      </c>
      <c r="O450" s="27" t="str" cm="1">
        <f t="array" ref="O450">_xlfn.IFS($F450&gt;=750,"Excellent",$F450&gt;=700,"Good",$F450&gt;=650,"Moderate",
$F450&lt;650,"Risky"
)</f>
        <v>Excellent</v>
      </c>
      <c r="P450" s="27" t="str" cm="1">
        <f t="array" ref="P450">_xlfn.IFS(
AND(F450&gt;=750,H450&lt;=2),"Low Risk",
AND(F450&gt;=700,H450&lt;=5),"Medium Risk",
TRUE,"High Risk"
)</f>
        <v>High Risk</v>
      </c>
      <c r="Q450" s="5"/>
      <c r="R450" s="5"/>
      <c r="S450" s="5"/>
      <c r="T450" s="5"/>
      <c r="U450" s="5"/>
      <c r="V450" s="5"/>
      <c r="W450" s="5"/>
      <c r="X450" s="5"/>
      <c r="Y450" s="5"/>
    </row>
    <row r="451" spans="1:25" ht="15.75" customHeight="1" x14ac:dyDescent="0.25">
      <c r="A451" s="2">
        <v>43993</v>
      </c>
      <c r="B451" s="3">
        <v>93750</v>
      </c>
      <c r="C451" s="4" t="s">
        <v>15</v>
      </c>
      <c r="D451" s="4" t="str">
        <f t="shared" si="8"/>
        <v>Operation</v>
      </c>
      <c r="E451" s="4" t="str">
        <f t="shared" si="9"/>
        <v>Executive</v>
      </c>
      <c r="F451" s="13">
        <v>799</v>
      </c>
      <c r="G451" s="13">
        <v>3</v>
      </c>
      <c r="H451" s="13">
        <v>10</v>
      </c>
      <c r="I451" s="2">
        <v>31914</v>
      </c>
      <c r="J451" s="15">
        <v>834366</v>
      </c>
      <c r="K451" s="4" t="s">
        <v>14</v>
      </c>
      <c r="L451" s="27">
        <f t="shared" si="10"/>
        <v>1987</v>
      </c>
      <c r="M451" s="27">
        <f t="shared" si="11"/>
        <v>6</v>
      </c>
      <c r="N451" s="27">
        <f t="shared" ref="N451:N514" ca="1" si="15" xml:space="preserve"> YEAR(TODAY()) - $L451</f>
        <v>39</v>
      </c>
      <c r="O451" s="27" t="str" cm="1">
        <f t="array" ref="O451">_xlfn.IFS($F451&gt;=750,"Excellent",$F451&gt;=700,"Good",$F451&gt;=650,"Moderate",
$F451&lt;650,"Risky"
)</f>
        <v>Excellent</v>
      </c>
      <c r="P451" s="27" t="str" cm="1">
        <f t="array" ref="P451">_xlfn.IFS(
AND(F451&gt;=750,H451&lt;=2),"Low Risk",
AND(F451&gt;=700,H451&lt;=5),"Medium Risk",
TRUE,"High Risk"
)</f>
        <v>High Risk</v>
      </c>
      <c r="Q451" s="5"/>
      <c r="R451" s="5"/>
      <c r="S451" s="5"/>
      <c r="T451" s="5"/>
      <c r="U451" s="5"/>
      <c r="V451" s="5"/>
      <c r="W451" s="5"/>
      <c r="X451" s="5"/>
      <c r="Y451" s="5"/>
    </row>
    <row r="452" spans="1:25" ht="15.75" customHeight="1" x14ac:dyDescent="0.25">
      <c r="A452" s="2">
        <v>43981</v>
      </c>
      <c r="B452" s="3">
        <v>57092</v>
      </c>
      <c r="C452" s="4" t="s">
        <v>26</v>
      </c>
      <c r="D452" s="4" t="str">
        <f t="shared" si="8"/>
        <v>Strategy</v>
      </c>
      <c r="E452" s="4" t="str">
        <f t="shared" si="9"/>
        <v>Manager</v>
      </c>
      <c r="F452" s="13">
        <v>705</v>
      </c>
      <c r="G452" s="13">
        <v>1</v>
      </c>
      <c r="H452" s="13">
        <v>1</v>
      </c>
      <c r="I452" s="2">
        <v>31320</v>
      </c>
      <c r="J452" s="15">
        <v>920468</v>
      </c>
      <c r="K452" s="4" t="s">
        <v>21</v>
      </c>
      <c r="L452" s="27">
        <f t="shared" si="10"/>
        <v>1985</v>
      </c>
      <c r="M452" s="27">
        <f t="shared" si="11"/>
        <v>5</v>
      </c>
      <c r="N452" s="27">
        <f t="shared" ca="1" si="15"/>
        <v>41</v>
      </c>
      <c r="O452" s="27" t="str" cm="1">
        <f t="array" ref="O452">_xlfn.IFS($F452&gt;=750,"Excellent",$F452&gt;=700,"Good",$F452&gt;=650,"Moderate",
$F452&lt;650,"Risky"
)</f>
        <v>Good</v>
      </c>
      <c r="P452" s="27" t="str" cm="1">
        <f t="array" ref="P452">_xlfn.IFS(
AND(F452&gt;=750,H452&lt;=2),"Low Risk",
AND(F452&gt;=700,H452&lt;=5),"Medium Risk",
TRUE,"High Risk"
)</f>
        <v>Medium Risk</v>
      </c>
      <c r="Q452" s="5"/>
      <c r="R452" s="5"/>
      <c r="S452" s="5"/>
      <c r="T452" s="5"/>
      <c r="U452" s="5"/>
      <c r="V452" s="5"/>
      <c r="W452" s="5"/>
      <c r="X452" s="5"/>
      <c r="Y452" s="5"/>
    </row>
    <row r="453" spans="1:25" ht="15.75" customHeight="1" x14ac:dyDescent="0.25">
      <c r="A453" s="2">
        <v>44157</v>
      </c>
      <c r="B453" s="3">
        <v>54866</v>
      </c>
      <c r="C453" s="4" t="s">
        <v>34</v>
      </c>
      <c r="D453" s="4" t="str">
        <f t="shared" si="8"/>
        <v>Finance</v>
      </c>
      <c r="E453" s="4" t="str">
        <f t="shared" si="9"/>
        <v>Director</v>
      </c>
      <c r="F453" s="13">
        <v>719</v>
      </c>
      <c r="G453" s="13">
        <v>2</v>
      </c>
      <c r="H453" s="13">
        <v>7</v>
      </c>
      <c r="I453" s="2">
        <v>30551</v>
      </c>
      <c r="J453" s="15">
        <v>928910</v>
      </c>
      <c r="K453" s="4" t="s">
        <v>14</v>
      </c>
      <c r="L453" s="27">
        <f t="shared" si="10"/>
        <v>1983</v>
      </c>
      <c r="M453" s="27">
        <f t="shared" si="11"/>
        <v>11</v>
      </c>
      <c r="N453" s="27">
        <f t="shared" ca="1" si="15"/>
        <v>43</v>
      </c>
      <c r="O453" s="27" t="str" cm="1">
        <f t="array" ref="O453">_xlfn.IFS($F453&gt;=750,"Excellent",$F453&gt;=700,"Good",$F453&gt;=650,"Moderate",
$F453&lt;650,"Risky"
)</f>
        <v>Good</v>
      </c>
      <c r="P453" s="27" t="str" cm="1">
        <f t="array" ref="P453">_xlfn.IFS(
AND(F453&gt;=750,H453&lt;=2),"Low Risk",
AND(F453&gt;=700,H453&lt;=5),"Medium Risk",
TRUE,"High Risk"
)</f>
        <v>High Risk</v>
      </c>
      <c r="Q453" s="5"/>
      <c r="R453" s="5"/>
      <c r="S453" s="5"/>
      <c r="T453" s="5"/>
      <c r="U453" s="5"/>
      <c r="V453" s="5"/>
      <c r="W453" s="5"/>
      <c r="X453" s="5"/>
      <c r="Y453" s="5"/>
    </row>
    <row r="454" spans="1:25" ht="15.75" customHeight="1" x14ac:dyDescent="0.25">
      <c r="A454" s="2">
        <v>43857</v>
      </c>
      <c r="B454" s="3">
        <v>96247</v>
      </c>
      <c r="C454" s="4" t="s">
        <v>38</v>
      </c>
      <c r="D454" s="4" t="str">
        <f t="shared" si="8"/>
        <v>Finance</v>
      </c>
      <c r="E454" s="4" t="str">
        <f t="shared" si="9"/>
        <v>Manager</v>
      </c>
      <c r="F454" s="13">
        <v>788</v>
      </c>
      <c r="G454" s="13">
        <v>5</v>
      </c>
      <c r="H454" s="13">
        <v>4</v>
      </c>
      <c r="I454" s="2">
        <v>29391</v>
      </c>
      <c r="J454" s="15">
        <v>831126</v>
      </c>
      <c r="K454" s="4" t="s">
        <v>14</v>
      </c>
      <c r="L454" s="27">
        <f t="shared" si="10"/>
        <v>1980</v>
      </c>
      <c r="M454" s="27">
        <f t="shared" si="11"/>
        <v>1</v>
      </c>
      <c r="N454" s="27">
        <f t="shared" ca="1" si="15"/>
        <v>46</v>
      </c>
      <c r="O454" s="27" t="str" cm="1">
        <f t="array" ref="O454">_xlfn.IFS($F454&gt;=750,"Excellent",$F454&gt;=700,"Good",$F454&gt;=650,"Moderate",
$F454&lt;650,"Risky"
)</f>
        <v>Excellent</v>
      </c>
      <c r="P454" s="27" t="str" cm="1">
        <f t="array" ref="P454">_xlfn.IFS(
AND(F454&gt;=750,H454&lt;=2),"Low Risk",
AND(F454&gt;=700,H454&lt;=5),"Medium Risk",
TRUE,"High Risk"
)</f>
        <v>Medium Risk</v>
      </c>
      <c r="Q454" s="5"/>
      <c r="R454" s="5"/>
      <c r="S454" s="5"/>
      <c r="T454" s="5"/>
      <c r="U454" s="5"/>
      <c r="V454" s="5"/>
      <c r="W454" s="5"/>
      <c r="X454" s="5"/>
      <c r="Y454" s="5"/>
    </row>
    <row r="455" spans="1:25" ht="15.75" customHeight="1" x14ac:dyDescent="0.25">
      <c r="A455" s="2">
        <v>43919</v>
      </c>
      <c r="B455" s="3">
        <v>86568</v>
      </c>
      <c r="C455" s="4" t="s">
        <v>15</v>
      </c>
      <c r="D455" s="4" t="str">
        <f t="shared" si="8"/>
        <v>Operation</v>
      </c>
      <c r="E455" s="4" t="str">
        <f t="shared" si="9"/>
        <v>Executive</v>
      </c>
      <c r="F455" s="13">
        <v>799</v>
      </c>
      <c r="G455" s="13">
        <v>1</v>
      </c>
      <c r="H455" s="13">
        <v>6</v>
      </c>
      <c r="I455" s="2">
        <v>32061</v>
      </c>
      <c r="J455" s="15">
        <v>954784</v>
      </c>
      <c r="K455" s="4" t="s">
        <v>18</v>
      </c>
      <c r="L455" s="27">
        <f t="shared" si="10"/>
        <v>1987</v>
      </c>
      <c r="M455" s="27">
        <f t="shared" si="11"/>
        <v>3</v>
      </c>
      <c r="N455" s="27">
        <f t="shared" ca="1" si="15"/>
        <v>39</v>
      </c>
      <c r="O455" s="27" t="str" cm="1">
        <f t="array" ref="O455">_xlfn.IFS($F455&gt;=750,"Excellent",$F455&gt;=700,"Good",$F455&gt;=650,"Moderate",
$F455&lt;650,"Risky"
)</f>
        <v>Excellent</v>
      </c>
      <c r="P455" s="27" t="str" cm="1">
        <f t="array" ref="P455">_xlfn.IFS(
AND(F455&gt;=750,H455&lt;=2),"Low Risk",
AND(F455&gt;=700,H455&lt;=5),"Medium Risk",
TRUE,"High Risk"
)</f>
        <v>High Risk</v>
      </c>
      <c r="Q455" s="5"/>
      <c r="R455" s="5"/>
      <c r="S455" s="5"/>
      <c r="T455" s="5"/>
      <c r="U455" s="5"/>
      <c r="V455" s="5"/>
      <c r="W455" s="5"/>
      <c r="X455" s="5"/>
      <c r="Y455" s="5"/>
    </row>
    <row r="456" spans="1:25" ht="15.75" customHeight="1" x14ac:dyDescent="0.25">
      <c r="A456" s="2">
        <v>44078</v>
      </c>
      <c r="B456" s="3">
        <v>65077</v>
      </c>
      <c r="C456" s="4" t="s">
        <v>36</v>
      </c>
      <c r="D456" s="4" t="str">
        <f t="shared" si="8"/>
        <v>Sales</v>
      </c>
      <c r="E456" s="4" t="str">
        <f t="shared" si="9"/>
        <v>Intern</v>
      </c>
      <c r="F456" s="13">
        <v>743</v>
      </c>
      <c r="G456" s="13">
        <v>1</v>
      </c>
      <c r="H456" s="13">
        <v>10</v>
      </c>
      <c r="I456" s="2">
        <v>29360</v>
      </c>
      <c r="J456" s="15">
        <v>943109</v>
      </c>
      <c r="K456" s="4" t="s">
        <v>18</v>
      </c>
      <c r="L456" s="27">
        <f t="shared" si="10"/>
        <v>1980</v>
      </c>
      <c r="M456" s="27">
        <f t="shared" si="11"/>
        <v>9</v>
      </c>
      <c r="N456" s="27">
        <f t="shared" ca="1" si="15"/>
        <v>46</v>
      </c>
      <c r="O456" s="27" t="str" cm="1">
        <f t="array" ref="O456">_xlfn.IFS($F456&gt;=750,"Excellent",$F456&gt;=700,"Good",$F456&gt;=650,"Moderate",
$F456&lt;650,"Risky"
)</f>
        <v>Good</v>
      </c>
      <c r="P456" s="27" t="str" cm="1">
        <f t="array" ref="P456">_xlfn.IFS(
AND(F456&gt;=750,H456&lt;=2),"Low Risk",
AND(F456&gt;=700,H456&lt;=5),"Medium Risk",
TRUE,"High Risk"
)</f>
        <v>High Risk</v>
      </c>
      <c r="Q456" s="5"/>
      <c r="R456" s="5"/>
      <c r="S456" s="5"/>
      <c r="T456" s="5"/>
      <c r="U456" s="5"/>
      <c r="V456" s="5"/>
      <c r="W456" s="5"/>
      <c r="X456" s="5"/>
      <c r="Y456" s="5"/>
    </row>
    <row r="457" spans="1:25" ht="15.75" customHeight="1" x14ac:dyDescent="0.25">
      <c r="A457" s="2">
        <v>43866</v>
      </c>
      <c r="B457" s="3">
        <v>78229</v>
      </c>
      <c r="C457" s="4" t="s">
        <v>23</v>
      </c>
      <c r="D457" s="4" t="str">
        <f t="shared" si="8"/>
        <v>Marketing</v>
      </c>
      <c r="E457" s="4" t="str">
        <f t="shared" si="9"/>
        <v>Intern</v>
      </c>
      <c r="F457" s="13">
        <v>791</v>
      </c>
      <c r="G457" s="13">
        <v>1</v>
      </c>
      <c r="H457" s="13">
        <v>6</v>
      </c>
      <c r="I457" s="2">
        <v>31716</v>
      </c>
      <c r="J457" s="15">
        <v>507141</v>
      </c>
      <c r="K457" s="4" t="s">
        <v>14</v>
      </c>
      <c r="L457" s="27">
        <f t="shared" si="10"/>
        <v>1986</v>
      </c>
      <c r="M457" s="27">
        <f t="shared" si="11"/>
        <v>2</v>
      </c>
      <c r="N457" s="27">
        <f t="shared" ca="1" si="15"/>
        <v>40</v>
      </c>
      <c r="O457" s="27" t="str" cm="1">
        <f t="array" ref="O457">_xlfn.IFS($F457&gt;=750,"Excellent",$F457&gt;=700,"Good",$F457&gt;=650,"Moderate",
$F457&lt;650,"Risky"
)</f>
        <v>Excellent</v>
      </c>
      <c r="P457" s="27" t="str" cm="1">
        <f t="array" ref="P457">_xlfn.IFS(
AND(F457&gt;=750,H457&lt;=2),"Low Risk",
AND(F457&gt;=700,H457&lt;=5),"Medium Risk",
TRUE,"High Risk"
)</f>
        <v>High Risk</v>
      </c>
      <c r="Q457" s="5"/>
      <c r="R457" s="5"/>
      <c r="S457" s="5"/>
      <c r="T457" s="5"/>
      <c r="U457" s="5"/>
      <c r="V457" s="5"/>
      <c r="W457" s="5"/>
      <c r="X457" s="5"/>
      <c r="Y457" s="5"/>
    </row>
    <row r="458" spans="1:25" ht="15.75" customHeight="1" x14ac:dyDescent="0.25">
      <c r="A458" s="2">
        <v>43937</v>
      </c>
      <c r="B458" s="3">
        <v>95204</v>
      </c>
      <c r="C458" s="4" t="s">
        <v>27</v>
      </c>
      <c r="D458" s="4" t="str">
        <f t="shared" si="8"/>
        <v>Operation</v>
      </c>
      <c r="E458" s="4" t="str">
        <f t="shared" si="9"/>
        <v>Intern</v>
      </c>
      <c r="F458" s="13">
        <v>709</v>
      </c>
      <c r="G458" s="13">
        <v>5</v>
      </c>
      <c r="H458" s="13">
        <v>8</v>
      </c>
      <c r="I458" s="2">
        <v>33535</v>
      </c>
      <c r="J458" s="15">
        <v>949973</v>
      </c>
      <c r="K458" s="4" t="s">
        <v>21</v>
      </c>
      <c r="L458" s="27">
        <f t="shared" si="10"/>
        <v>1991</v>
      </c>
      <c r="M458" s="27">
        <f t="shared" si="11"/>
        <v>4</v>
      </c>
      <c r="N458" s="27">
        <f t="shared" ca="1" si="15"/>
        <v>35</v>
      </c>
      <c r="O458" s="27" t="str" cm="1">
        <f t="array" ref="O458">_xlfn.IFS($F458&gt;=750,"Excellent",$F458&gt;=700,"Good",$F458&gt;=650,"Moderate",
$F458&lt;650,"Risky"
)</f>
        <v>Good</v>
      </c>
      <c r="P458" s="27" t="str" cm="1">
        <f t="array" ref="P458">_xlfn.IFS(
AND(F458&gt;=750,H458&lt;=2),"Low Risk",
AND(F458&gt;=700,H458&lt;=5),"Medium Risk",
TRUE,"High Risk"
)</f>
        <v>High Risk</v>
      </c>
      <c r="Q458" s="5"/>
      <c r="R458" s="5"/>
      <c r="S458" s="5"/>
      <c r="T458" s="5"/>
      <c r="U458" s="5"/>
      <c r="V458" s="5"/>
      <c r="W458" s="5"/>
      <c r="X458" s="5"/>
      <c r="Y458" s="5"/>
    </row>
    <row r="459" spans="1:25" ht="15.75" customHeight="1" x14ac:dyDescent="0.25">
      <c r="A459" s="2">
        <v>44024</v>
      </c>
      <c r="B459" s="3">
        <v>53714</v>
      </c>
      <c r="C459" s="4" t="s">
        <v>23</v>
      </c>
      <c r="D459" s="4" t="str">
        <f t="shared" si="8"/>
        <v>Marketing</v>
      </c>
      <c r="E459" s="4" t="str">
        <f t="shared" si="9"/>
        <v>Intern</v>
      </c>
      <c r="F459" s="13">
        <v>734</v>
      </c>
      <c r="G459" s="13">
        <v>3</v>
      </c>
      <c r="H459" s="13">
        <v>1</v>
      </c>
      <c r="I459" s="2">
        <v>34203</v>
      </c>
      <c r="J459" s="15">
        <v>774595</v>
      </c>
      <c r="K459" s="4" t="s">
        <v>18</v>
      </c>
      <c r="L459" s="27">
        <f t="shared" si="10"/>
        <v>1993</v>
      </c>
      <c r="M459" s="27">
        <f t="shared" si="11"/>
        <v>7</v>
      </c>
      <c r="N459" s="27">
        <f t="shared" ca="1" si="15"/>
        <v>33</v>
      </c>
      <c r="O459" s="27" t="str" cm="1">
        <f t="array" ref="O459">_xlfn.IFS($F459&gt;=750,"Excellent",$F459&gt;=700,"Good",$F459&gt;=650,"Moderate",
$F459&lt;650,"Risky"
)</f>
        <v>Good</v>
      </c>
      <c r="P459" s="27" t="str" cm="1">
        <f t="array" ref="P459">_xlfn.IFS(
AND(F459&gt;=750,H459&lt;=2),"Low Risk",
AND(F459&gt;=700,H459&lt;=5),"Medium Risk",
TRUE,"High Risk"
)</f>
        <v>Medium Risk</v>
      </c>
      <c r="Q459" s="5"/>
      <c r="R459" s="5"/>
      <c r="S459" s="5"/>
      <c r="T459" s="5"/>
      <c r="U459" s="5"/>
      <c r="V459" s="5"/>
      <c r="W459" s="5"/>
      <c r="X459" s="5"/>
      <c r="Y459" s="5"/>
    </row>
    <row r="460" spans="1:25" ht="15.75" customHeight="1" x14ac:dyDescent="0.25">
      <c r="A460" s="2">
        <v>43855</v>
      </c>
      <c r="B460" s="3">
        <v>32047</v>
      </c>
      <c r="C460" s="4" t="s">
        <v>33</v>
      </c>
      <c r="D460" s="4" t="str">
        <f t="shared" si="8"/>
        <v>Sales</v>
      </c>
      <c r="E460" s="4" t="str">
        <f t="shared" si="9"/>
        <v>Executive</v>
      </c>
      <c r="F460" s="13">
        <v>780</v>
      </c>
      <c r="G460" s="13">
        <v>2</v>
      </c>
      <c r="H460" s="13">
        <v>2</v>
      </c>
      <c r="I460" s="2">
        <v>33648</v>
      </c>
      <c r="J460" s="15">
        <v>888740</v>
      </c>
      <c r="K460" s="4" t="s">
        <v>18</v>
      </c>
      <c r="L460" s="27">
        <f t="shared" si="10"/>
        <v>1992</v>
      </c>
      <c r="M460" s="27">
        <f t="shared" si="11"/>
        <v>1</v>
      </c>
      <c r="N460" s="27">
        <f t="shared" ca="1" si="15"/>
        <v>34</v>
      </c>
      <c r="O460" s="27" t="str" cm="1">
        <f t="array" ref="O460">_xlfn.IFS($F460&gt;=750,"Excellent",$F460&gt;=700,"Good",$F460&gt;=650,"Moderate",
$F460&lt;650,"Risky"
)</f>
        <v>Excellent</v>
      </c>
      <c r="P460" s="27" t="str" cm="1">
        <f t="array" ref="P460">_xlfn.IFS(
AND(F460&gt;=750,H460&lt;=2),"Low Risk",
AND(F460&gt;=700,H460&lt;=5),"Medium Risk",
TRUE,"High Risk"
)</f>
        <v>Low Risk</v>
      </c>
      <c r="Q460" s="5"/>
      <c r="R460" s="5"/>
      <c r="S460" s="5"/>
      <c r="T460" s="5"/>
      <c r="U460" s="5"/>
      <c r="V460" s="5"/>
      <c r="W460" s="5"/>
      <c r="X460" s="5"/>
      <c r="Y460" s="5"/>
    </row>
    <row r="461" spans="1:25" ht="15.75" customHeight="1" x14ac:dyDescent="0.25">
      <c r="A461" s="2">
        <v>43902</v>
      </c>
      <c r="B461" s="3">
        <v>98381</v>
      </c>
      <c r="C461" s="4" t="s">
        <v>35</v>
      </c>
      <c r="D461" s="4" t="str">
        <f t="shared" si="8"/>
        <v>Growth</v>
      </c>
      <c r="E461" s="4" t="str">
        <f t="shared" si="9"/>
        <v>Intern</v>
      </c>
      <c r="F461" s="13">
        <v>755</v>
      </c>
      <c r="G461" s="13">
        <v>3</v>
      </c>
      <c r="H461" s="13">
        <v>5</v>
      </c>
      <c r="I461" s="2">
        <v>34182</v>
      </c>
      <c r="J461" s="15">
        <v>973913</v>
      </c>
      <c r="K461" s="4" t="s">
        <v>21</v>
      </c>
      <c r="L461" s="27">
        <f t="shared" si="10"/>
        <v>1993</v>
      </c>
      <c r="M461" s="27">
        <f t="shared" si="11"/>
        <v>3</v>
      </c>
      <c r="N461" s="27">
        <f t="shared" ca="1" si="15"/>
        <v>33</v>
      </c>
      <c r="O461" s="27" t="str" cm="1">
        <f t="array" ref="O461">_xlfn.IFS($F461&gt;=750,"Excellent",$F461&gt;=700,"Good",$F461&gt;=650,"Moderate",
$F461&lt;650,"Risky"
)</f>
        <v>Excellent</v>
      </c>
      <c r="P461" s="27" t="str" cm="1">
        <f t="array" ref="P461">_xlfn.IFS(
AND(F461&gt;=750,H461&lt;=2),"Low Risk",
AND(F461&gt;=700,H461&lt;=5),"Medium Risk",
TRUE,"High Risk"
)</f>
        <v>Medium Risk</v>
      </c>
      <c r="Q461" s="5"/>
      <c r="R461" s="5"/>
      <c r="S461" s="5"/>
      <c r="T461" s="5"/>
      <c r="U461" s="5"/>
      <c r="V461" s="5"/>
      <c r="W461" s="5"/>
      <c r="X461" s="5"/>
      <c r="Y461" s="5"/>
    </row>
    <row r="462" spans="1:25" ht="15.75" customHeight="1" x14ac:dyDescent="0.25">
      <c r="A462" s="2">
        <v>43863</v>
      </c>
      <c r="B462" s="3">
        <v>88595</v>
      </c>
      <c r="C462" s="4" t="s">
        <v>26</v>
      </c>
      <c r="D462" s="4" t="str">
        <f t="shared" si="8"/>
        <v>Strategy</v>
      </c>
      <c r="E462" s="4" t="str">
        <f t="shared" si="9"/>
        <v>Manager</v>
      </c>
      <c r="F462" s="13">
        <v>784</v>
      </c>
      <c r="G462" s="13">
        <v>1</v>
      </c>
      <c r="H462" s="13">
        <v>8</v>
      </c>
      <c r="I462" s="2">
        <v>34535</v>
      </c>
      <c r="J462" s="15">
        <v>965860</v>
      </c>
      <c r="K462" s="4" t="s">
        <v>18</v>
      </c>
      <c r="L462" s="27">
        <f t="shared" si="10"/>
        <v>1994</v>
      </c>
      <c r="M462" s="27">
        <f t="shared" si="11"/>
        <v>2</v>
      </c>
      <c r="N462" s="27">
        <f t="shared" ca="1" si="15"/>
        <v>32</v>
      </c>
      <c r="O462" s="27" t="str" cm="1">
        <f t="array" ref="O462">_xlfn.IFS($F462&gt;=750,"Excellent",$F462&gt;=700,"Good",$F462&gt;=650,"Moderate",
$F462&lt;650,"Risky"
)</f>
        <v>Excellent</v>
      </c>
      <c r="P462" s="27" t="str" cm="1">
        <f t="array" ref="P462">_xlfn.IFS(
AND(F462&gt;=750,H462&lt;=2),"Low Risk",
AND(F462&gt;=700,H462&lt;=5),"Medium Risk",
TRUE,"High Risk"
)</f>
        <v>High Risk</v>
      </c>
      <c r="Q462" s="5"/>
      <c r="R462" s="5"/>
      <c r="S462" s="5"/>
      <c r="T462" s="5"/>
      <c r="U462" s="5"/>
      <c r="V462" s="5"/>
      <c r="W462" s="5"/>
      <c r="X462" s="5"/>
      <c r="Y462" s="5"/>
    </row>
    <row r="463" spans="1:25" ht="15.75" customHeight="1" x14ac:dyDescent="0.25">
      <c r="A463" s="2">
        <v>43918</v>
      </c>
      <c r="B463" s="3">
        <v>45924</v>
      </c>
      <c r="C463" s="4" t="s">
        <v>28</v>
      </c>
      <c r="D463" s="4" t="str">
        <f t="shared" si="8"/>
        <v>Growth</v>
      </c>
      <c r="E463" s="4" t="str">
        <f t="shared" si="9"/>
        <v>Director</v>
      </c>
      <c r="F463" s="13">
        <v>787</v>
      </c>
      <c r="G463" s="13">
        <v>4</v>
      </c>
      <c r="H463" s="13">
        <v>1</v>
      </c>
      <c r="I463" s="2">
        <v>31312</v>
      </c>
      <c r="J463" s="15">
        <v>928300</v>
      </c>
      <c r="K463" s="4" t="s">
        <v>18</v>
      </c>
      <c r="L463" s="27">
        <f t="shared" si="10"/>
        <v>1985</v>
      </c>
      <c r="M463" s="27">
        <f t="shared" si="11"/>
        <v>3</v>
      </c>
      <c r="N463" s="27">
        <f t="shared" ca="1" si="15"/>
        <v>41</v>
      </c>
      <c r="O463" s="27" t="str" cm="1">
        <f t="array" ref="O463">_xlfn.IFS($F463&gt;=750,"Excellent",$F463&gt;=700,"Good",$F463&gt;=650,"Moderate",
$F463&lt;650,"Risky"
)</f>
        <v>Excellent</v>
      </c>
      <c r="P463" s="27" t="str" cm="1">
        <f t="array" ref="P463">_xlfn.IFS(
AND(F463&gt;=750,H463&lt;=2),"Low Risk",
AND(F463&gt;=700,H463&lt;=5),"Medium Risk",
TRUE,"High Risk"
)</f>
        <v>Low Risk</v>
      </c>
      <c r="Q463" s="5"/>
      <c r="R463" s="5"/>
      <c r="S463" s="5"/>
      <c r="T463" s="5"/>
      <c r="U463" s="5"/>
      <c r="V463" s="5"/>
      <c r="W463" s="5"/>
      <c r="X463" s="5"/>
      <c r="Y463" s="5"/>
    </row>
    <row r="464" spans="1:25" ht="15.75" customHeight="1" x14ac:dyDescent="0.25">
      <c r="A464" s="2">
        <v>44076</v>
      </c>
      <c r="B464" s="3">
        <v>93560</v>
      </c>
      <c r="C464" s="4" t="s">
        <v>25</v>
      </c>
      <c r="D464" s="4" t="str">
        <f t="shared" si="8"/>
        <v>Sales</v>
      </c>
      <c r="E464" s="4" t="str">
        <f t="shared" si="9"/>
        <v>Manager</v>
      </c>
      <c r="F464" s="13">
        <v>710</v>
      </c>
      <c r="G464" s="13">
        <v>2</v>
      </c>
      <c r="H464" s="13">
        <v>6</v>
      </c>
      <c r="I464" s="2">
        <v>32882</v>
      </c>
      <c r="J464" s="15">
        <v>658229</v>
      </c>
      <c r="K464" s="4" t="s">
        <v>18</v>
      </c>
      <c r="L464" s="27">
        <f t="shared" si="10"/>
        <v>1990</v>
      </c>
      <c r="M464" s="27">
        <f t="shared" si="11"/>
        <v>9</v>
      </c>
      <c r="N464" s="27">
        <f t="shared" ca="1" si="15"/>
        <v>36</v>
      </c>
      <c r="O464" s="27" t="str" cm="1">
        <f t="array" ref="O464">_xlfn.IFS($F464&gt;=750,"Excellent",$F464&gt;=700,"Good",$F464&gt;=650,"Moderate",
$F464&lt;650,"Risky"
)</f>
        <v>Good</v>
      </c>
      <c r="P464" s="27" t="str" cm="1">
        <f t="array" ref="P464">_xlfn.IFS(
AND(F464&gt;=750,H464&lt;=2),"Low Risk",
AND(F464&gt;=700,H464&lt;=5),"Medium Risk",
TRUE,"High Risk"
)</f>
        <v>High Risk</v>
      </c>
      <c r="Q464" s="5"/>
      <c r="R464" s="5"/>
      <c r="S464" s="5"/>
      <c r="T464" s="5"/>
      <c r="U464" s="5"/>
      <c r="V464" s="5"/>
      <c r="W464" s="5"/>
      <c r="X464" s="5"/>
      <c r="Y464" s="5"/>
    </row>
    <row r="465" spans="1:25" ht="15.75" customHeight="1" x14ac:dyDescent="0.25">
      <c r="A465" s="2">
        <v>44011</v>
      </c>
      <c r="B465" s="3">
        <v>55067</v>
      </c>
      <c r="C465" s="4" t="s">
        <v>23</v>
      </c>
      <c r="D465" s="4" t="str">
        <f t="shared" si="8"/>
        <v>Marketing</v>
      </c>
      <c r="E465" s="4" t="str">
        <f t="shared" si="9"/>
        <v>Intern</v>
      </c>
      <c r="F465" s="13">
        <v>730</v>
      </c>
      <c r="G465" s="13">
        <v>3</v>
      </c>
      <c r="H465" s="13">
        <v>2</v>
      </c>
      <c r="I465" s="2">
        <v>33795</v>
      </c>
      <c r="J465" s="15">
        <v>560882</v>
      </c>
      <c r="K465" s="4" t="s">
        <v>18</v>
      </c>
      <c r="L465" s="27">
        <f t="shared" si="10"/>
        <v>1992</v>
      </c>
      <c r="M465" s="27">
        <f t="shared" si="11"/>
        <v>6</v>
      </c>
      <c r="N465" s="27">
        <f t="shared" ca="1" si="15"/>
        <v>34</v>
      </c>
      <c r="O465" s="27" t="str" cm="1">
        <f t="array" ref="O465">_xlfn.IFS($F465&gt;=750,"Excellent",$F465&gt;=700,"Good",$F465&gt;=650,"Moderate",
$F465&lt;650,"Risky"
)</f>
        <v>Good</v>
      </c>
      <c r="P465" s="27" t="str" cm="1">
        <f t="array" ref="P465">_xlfn.IFS(
AND(F465&gt;=750,H465&lt;=2),"Low Risk",
AND(F465&gt;=700,H465&lt;=5),"Medium Risk",
TRUE,"High Risk"
)</f>
        <v>Medium Risk</v>
      </c>
      <c r="Q465" s="5"/>
      <c r="R465" s="5"/>
      <c r="S465" s="5"/>
      <c r="T465" s="5"/>
      <c r="U465" s="5"/>
      <c r="V465" s="5"/>
      <c r="W465" s="5"/>
      <c r="X465" s="5"/>
      <c r="Y465" s="5"/>
    </row>
    <row r="466" spans="1:25" ht="15.75" customHeight="1" x14ac:dyDescent="0.25">
      <c r="A466" s="2">
        <v>44127</v>
      </c>
      <c r="B466" s="3">
        <v>31005</v>
      </c>
      <c r="C466" s="4" t="s">
        <v>30</v>
      </c>
      <c r="D466" s="4" t="str">
        <f t="shared" si="8"/>
        <v>Operation</v>
      </c>
      <c r="E466" s="4" t="str">
        <f t="shared" si="9"/>
        <v>Director</v>
      </c>
      <c r="F466" s="13">
        <v>750</v>
      </c>
      <c r="G466" s="13">
        <v>3</v>
      </c>
      <c r="H466" s="13">
        <v>7</v>
      </c>
      <c r="I466" s="2">
        <v>33291</v>
      </c>
      <c r="J466" s="15">
        <v>781897</v>
      </c>
      <c r="K466" s="4" t="s">
        <v>18</v>
      </c>
      <c r="L466" s="27">
        <f t="shared" si="10"/>
        <v>1991</v>
      </c>
      <c r="M466" s="27">
        <f t="shared" si="11"/>
        <v>10</v>
      </c>
      <c r="N466" s="27">
        <f t="shared" ca="1" si="15"/>
        <v>35</v>
      </c>
      <c r="O466" s="27" t="str" cm="1">
        <f t="array" ref="O466">_xlfn.IFS($F466&gt;=750,"Excellent",$F466&gt;=700,"Good",$F466&gt;=650,"Moderate",
$F466&lt;650,"Risky"
)</f>
        <v>Excellent</v>
      </c>
      <c r="P466" s="27" t="str" cm="1">
        <f t="array" ref="P466">_xlfn.IFS(
AND(F466&gt;=750,H466&lt;=2),"Low Risk",
AND(F466&gt;=700,H466&lt;=5),"Medium Risk",
TRUE,"High Risk"
)</f>
        <v>High Risk</v>
      </c>
      <c r="Q466" s="5"/>
      <c r="R466" s="5"/>
      <c r="S466" s="5"/>
      <c r="T466" s="5"/>
      <c r="U466" s="5"/>
      <c r="V466" s="5"/>
      <c r="W466" s="5"/>
      <c r="X466" s="5"/>
      <c r="Y466" s="5"/>
    </row>
    <row r="467" spans="1:25" ht="15.75" customHeight="1" x14ac:dyDescent="0.25">
      <c r="A467" s="2">
        <v>43903</v>
      </c>
      <c r="B467" s="3">
        <v>88614</v>
      </c>
      <c r="C467" s="4" t="s">
        <v>34</v>
      </c>
      <c r="D467" s="4" t="str">
        <f t="shared" si="8"/>
        <v>Finance</v>
      </c>
      <c r="E467" s="4" t="str">
        <f t="shared" si="9"/>
        <v>Director</v>
      </c>
      <c r="F467" s="13">
        <v>749</v>
      </c>
      <c r="G467" s="13">
        <v>1</v>
      </c>
      <c r="H467" s="13">
        <v>4</v>
      </c>
      <c r="I467" s="2">
        <v>29276</v>
      </c>
      <c r="J467" s="15">
        <v>769026</v>
      </c>
      <c r="K467" s="4" t="s">
        <v>14</v>
      </c>
      <c r="L467" s="27">
        <f t="shared" si="10"/>
        <v>1980</v>
      </c>
      <c r="M467" s="27">
        <f t="shared" si="11"/>
        <v>3</v>
      </c>
      <c r="N467" s="27">
        <f t="shared" ca="1" si="15"/>
        <v>46</v>
      </c>
      <c r="O467" s="27" t="str" cm="1">
        <f t="array" ref="O467">_xlfn.IFS($F467&gt;=750,"Excellent",$F467&gt;=700,"Good",$F467&gt;=650,"Moderate",
$F467&lt;650,"Risky"
)</f>
        <v>Good</v>
      </c>
      <c r="P467" s="27" t="str" cm="1">
        <f t="array" ref="P467">_xlfn.IFS(
AND(F467&gt;=750,H467&lt;=2),"Low Risk",
AND(F467&gt;=700,H467&lt;=5),"Medium Risk",
TRUE,"High Risk"
)</f>
        <v>Medium Risk</v>
      </c>
      <c r="Q467" s="5"/>
      <c r="R467" s="5"/>
      <c r="S467" s="5"/>
      <c r="T467" s="5"/>
      <c r="U467" s="5"/>
      <c r="V467" s="5"/>
      <c r="W467" s="5"/>
      <c r="X467" s="5"/>
      <c r="Y467" s="5"/>
    </row>
    <row r="468" spans="1:25" ht="15.75" customHeight="1" x14ac:dyDescent="0.25">
      <c r="A468" s="2">
        <v>43970</v>
      </c>
      <c r="B468" s="3">
        <v>61411</v>
      </c>
      <c r="C468" s="4" t="s">
        <v>35</v>
      </c>
      <c r="D468" s="4" t="str">
        <f t="shared" si="8"/>
        <v>Growth</v>
      </c>
      <c r="E468" s="4" t="str">
        <f t="shared" si="9"/>
        <v>Intern</v>
      </c>
      <c r="F468" s="13">
        <v>757</v>
      </c>
      <c r="G468" s="13">
        <v>4</v>
      </c>
      <c r="H468" s="13">
        <v>2</v>
      </c>
      <c r="I468" s="2">
        <v>30514</v>
      </c>
      <c r="J468" s="15">
        <v>505118</v>
      </c>
      <c r="K468" s="4" t="s">
        <v>18</v>
      </c>
      <c r="L468" s="27">
        <f t="shared" si="10"/>
        <v>1983</v>
      </c>
      <c r="M468" s="27">
        <f t="shared" si="11"/>
        <v>5</v>
      </c>
      <c r="N468" s="27">
        <f t="shared" ca="1" si="15"/>
        <v>43</v>
      </c>
      <c r="O468" s="27" t="str" cm="1">
        <f t="array" ref="O468">_xlfn.IFS($F468&gt;=750,"Excellent",$F468&gt;=700,"Good",$F468&gt;=650,"Moderate",
$F468&lt;650,"Risky"
)</f>
        <v>Excellent</v>
      </c>
      <c r="P468" s="27" t="str" cm="1">
        <f t="array" ref="P468">_xlfn.IFS(
AND(F468&gt;=750,H468&lt;=2),"Low Risk",
AND(F468&gt;=700,H468&lt;=5),"Medium Risk",
TRUE,"High Risk"
)</f>
        <v>Low Risk</v>
      </c>
      <c r="Q468" s="5"/>
      <c r="R468" s="5"/>
      <c r="S468" s="5"/>
      <c r="T468" s="5"/>
      <c r="U468" s="5"/>
      <c r="V468" s="5"/>
      <c r="W468" s="5"/>
      <c r="X468" s="5"/>
      <c r="Y468" s="5"/>
    </row>
    <row r="469" spans="1:25" ht="15.75" customHeight="1" x14ac:dyDescent="0.25">
      <c r="A469" s="2">
        <v>44025</v>
      </c>
      <c r="B469" s="3">
        <v>13948</v>
      </c>
      <c r="C469" s="4" t="s">
        <v>38</v>
      </c>
      <c r="D469" s="4" t="str">
        <f t="shared" si="8"/>
        <v>Finance</v>
      </c>
      <c r="E469" s="4" t="str">
        <f t="shared" si="9"/>
        <v>Manager</v>
      </c>
      <c r="F469" s="13">
        <v>785</v>
      </c>
      <c r="G469" s="13">
        <v>2</v>
      </c>
      <c r="H469" s="13">
        <v>9</v>
      </c>
      <c r="I469" s="2">
        <v>34679</v>
      </c>
      <c r="J469" s="15">
        <v>623506</v>
      </c>
      <c r="K469" s="4" t="s">
        <v>18</v>
      </c>
      <c r="L469" s="27">
        <f t="shared" si="10"/>
        <v>1994</v>
      </c>
      <c r="M469" s="27">
        <f t="shared" si="11"/>
        <v>7</v>
      </c>
      <c r="N469" s="27">
        <f t="shared" ca="1" si="15"/>
        <v>32</v>
      </c>
      <c r="O469" s="27" t="str" cm="1">
        <f t="array" ref="O469">_xlfn.IFS($F469&gt;=750,"Excellent",$F469&gt;=700,"Good",$F469&gt;=650,"Moderate",
$F469&lt;650,"Risky"
)</f>
        <v>Excellent</v>
      </c>
      <c r="P469" s="27" t="str" cm="1">
        <f t="array" ref="P469">_xlfn.IFS(
AND(F469&gt;=750,H469&lt;=2),"Low Risk",
AND(F469&gt;=700,H469&lt;=5),"Medium Risk",
TRUE,"High Risk"
)</f>
        <v>High Risk</v>
      </c>
      <c r="Q469" s="5"/>
      <c r="R469" s="5"/>
      <c r="S469" s="5"/>
      <c r="T469" s="5"/>
      <c r="U469" s="5"/>
      <c r="V469" s="5"/>
      <c r="W469" s="5"/>
      <c r="X469" s="5"/>
      <c r="Y469" s="5"/>
    </row>
    <row r="470" spans="1:25" ht="15.75" customHeight="1" x14ac:dyDescent="0.25">
      <c r="A470" s="2">
        <v>43912</v>
      </c>
      <c r="B470" s="3">
        <v>11840</v>
      </c>
      <c r="C470" s="4" t="s">
        <v>36</v>
      </c>
      <c r="D470" s="4" t="str">
        <f t="shared" si="8"/>
        <v>Sales</v>
      </c>
      <c r="E470" s="4" t="str">
        <f t="shared" si="9"/>
        <v>Intern</v>
      </c>
      <c r="F470" s="13">
        <v>789</v>
      </c>
      <c r="G470" s="13">
        <v>2</v>
      </c>
      <c r="H470" s="13">
        <v>10</v>
      </c>
      <c r="I470" s="2">
        <v>33057</v>
      </c>
      <c r="J470" s="15">
        <v>684537</v>
      </c>
      <c r="K470" s="4" t="s">
        <v>14</v>
      </c>
      <c r="L470" s="27">
        <f t="shared" si="10"/>
        <v>1990</v>
      </c>
      <c r="M470" s="27">
        <f t="shared" si="11"/>
        <v>3</v>
      </c>
      <c r="N470" s="27">
        <f t="shared" ca="1" si="15"/>
        <v>36</v>
      </c>
      <c r="O470" s="27" t="str" cm="1">
        <f t="array" ref="O470">_xlfn.IFS($F470&gt;=750,"Excellent",$F470&gt;=700,"Good",$F470&gt;=650,"Moderate",
$F470&lt;650,"Risky"
)</f>
        <v>Excellent</v>
      </c>
      <c r="P470" s="27" t="str" cm="1">
        <f t="array" ref="P470">_xlfn.IFS(
AND(F470&gt;=750,H470&lt;=2),"Low Risk",
AND(F470&gt;=700,H470&lt;=5),"Medium Risk",
TRUE,"High Risk"
)</f>
        <v>High Risk</v>
      </c>
      <c r="Q470" s="5"/>
      <c r="R470" s="5"/>
      <c r="S470" s="5"/>
      <c r="T470" s="5"/>
      <c r="U470" s="5"/>
      <c r="V470" s="5"/>
      <c r="W470" s="5"/>
      <c r="X470" s="5"/>
      <c r="Y470" s="5"/>
    </row>
    <row r="471" spans="1:25" ht="15.75" customHeight="1" x14ac:dyDescent="0.25">
      <c r="A471" s="2">
        <v>44162</v>
      </c>
      <c r="B471" s="3">
        <v>76930</v>
      </c>
      <c r="C471" s="4" t="s">
        <v>22</v>
      </c>
      <c r="D471" s="4" t="str">
        <f t="shared" si="8"/>
        <v>Strategy</v>
      </c>
      <c r="E471" s="4" t="str">
        <f t="shared" si="9"/>
        <v>Executive</v>
      </c>
      <c r="F471" s="13">
        <v>762</v>
      </c>
      <c r="G471" s="13">
        <v>1</v>
      </c>
      <c r="H471" s="13">
        <v>8</v>
      </c>
      <c r="I471" s="2">
        <v>34333</v>
      </c>
      <c r="J471" s="15">
        <v>601108</v>
      </c>
      <c r="K471" s="4" t="s">
        <v>18</v>
      </c>
      <c r="L471" s="27">
        <f t="shared" si="10"/>
        <v>1993</v>
      </c>
      <c r="M471" s="27">
        <f t="shared" si="11"/>
        <v>11</v>
      </c>
      <c r="N471" s="27">
        <f t="shared" ca="1" si="15"/>
        <v>33</v>
      </c>
      <c r="O471" s="27" t="str" cm="1">
        <f t="array" ref="O471">_xlfn.IFS($F471&gt;=750,"Excellent",$F471&gt;=700,"Good",$F471&gt;=650,"Moderate",
$F471&lt;650,"Risky"
)</f>
        <v>Excellent</v>
      </c>
      <c r="P471" s="27" t="str" cm="1">
        <f t="array" ref="P471">_xlfn.IFS(
AND(F471&gt;=750,H471&lt;=2),"Low Risk",
AND(F471&gt;=700,H471&lt;=5),"Medium Risk",
TRUE,"High Risk"
)</f>
        <v>High Risk</v>
      </c>
      <c r="Q471" s="5"/>
      <c r="R471" s="5"/>
      <c r="S471" s="5"/>
      <c r="T471" s="5"/>
      <c r="U471" s="5"/>
      <c r="V471" s="5"/>
      <c r="W471" s="5"/>
      <c r="X471" s="5"/>
      <c r="Y471" s="5"/>
    </row>
    <row r="472" spans="1:25" ht="15.75" customHeight="1" x14ac:dyDescent="0.25">
      <c r="A472" s="2">
        <v>43924</v>
      </c>
      <c r="B472" s="3">
        <v>83885</v>
      </c>
      <c r="C472" s="4" t="s">
        <v>27</v>
      </c>
      <c r="D472" s="4" t="str">
        <f t="shared" si="8"/>
        <v>Operation</v>
      </c>
      <c r="E472" s="4" t="str">
        <f t="shared" si="9"/>
        <v>Intern</v>
      </c>
      <c r="F472" s="13">
        <v>703</v>
      </c>
      <c r="G472" s="13">
        <v>1</v>
      </c>
      <c r="H472" s="13">
        <v>9</v>
      </c>
      <c r="I472" s="2">
        <v>29819</v>
      </c>
      <c r="J472" s="15">
        <v>990159</v>
      </c>
      <c r="K472" s="4" t="s">
        <v>14</v>
      </c>
      <c r="L472" s="27">
        <f t="shared" si="10"/>
        <v>1981</v>
      </c>
      <c r="M472" s="27">
        <f t="shared" si="11"/>
        <v>4</v>
      </c>
      <c r="N472" s="27">
        <f t="shared" ca="1" si="15"/>
        <v>45</v>
      </c>
      <c r="O472" s="27" t="str" cm="1">
        <f t="array" ref="O472">_xlfn.IFS($F472&gt;=750,"Excellent",$F472&gt;=700,"Good",$F472&gt;=650,"Moderate",
$F472&lt;650,"Risky"
)</f>
        <v>Good</v>
      </c>
      <c r="P472" s="27" t="str" cm="1">
        <f t="array" ref="P472">_xlfn.IFS(
AND(F472&gt;=750,H472&lt;=2),"Low Risk",
AND(F472&gt;=700,H472&lt;=5),"Medium Risk",
TRUE,"High Risk"
)</f>
        <v>High Risk</v>
      </c>
      <c r="Q472" s="5"/>
      <c r="R472" s="5"/>
      <c r="S472" s="5"/>
      <c r="T472" s="5"/>
      <c r="U472" s="5"/>
      <c r="V472" s="5"/>
      <c r="W472" s="5"/>
      <c r="X472" s="5"/>
      <c r="Y472" s="5"/>
    </row>
    <row r="473" spans="1:25" ht="15.75" customHeight="1" x14ac:dyDescent="0.25">
      <c r="A473" s="2">
        <v>44073</v>
      </c>
      <c r="B473" s="3">
        <v>99618</v>
      </c>
      <c r="C473" s="4" t="s">
        <v>38</v>
      </c>
      <c r="D473" s="4" t="str">
        <f t="shared" si="8"/>
        <v>Finance</v>
      </c>
      <c r="E473" s="4" t="str">
        <f t="shared" si="9"/>
        <v>Manager</v>
      </c>
      <c r="F473" s="13">
        <v>766</v>
      </c>
      <c r="G473" s="13">
        <v>2</v>
      </c>
      <c r="H473" s="13">
        <v>3</v>
      </c>
      <c r="I473" s="2">
        <v>29548</v>
      </c>
      <c r="J473" s="15">
        <v>630292</v>
      </c>
      <c r="K473" s="4" t="s">
        <v>21</v>
      </c>
      <c r="L473" s="27">
        <f t="shared" si="10"/>
        <v>1980</v>
      </c>
      <c r="M473" s="27">
        <f t="shared" si="11"/>
        <v>8</v>
      </c>
      <c r="N473" s="27">
        <f t="shared" ca="1" si="15"/>
        <v>46</v>
      </c>
      <c r="O473" s="27" t="str" cm="1">
        <f t="array" ref="O473">_xlfn.IFS($F473&gt;=750,"Excellent",$F473&gt;=700,"Good",$F473&gt;=650,"Moderate",
$F473&lt;650,"Risky"
)</f>
        <v>Excellent</v>
      </c>
      <c r="P473" s="27" t="str" cm="1">
        <f t="array" ref="P473">_xlfn.IFS(
AND(F473&gt;=750,H473&lt;=2),"Low Risk",
AND(F473&gt;=700,H473&lt;=5),"Medium Risk",
TRUE,"High Risk"
)</f>
        <v>Medium Risk</v>
      </c>
      <c r="Q473" s="5"/>
      <c r="R473" s="5"/>
      <c r="S473" s="5"/>
      <c r="T473" s="5"/>
      <c r="U473" s="5"/>
      <c r="V473" s="5"/>
      <c r="W473" s="5"/>
      <c r="X473" s="5"/>
      <c r="Y473" s="5"/>
    </row>
    <row r="474" spans="1:25" ht="15.75" customHeight="1" x14ac:dyDescent="0.25">
      <c r="A474" s="2">
        <v>43991</v>
      </c>
      <c r="B474" s="3">
        <v>17583</v>
      </c>
      <c r="C474" s="4" t="s">
        <v>39</v>
      </c>
      <c r="D474" s="4" t="str">
        <f t="shared" si="8"/>
        <v>Growth</v>
      </c>
      <c r="E474" s="4" t="str">
        <f t="shared" si="9"/>
        <v>Executive</v>
      </c>
      <c r="F474" s="13">
        <v>745</v>
      </c>
      <c r="G474" s="13">
        <v>2</v>
      </c>
      <c r="H474" s="13">
        <v>3</v>
      </c>
      <c r="I474" s="2">
        <v>31381</v>
      </c>
      <c r="J474" s="15">
        <v>614908</v>
      </c>
      <c r="K474" s="4" t="s">
        <v>21</v>
      </c>
      <c r="L474" s="27">
        <f t="shared" si="10"/>
        <v>1985</v>
      </c>
      <c r="M474" s="27">
        <f t="shared" si="11"/>
        <v>6</v>
      </c>
      <c r="N474" s="27">
        <f t="shared" ca="1" si="15"/>
        <v>41</v>
      </c>
      <c r="O474" s="27" t="str" cm="1">
        <f t="array" ref="O474">_xlfn.IFS($F474&gt;=750,"Excellent",$F474&gt;=700,"Good",$F474&gt;=650,"Moderate",
$F474&lt;650,"Risky"
)</f>
        <v>Good</v>
      </c>
      <c r="P474" s="27" t="str" cm="1">
        <f t="array" ref="P474">_xlfn.IFS(
AND(F474&gt;=750,H474&lt;=2),"Low Risk",
AND(F474&gt;=700,H474&lt;=5),"Medium Risk",
TRUE,"High Risk"
)</f>
        <v>Medium Risk</v>
      </c>
      <c r="Q474" s="5"/>
      <c r="R474" s="5"/>
      <c r="S474" s="5"/>
      <c r="T474" s="5"/>
      <c r="U474" s="5"/>
      <c r="V474" s="5"/>
      <c r="W474" s="5"/>
      <c r="X474" s="5"/>
      <c r="Y474" s="5"/>
    </row>
    <row r="475" spans="1:25" ht="15.75" customHeight="1" x14ac:dyDescent="0.25">
      <c r="A475" s="2">
        <v>43851</v>
      </c>
      <c r="B475" s="3">
        <v>85664</v>
      </c>
      <c r="C475" s="4" t="s">
        <v>35</v>
      </c>
      <c r="D475" s="4" t="str">
        <f t="shared" si="8"/>
        <v>Growth</v>
      </c>
      <c r="E475" s="4" t="str">
        <f t="shared" si="9"/>
        <v>Intern</v>
      </c>
      <c r="F475" s="13">
        <v>747</v>
      </c>
      <c r="G475" s="13">
        <v>4</v>
      </c>
      <c r="H475" s="13">
        <v>1</v>
      </c>
      <c r="I475" s="2">
        <v>29848</v>
      </c>
      <c r="J475" s="15">
        <v>575675</v>
      </c>
      <c r="K475" s="4" t="s">
        <v>18</v>
      </c>
      <c r="L475" s="27">
        <f t="shared" si="10"/>
        <v>1981</v>
      </c>
      <c r="M475" s="27">
        <f t="shared" si="11"/>
        <v>1</v>
      </c>
      <c r="N475" s="27">
        <f t="shared" ca="1" si="15"/>
        <v>45</v>
      </c>
      <c r="O475" s="27" t="str" cm="1">
        <f t="array" ref="O475">_xlfn.IFS($F475&gt;=750,"Excellent",$F475&gt;=700,"Good",$F475&gt;=650,"Moderate",
$F475&lt;650,"Risky"
)</f>
        <v>Good</v>
      </c>
      <c r="P475" s="27" t="str" cm="1">
        <f t="array" ref="P475">_xlfn.IFS(
AND(F475&gt;=750,H475&lt;=2),"Low Risk",
AND(F475&gt;=700,H475&lt;=5),"Medium Risk",
TRUE,"High Risk"
)</f>
        <v>Medium Risk</v>
      </c>
      <c r="Q475" s="5"/>
      <c r="R475" s="5"/>
      <c r="S475" s="5"/>
      <c r="T475" s="5"/>
      <c r="U475" s="5"/>
      <c r="V475" s="5"/>
      <c r="W475" s="5"/>
      <c r="X475" s="5"/>
      <c r="Y475" s="5"/>
    </row>
    <row r="476" spans="1:25" ht="15.75" customHeight="1" x14ac:dyDescent="0.25">
      <c r="A476" s="2">
        <v>44021</v>
      </c>
      <c r="B476" s="3">
        <v>71405</v>
      </c>
      <c r="C476" s="4" t="s">
        <v>17</v>
      </c>
      <c r="D476" s="4" t="str">
        <f t="shared" si="8"/>
        <v>Growth</v>
      </c>
      <c r="E476" s="4" t="str">
        <f t="shared" si="9"/>
        <v>Manager</v>
      </c>
      <c r="F476" s="13">
        <v>748</v>
      </c>
      <c r="G476" s="13">
        <v>1</v>
      </c>
      <c r="H476" s="13">
        <v>4</v>
      </c>
      <c r="I476" s="2">
        <v>32962</v>
      </c>
      <c r="J476" s="15">
        <v>907498</v>
      </c>
      <c r="K476" s="4" t="s">
        <v>14</v>
      </c>
      <c r="L476" s="27">
        <f t="shared" si="10"/>
        <v>1990</v>
      </c>
      <c r="M476" s="27">
        <f t="shared" si="11"/>
        <v>7</v>
      </c>
      <c r="N476" s="27">
        <f t="shared" ca="1" si="15"/>
        <v>36</v>
      </c>
      <c r="O476" s="27" t="str" cm="1">
        <f t="array" ref="O476">_xlfn.IFS($F476&gt;=750,"Excellent",$F476&gt;=700,"Good",$F476&gt;=650,"Moderate",
$F476&lt;650,"Risky"
)</f>
        <v>Good</v>
      </c>
      <c r="P476" s="27" t="str" cm="1">
        <f t="array" ref="P476">_xlfn.IFS(
AND(F476&gt;=750,H476&lt;=2),"Low Risk",
AND(F476&gt;=700,H476&lt;=5),"Medium Risk",
TRUE,"High Risk"
)</f>
        <v>Medium Risk</v>
      </c>
      <c r="Q476" s="5"/>
      <c r="R476" s="5"/>
      <c r="S476" s="5"/>
      <c r="T476" s="5"/>
      <c r="U476" s="5"/>
      <c r="V476" s="5"/>
      <c r="W476" s="5"/>
      <c r="X476" s="5"/>
      <c r="Y476" s="5"/>
    </row>
    <row r="477" spans="1:25" ht="15.75" customHeight="1" x14ac:dyDescent="0.25">
      <c r="A477" s="2">
        <v>43865</v>
      </c>
      <c r="B477" s="3">
        <v>77210</v>
      </c>
      <c r="C477" s="4" t="s">
        <v>35</v>
      </c>
      <c r="D477" s="4" t="str">
        <f t="shared" si="8"/>
        <v>Growth</v>
      </c>
      <c r="E477" s="4" t="str">
        <f t="shared" si="9"/>
        <v>Intern</v>
      </c>
      <c r="F477" s="13">
        <v>760</v>
      </c>
      <c r="G477" s="13">
        <v>5</v>
      </c>
      <c r="H477" s="13">
        <v>5</v>
      </c>
      <c r="I477" s="2">
        <v>32271</v>
      </c>
      <c r="J477" s="15">
        <v>640079</v>
      </c>
      <c r="K477" s="4" t="s">
        <v>21</v>
      </c>
      <c r="L477" s="27">
        <f t="shared" si="10"/>
        <v>1988</v>
      </c>
      <c r="M477" s="27">
        <f t="shared" si="11"/>
        <v>2</v>
      </c>
      <c r="N477" s="27">
        <f t="shared" ca="1" si="15"/>
        <v>38</v>
      </c>
      <c r="O477" s="27" t="str" cm="1">
        <f t="array" ref="O477">_xlfn.IFS($F477&gt;=750,"Excellent",$F477&gt;=700,"Good",$F477&gt;=650,"Moderate",
$F477&lt;650,"Risky"
)</f>
        <v>Excellent</v>
      </c>
      <c r="P477" s="27" t="str" cm="1">
        <f t="array" ref="P477">_xlfn.IFS(
AND(F477&gt;=750,H477&lt;=2),"Low Risk",
AND(F477&gt;=700,H477&lt;=5),"Medium Risk",
TRUE,"High Risk"
)</f>
        <v>Medium Risk</v>
      </c>
      <c r="Q477" s="5"/>
      <c r="R477" s="5"/>
      <c r="S477" s="5"/>
      <c r="T477" s="5"/>
      <c r="U477" s="5"/>
      <c r="V477" s="5"/>
      <c r="W477" s="5"/>
      <c r="X477" s="5"/>
      <c r="Y477" s="5"/>
    </row>
    <row r="478" spans="1:25" ht="15.75" customHeight="1" x14ac:dyDescent="0.25">
      <c r="A478" s="2">
        <v>43905</v>
      </c>
      <c r="B478" s="3">
        <v>67481</v>
      </c>
      <c r="C478" s="4" t="s">
        <v>30</v>
      </c>
      <c r="D478" s="4" t="str">
        <f t="shared" si="8"/>
        <v>Operation</v>
      </c>
      <c r="E478" s="4" t="str">
        <f t="shared" si="9"/>
        <v>Director</v>
      </c>
      <c r="F478" s="13">
        <v>787</v>
      </c>
      <c r="G478" s="13">
        <v>3</v>
      </c>
      <c r="H478" s="13">
        <v>1</v>
      </c>
      <c r="I478" s="2">
        <v>29612</v>
      </c>
      <c r="J478" s="15">
        <v>760487</v>
      </c>
      <c r="K478" s="4" t="s">
        <v>21</v>
      </c>
      <c r="L478" s="27">
        <f t="shared" si="10"/>
        <v>1981</v>
      </c>
      <c r="M478" s="27">
        <f t="shared" si="11"/>
        <v>3</v>
      </c>
      <c r="N478" s="27">
        <f t="shared" ca="1" si="15"/>
        <v>45</v>
      </c>
      <c r="O478" s="27" t="str" cm="1">
        <f t="array" ref="O478">_xlfn.IFS($F478&gt;=750,"Excellent",$F478&gt;=700,"Good",$F478&gt;=650,"Moderate",
$F478&lt;650,"Risky"
)</f>
        <v>Excellent</v>
      </c>
      <c r="P478" s="27" t="str" cm="1">
        <f t="array" ref="P478">_xlfn.IFS(
AND(F478&gt;=750,H478&lt;=2),"Low Risk",
AND(F478&gt;=700,H478&lt;=5),"Medium Risk",
TRUE,"High Risk"
)</f>
        <v>Low Risk</v>
      </c>
      <c r="Q478" s="5"/>
      <c r="R478" s="5"/>
      <c r="S478" s="5"/>
      <c r="T478" s="5"/>
      <c r="U478" s="5"/>
      <c r="V478" s="5"/>
      <c r="W478" s="5"/>
      <c r="X478" s="5"/>
      <c r="Y478" s="5"/>
    </row>
    <row r="479" spans="1:25" ht="15.75" customHeight="1" x14ac:dyDescent="0.25">
      <c r="A479" s="2">
        <v>43955</v>
      </c>
      <c r="B479" s="3">
        <v>64838</v>
      </c>
      <c r="C479" s="4" t="s">
        <v>27</v>
      </c>
      <c r="D479" s="4" t="str">
        <f t="shared" si="8"/>
        <v>Operation</v>
      </c>
      <c r="E479" s="4" t="str">
        <f t="shared" si="9"/>
        <v>Intern</v>
      </c>
      <c r="F479" s="13">
        <v>704</v>
      </c>
      <c r="G479" s="13">
        <v>5</v>
      </c>
      <c r="H479" s="13">
        <v>4</v>
      </c>
      <c r="I479" s="2">
        <v>32988</v>
      </c>
      <c r="J479" s="15">
        <v>816102</v>
      </c>
      <c r="K479" s="4" t="s">
        <v>21</v>
      </c>
      <c r="L479" s="27">
        <f t="shared" si="10"/>
        <v>1990</v>
      </c>
      <c r="M479" s="27">
        <f t="shared" si="11"/>
        <v>5</v>
      </c>
      <c r="N479" s="27">
        <f t="shared" ca="1" si="15"/>
        <v>36</v>
      </c>
      <c r="O479" s="27" t="str" cm="1">
        <f t="array" ref="O479">_xlfn.IFS($F479&gt;=750,"Excellent",$F479&gt;=700,"Good",$F479&gt;=650,"Moderate",
$F479&lt;650,"Risky"
)</f>
        <v>Good</v>
      </c>
      <c r="P479" s="27" t="str" cm="1">
        <f t="array" ref="P479">_xlfn.IFS(
AND(F479&gt;=750,H479&lt;=2),"Low Risk",
AND(F479&gt;=700,H479&lt;=5),"Medium Risk",
TRUE,"High Risk"
)</f>
        <v>Medium Risk</v>
      </c>
      <c r="Q479" s="5"/>
      <c r="R479" s="5"/>
      <c r="S479" s="5"/>
      <c r="T479" s="5"/>
      <c r="U479" s="5"/>
      <c r="V479" s="5"/>
      <c r="W479" s="5"/>
      <c r="X479" s="5"/>
      <c r="Y479" s="5"/>
    </row>
    <row r="480" spans="1:25" ht="15.75" customHeight="1" x14ac:dyDescent="0.25">
      <c r="A480" s="2">
        <v>44168</v>
      </c>
      <c r="B480" s="3">
        <v>94902</v>
      </c>
      <c r="C480" s="4" t="s">
        <v>27</v>
      </c>
      <c r="D480" s="4" t="str">
        <f t="shared" si="8"/>
        <v>Operation</v>
      </c>
      <c r="E480" s="4" t="str">
        <f t="shared" si="9"/>
        <v>Intern</v>
      </c>
      <c r="F480" s="13">
        <v>759</v>
      </c>
      <c r="G480" s="13">
        <v>1</v>
      </c>
      <c r="H480" s="13">
        <v>2</v>
      </c>
      <c r="I480" s="2">
        <v>32809</v>
      </c>
      <c r="J480" s="15">
        <v>852827</v>
      </c>
      <c r="K480" s="4" t="s">
        <v>14</v>
      </c>
      <c r="L480" s="27">
        <f t="shared" si="10"/>
        <v>1989</v>
      </c>
      <c r="M480" s="27">
        <f t="shared" si="11"/>
        <v>12</v>
      </c>
      <c r="N480" s="27">
        <f t="shared" ca="1" si="15"/>
        <v>37</v>
      </c>
      <c r="O480" s="27" t="str" cm="1">
        <f t="array" ref="O480">_xlfn.IFS($F480&gt;=750,"Excellent",$F480&gt;=700,"Good",$F480&gt;=650,"Moderate",
$F480&lt;650,"Risky"
)</f>
        <v>Excellent</v>
      </c>
      <c r="P480" s="27" t="str" cm="1">
        <f t="array" ref="P480">_xlfn.IFS(
AND(F480&gt;=750,H480&lt;=2),"Low Risk",
AND(F480&gt;=700,H480&lt;=5),"Medium Risk",
TRUE,"High Risk"
)</f>
        <v>Low Risk</v>
      </c>
      <c r="Q480" s="5"/>
      <c r="R480" s="5"/>
      <c r="S480" s="5"/>
      <c r="T480" s="5"/>
      <c r="U480" s="5"/>
      <c r="V480" s="5"/>
      <c r="W480" s="5"/>
      <c r="X480" s="5"/>
      <c r="Y480" s="5"/>
    </row>
    <row r="481" spans="1:25" ht="15.75" customHeight="1" x14ac:dyDescent="0.25">
      <c r="A481" s="2">
        <v>44048</v>
      </c>
      <c r="B481" s="3">
        <v>32195</v>
      </c>
      <c r="C481" s="4" t="s">
        <v>23</v>
      </c>
      <c r="D481" s="4" t="str">
        <f t="shared" si="8"/>
        <v>Marketing</v>
      </c>
      <c r="E481" s="4" t="str">
        <f t="shared" si="9"/>
        <v>Intern</v>
      </c>
      <c r="F481" s="13">
        <v>707</v>
      </c>
      <c r="G481" s="13">
        <v>5</v>
      </c>
      <c r="H481" s="13">
        <v>7</v>
      </c>
      <c r="I481" s="2">
        <v>31955</v>
      </c>
      <c r="J481" s="15">
        <v>805154</v>
      </c>
      <c r="K481" s="4" t="s">
        <v>21</v>
      </c>
      <c r="L481" s="27">
        <f t="shared" si="10"/>
        <v>1987</v>
      </c>
      <c r="M481" s="27">
        <f t="shared" si="11"/>
        <v>8</v>
      </c>
      <c r="N481" s="27">
        <f t="shared" ca="1" si="15"/>
        <v>39</v>
      </c>
      <c r="O481" s="27" t="str" cm="1">
        <f t="array" ref="O481">_xlfn.IFS($F481&gt;=750,"Excellent",$F481&gt;=700,"Good",$F481&gt;=650,"Moderate",
$F481&lt;650,"Risky"
)</f>
        <v>Good</v>
      </c>
      <c r="P481" s="27" t="str" cm="1">
        <f t="array" ref="P481">_xlfn.IFS(
AND(F481&gt;=750,H481&lt;=2),"Low Risk",
AND(F481&gt;=700,H481&lt;=5),"Medium Risk",
TRUE,"High Risk"
)</f>
        <v>High Risk</v>
      </c>
      <c r="Q481" s="5"/>
      <c r="R481" s="5"/>
      <c r="S481" s="5"/>
      <c r="T481" s="5"/>
      <c r="U481" s="5"/>
      <c r="V481" s="5"/>
      <c r="W481" s="5"/>
      <c r="X481" s="5"/>
      <c r="Y481" s="5"/>
    </row>
    <row r="482" spans="1:25" ht="15.75" customHeight="1" x14ac:dyDescent="0.25">
      <c r="A482" s="2">
        <v>44131</v>
      </c>
      <c r="B482" s="3">
        <v>54760</v>
      </c>
      <c r="C482" s="4" t="s">
        <v>15</v>
      </c>
      <c r="D482" s="4" t="str">
        <f t="shared" si="8"/>
        <v>Operation</v>
      </c>
      <c r="E482" s="4" t="str">
        <f t="shared" si="9"/>
        <v>Executive</v>
      </c>
      <c r="F482" s="13">
        <v>752</v>
      </c>
      <c r="G482" s="13">
        <v>5</v>
      </c>
      <c r="H482" s="13">
        <v>1</v>
      </c>
      <c r="I482" s="2">
        <v>32302</v>
      </c>
      <c r="J482" s="15">
        <v>979687</v>
      </c>
      <c r="K482" s="4" t="s">
        <v>21</v>
      </c>
      <c r="L482" s="27">
        <f t="shared" si="10"/>
        <v>1988</v>
      </c>
      <c r="M482" s="27">
        <f t="shared" si="11"/>
        <v>10</v>
      </c>
      <c r="N482" s="27">
        <f t="shared" ca="1" si="15"/>
        <v>38</v>
      </c>
      <c r="O482" s="27" t="str" cm="1">
        <f t="array" ref="O482">_xlfn.IFS($F482&gt;=750,"Excellent",$F482&gt;=700,"Good",$F482&gt;=650,"Moderate",
$F482&lt;650,"Risky"
)</f>
        <v>Excellent</v>
      </c>
      <c r="P482" s="27" t="str" cm="1">
        <f t="array" ref="P482">_xlfn.IFS(
AND(F482&gt;=750,H482&lt;=2),"Low Risk",
AND(F482&gt;=700,H482&lt;=5),"Medium Risk",
TRUE,"High Risk"
)</f>
        <v>Low Risk</v>
      </c>
      <c r="Q482" s="5"/>
      <c r="R482" s="5"/>
      <c r="S482" s="5"/>
      <c r="T482" s="5"/>
      <c r="U482" s="5"/>
      <c r="V482" s="5"/>
      <c r="W482" s="5"/>
      <c r="X482" s="5"/>
      <c r="Y482" s="5"/>
    </row>
    <row r="483" spans="1:25" ht="15.75" customHeight="1" x14ac:dyDescent="0.25">
      <c r="A483" s="2">
        <v>44140</v>
      </c>
      <c r="B483" s="3">
        <v>76284</v>
      </c>
      <c r="C483" s="4" t="s">
        <v>28</v>
      </c>
      <c r="D483" s="4" t="str">
        <f t="shared" si="8"/>
        <v>Growth</v>
      </c>
      <c r="E483" s="4" t="str">
        <f t="shared" si="9"/>
        <v>Director</v>
      </c>
      <c r="F483" s="13">
        <v>757</v>
      </c>
      <c r="G483" s="13">
        <v>2</v>
      </c>
      <c r="H483" s="13">
        <v>8</v>
      </c>
      <c r="I483" s="2">
        <v>30259</v>
      </c>
      <c r="J483" s="15">
        <v>642552</v>
      </c>
      <c r="K483" s="4" t="s">
        <v>21</v>
      </c>
      <c r="L483" s="27">
        <f t="shared" si="10"/>
        <v>1982</v>
      </c>
      <c r="M483" s="27">
        <f t="shared" si="11"/>
        <v>11</v>
      </c>
      <c r="N483" s="27">
        <f t="shared" ca="1" si="15"/>
        <v>44</v>
      </c>
      <c r="O483" s="27" t="str" cm="1">
        <f t="array" ref="O483">_xlfn.IFS($F483&gt;=750,"Excellent",$F483&gt;=700,"Good",$F483&gt;=650,"Moderate",
$F483&lt;650,"Risky"
)</f>
        <v>Excellent</v>
      </c>
      <c r="P483" s="27" t="str" cm="1">
        <f t="array" ref="P483">_xlfn.IFS(
AND(F483&gt;=750,H483&lt;=2),"Low Risk",
AND(F483&gt;=700,H483&lt;=5),"Medium Risk",
TRUE,"High Risk"
)</f>
        <v>High Risk</v>
      </c>
      <c r="Q483" s="5"/>
      <c r="R483" s="5"/>
      <c r="S483" s="5"/>
      <c r="T483" s="5"/>
      <c r="U483" s="5"/>
      <c r="V483" s="5"/>
      <c r="W483" s="5"/>
      <c r="X483" s="5"/>
      <c r="Y483" s="5"/>
    </row>
    <row r="484" spans="1:25" ht="15.75" customHeight="1" x14ac:dyDescent="0.25">
      <c r="A484" s="2">
        <v>44038</v>
      </c>
      <c r="B484" s="3">
        <v>38227</v>
      </c>
      <c r="C484" s="4" t="s">
        <v>26</v>
      </c>
      <c r="D484" s="4" t="str">
        <f t="shared" si="8"/>
        <v>Strategy</v>
      </c>
      <c r="E484" s="4" t="str">
        <f t="shared" si="9"/>
        <v>Manager</v>
      </c>
      <c r="F484" s="13">
        <v>743</v>
      </c>
      <c r="G484" s="13">
        <v>1</v>
      </c>
      <c r="H484" s="13">
        <v>3</v>
      </c>
      <c r="I484" s="2">
        <v>31205</v>
      </c>
      <c r="J484" s="15">
        <v>912232</v>
      </c>
      <c r="K484" s="4" t="s">
        <v>18</v>
      </c>
      <c r="L484" s="27">
        <f t="shared" si="10"/>
        <v>1985</v>
      </c>
      <c r="M484" s="27">
        <f t="shared" si="11"/>
        <v>7</v>
      </c>
      <c r="N484" s="27">
        <f t="shared" ca="1" si="15"/>
        <v>41</v>
      </c>
      <c r="O484" s="27" t="str" cm="1">
        <f t="array" ref="O484">_xlfn.IFS($F484&gt;=750,"Excellent",$F484&gt;=700,"Good",$F484&gt;=650,"Moderate",
$F484&lt;650,"Risky"
)</f>
        <v>Good</v>
      </c>
      <c r="P484" s="27" t="str" cm="1">
        <f t="array" ref="P484">_xlfn.IFS(
AND(F484&gt;=750,H484&lt;=2),"Low Risk",
AND(F484&gt;=700,H484&lt;=5),"Medium Risk",
TRUE,"High Risk"
)</f>
        <v>Medium Risk</v>
      </c>
      <c r="Q484" s="5"/>
      <c r="R484" s="5"/>
      <c r="S484" s="5"/>
      <c r="T484" s="5"/>
      <c r="U484" s="5"/>
      <c r="V484" s="5"/>
      <c r="W484" s="5"/>
      <c r="X484" s="5"/>
      <c r="Y484" s="5"/>
    </row>
    <row r="485" spans="1:25" ht="15.75" customHeight="1" x14ac:dyDescent="0.25">
      <c r="A485" s="2">
        <v>43868</v>
      </c>
      <c r="B485" s="3">
        <v>67019</v>
      </c>
      <c r="C485" s="4" t="s">
        <v>16</v>
      </c>
      <c r="D485" s="4" t="str">
        <f t="shared" si="8"/>
        <v>Marketing</v>
      </c>
      <c r="E485" s="4" t="str">
        <f t="shared" si="9"/>
        <v>Executive</v>
      </c>
      <c r="F485" s="13">
        <v>737</v>
      </c>
      <c r="G485" s="13">
        <v>5</v>
      </c>
      <c r="H485" s="13">
        <v>5</v>
      </c>
      <c r="I485" s="2">
        <v>30765</v>
      </c>
      <c r="J485" s="15">
        <v>942795</v>
      </c>
      <c r="K485" s="4" t="s">
        <v>21</v>
      </c>
      <c r="L485" s="27">
        <f t="shared" si="10"/>
        <v>1984</v>
      </c>
      <c r="M485" s="27">
        <f t="shared" si="11"/>
        <v>2</v>
      </c>
      <c r="N485" s="27">
        <f t="shared" ca="1" si="15"/>
        <v>42</v>
      </c>
      <c r="O485" s="27" t="str" cm="1">
        <f t="array" ref="O485">_xlfn.IFS($F485&gt;=750,"Excellent",$F485&gt;=700,"Good",$F485&gt;=650,"Moderate",
$F485&lt;650,"Risky"
)</f>
        <v>Good</v>
      </c>
      <c r="P485" s="27" t="str" cm="1">
        <f t="array" ref="P485">_xlfn.IFS(
AND(F485&gt;=750,H485&lt;=2),"Low Risk",
AND(F485&gt;=700,H485&lt;=5),"Medium Risk",
TRUE,"High Risk"
)</f>
        <v>Medium Risk</v>
      </c>
      <c r="Q485" s="5"/>
      <c r="R485" s="5"/>
      <c r="S485" s="5"/>
      <c r="T485" s="5"/>
      <c r="U485" s="5"/>
      <c r="V485" s="5"/>
      <c r="W485" s="5"/>
      <c r="X485" s="5"/>
      <c r="Y485" s="5"/>
    </row>
    <row r="486" spans="1:25" ht="15.75" customHeight="1" x14ac:dyDescent="0.25">
      <c r="A486" s="2">
        <v>43882</v>
      </c>
      <c r="B486" s="3">
        <v>11498</v>
      </c>
      <c r="C486" s="4" t="s">
        <v>34</v>
      </c>
      <c r="D486" s="4" t="str">
        <f t="shared" si="8"/>
        <v>Finance</v>
      </c>
      <c r="E486" s="4" t="str">
        <f t="shared" si="9"/>
        <v>Director</v>
      </c>
      <c r="F486" s="13">
        <v>793</v>
      </c>
      <c r="G486" s="13">
        <v>2</v>
      </c>
      <c r="H486" s="13">
        <v>6</v>
      </c>
      <c r="I486" s="2">
        <v>33352</v>
      </c>
      <c r="J486" s="15">
        <v>861953</v>
      </c>
      <c r="K486" s="4" t="s">
        <v>14</v>
      </c>
      <c r="L486" s="27">
        <f t="shared" si="10"/>
        <v>1991</v>
      </c>
      <c r="M486" s="27">
        <f t="shared" si="11"/>
        <v>2</v>
      </c>
      <c r="N486" s="27">
        <f t="shared" ca="1" si="15"/>
        <v>35</v>
      </c>
      <c r="O486" s="27" t="str" cm="1">
        <f t="array" ref="O486">_xlfn.IFS($F486&gt;=750,"Excellent",$F486&gt;=700,"Good",$F486&gt;=650,"Moderate",
$F486&lt;650,"Risky"
)</f>
        <v>Excellent</v>
      </c>
      <c r="P486" s="27" t="str" cm="1">
        <f t="array" ref="P486">_xlfn.IFS(
AND(F486&gt;=750,H486&lt;=2),"Low Risk",
AND(F486&gt;=700,H486&lt;=5),"Medium Risk",
TRUE,"High Risk"
)</f>
        <v>High Risk</v>
      </c>
      <c r="Q486" s="5"/>
      <c r="R486" s="5"/>
      <c r="S486" s="5"/>
      <c r="T486" s="5"/>
      <c r="U486" s="5"/>
      <c r="V486" s="5"/>
      <c r="W486" s="5"/>
      <c r="X486" s="5"/>
      <c r="Y486" s="5"/>
    </row>
    <row r="487" spans="1:25" ht="15.75" customHeight="1" x14ac:dyDescent="0.25">
      <c r="A487" s="2">
        <v>44026</v>
      </c>
      <c r="B487" s="3">
        <v>48916</v>
      </c>
      <c r="C487" s="4" t="s">
        <v>27</v>
      </c>
      <c r="D487" s="4" t="str">
        <f t="shared" si="8"/>
        <v>Operation</v>
      </c>
      <c r="E487" s="4" t="str">
        <f t="shared" si="9"/>
        <v>Intern</v>
      </c>
      <c r="F487" s="13">
        <v>710</v>
      </c>
      <c r="G487" s="13">
        <v>4</v>
      </c>
      <c r="H487" s="13">
        <v>7</v>
      </c>
      <c r="I487" s="2">
        <v>29954</v>
      </c>
      <c r="J487" s="15">
        <v>764369</v>
      </c>
      <c r="K487" s="4" t="s">
        <v>21</v>
      </c>
      <c r="L487" s="27">
        <f t="shared" si="10"/>
        <v>1982</v>
      </c>
      <c r="M487" s="27">
        <f t="shared" si="11"/>
        <v>7</v>
      </c>
      <c r="N487" s="27">
        <f t="shared" ca="1" si="15"/>
        <v>44</v>
      </c>
      <c r="O487" s="27" t="str" cm="1">
        <f t="array" ref="O487">_xlfn.IFS($F487&gt;=750,"Excellent",$F487&gt;=700,"Good",$F487&gt;=650,"Moderate",
$F487&lt;650,"Risky"
)</f>
        <v>Good</v>
      </c>
      <c r="P487" s="27" t="str" cm="1">
        <f t="array" ref="P487">_xlfn.IFS(
AND(F487&gt;=750,H487&lt;=2),"Low Risk",
AND(F487&gt;=700,H487&lt;=5),"Medium Risk",
TRUE,"High Risk"
)</f>
        <v>High Risk</v>
      </c>
      <c r="Q487" s="5"/>
      <c r="R487" s="5"/>
      <c r="S487" s="5"/>
      <c r="T487" s="5"/>
      <c r="U487" s="5"/>
      <c r="V487" s="5"/>
      <c r="W487" s="5"/>
      <c r="X487" s="5"/>
      <c r="Y487" s="5"/>
    </row>
    <row r="488" spans="1:25" ht="15.75" customHeight="1" x14ac:dyDescent="0.25">
      <c r="A488" s="2">
        <v>44133</v>
      </c>
      <c r="B488" s="3">
        <v>81749</v>
      </c>
      <c r="C488" s="4" t="s">
        <v>29</v>
      </c>
      <c r="D488" s="4" t="str">
        <f t="shared" si="8"/>
        <v>Sales</v>
      </c>
      <c r="E488" s="4" t="str">
        <f t="shared" si="9"/>
        <v>Director</v>
      </c>
      <c r="F488" s="13">
        <v>793</v>
      </c>
      <c r="G488" s="13">
        <v>5</v>
      </c>
      <c r="H488" s="13">
        <v>4</v>
      </c>
      <c r="I488" s="2">
        <v>33404</v>
      </c>
      <c r="J488" s="15">
        <v>583217</v>
      </c>
      <c r="K488" s="4" t="s">
        <v>18</v>
      </c>
      <c r="L488" s="27">
        <f t="shared" si="10"/>
        <v>1991</v>
      </c>
      <c r="M488" s="27">
        <f t="shared" si="11"/>
        <v>10</v>
      </c>
      <c r="N488" s="27">
        <f t="shared" ca="1" si="15"/>
        <v>35</v>
      </c>
      <c r="O488" s="27" t="str" cm="1">
        <f t="array" ref="O488">_xlfn.IFS($F488&gt;=750,"Excellent",$F488&gt;=700,"Good",$F488&gt;=650,"Moderate",
$F488&lt;650,"Risky"
)</f>
        <v>Excellent</v>
      </c>
      <c r="P488" s="27" t="str" cm="1">
        <f t="array" ref="P488">_xlfn.IFS(
AND(F488&gt;=750,H488&lt;=2),"Low Risk",
AND(F488&gt;=700,H488&lt;=5),"Medium Risk",
TRUE,"High Risk"
)</f>
        <v>Medium Risk</v>
      </c>
      <c r="Q488" s="5"/>
      <c r="R488" s="5"/>
      <c r="S488" s="5"/>
      <c r="T488" s="5"/>
      <c r="U488" s="5"/>
      <c r="V488" s="5"/>
      <c r="W488" s="5"/>
      <c r="X488" s="5"/>
      <c r="Y488" s="5"/>
    </row>
    <row r="489" spans="1:25" ht="15.75" customHeight="1" x14ac:dyDescent="0.25">
      <c r="A489" s="2">
        <v>44119</v>
      </c>
      <c r="B489" s="3">
        <v>16926</v>
      </c>
      <c r="C489" s="4" t="s">
        <v>23</v>
      </c>
      <c r="D489" s="4" t="str">
        <f t="shared" si="8"/>
        <v>Marketing</v>
      </c>
      <c r="E489" s="4" t="str">
        <f t="shared" si="9"/>
        <v>Intern</v>
      </c>
      <c r="F489" s="13">
        <v>720</v>
      </c>
      <c r="G489" s="13">
        <v>5</v>
      </c>
      <c r="H489" s="13">
        <v>4</v>
      </c>
      <c r="I489" s="2">
        <v>29901</v>
      </c>
      <c r="J489" s="15">
        <v>584414</v>
      </c>
      <c r="K489" s="4" t="s">
        <v>21</v>
      </c>
      <c r="L489" s="27">
        <f t="shared" si="10"/>
        <v>1981</v>
      </c>
      <c r="M489" s="27">
        <f t="shared" si="11"/>
        <v>10</v>
      </c>
      <c r="N489" s="27">
        <f t="shared" ca="1" si="15"/>
        <v>45</v>
      </c>
      <c r="O489" s="27" t="str" cm="1">
        <f t="array" ref="O489">_xlfn.IFS($F489&gt;=750,"Excellent",$F489&gt;=700,"Good",$F489&gt;=650,"Moderate",
$F489&lt;650,"Risky"
)</f>
        <v>Good</v>
      </c>
      <c r="P489" s="27" t="str" cm="1">
        <f t="array" ref="P489">_xlfn.IFS(
AND(F489&gt;=750,H489&lt;=2),"Low Risk",
AND(F489&gt;=700,H489&lt;=5),"Medium Risk",
TRUE,"High Risk"
)</f>
        <v>Medium Risk</v>
      </c>
      <c r="Q489" s="5"/>
      <c r="R489" s="5"/>
      <c r="S489" s="5"/>
      <c r="T489" s="5"/>
      <c r="U489" s="5"/>
      <c r="V489" s="5"/>
      <c r="W489" s="5"/>
      <c r="X489" s="5"/>
      <c r="Y489" s="5"/>
    </row>
    <row r="490" spans="1:25" ht="15.75" customHeight="1" x14ac:dyDescent="0.25">
      <c r="A490" s="2">
        <v>43851</v>
      </c>
      <c r="B490" s="3">
        <v>75600</v>
      </c>
      <c r="C490" s="4" t="s">
        <v>37</v>
      </c>
      <c r="D490" s="4" t="str">
        <f t="shared" si="8"/>
        <v>Strategy</v>
      </c>
      <c r="E490" s="4" t="str">
        <f t="shared" si="9"/>
        <v>Director</v>
      </c>
      <c r="F490" s="13">
        <v>718</v>
      </c>
      <c r="G490" s="13">
        <v>2</v>
      </c>
      <c r="H490" s="13">
        <v>2</v>
      </c>
      <c r="I490" s="2">
        <v>29541</v>
      </c>
      <c r="J490" s="15">
        <v>592278</v>
      </c>
      <c r="K490" s="4" t="s">
        <v>18</v>
      </c>
      <c r="L490" s="27">
        <f t="shared" si="10"/>
        <v>1980</v>
      </c>
      <c r="M490" s="27">
        <f t="shared" si="11"/>
        <v>1</v>
      </c>
      <c r="N490" s="27">
        <f t="shared" ca="1" si="15"/>
        <v>46</v>
      </c>
      <c r="O490" s="27" t="str" cm="1">
        <f t="array" ref="O490">_xlfn.IFS($F490&gt;=750,"Excellent",$F490&gt;=700,"Good",$F490&gt;=650,"Moderate",
$F490&lt;650,"Risky"
)</f>
        <v>Good</v>
      </c>
      <c r="P490" s="27" t="str" cm="1">
        <f t="array" ref="P490">_xlfn.IFS(
AND(F490&gt;=750,H490&lt;=2),"Low Risk",
AND(F490&gt;=700,H490&lt;=5),"Medium Risk",
TRUE,"High Risk"
)</f>
        <v>Medium Risk</v>
      </c>
      <c r="Q490" s="5"/>
      <c r="R490" s="5"/>
      <c r="S490" s="5"/>
      <c r="T490" s="5"/>
      <c r="U490" s="5"/>
      <c r="V490" s="5"/>
      <c r="W490" s="5"/>
      <c r="X490" s="5"/>
      <c r="Y490" s="5"/>
    </row>
    <row r="491" spans="1:25" ht="15.75" customHeight="1" x14ac:dyDescent="0.25">
      <c r="A491" s="2">
        <v>44156</v>
      </c>
      <c r="B491" s="3">
        <v>83490</v>
      </c>
      <c r="C491" s="4" t="s">
        <v>38</v>
      </c>
      <c r="D491" s="4" t="str">
        <f t="shared" si="8"/>
        <v>Finance</v>
      </c>
      <c r="E491" s="4" t="str">
        <f t="shared" si="9"/>
        <v>Manager</v>
      </c>
      <c r="F491" s="13">
        <v>705</v>
      </c>
      <c r="G491" s="13">
        <v>5</v>
      </c>
      <c r="H491" s="13">
        <v>4</v>
      </c>
      <c r="I491" s="2">
        <v>31998</v>
      </c>
      <c r="J491" s="15">
        <v>626770</v>
      </c>
      <c r="K491" s="4" t="s">
        <v>18</v>
      </c>
      <c r="L491" s="27">
        <f t="shared" si="10"/>
        <v>1987</v>
      </c>
      <c r="M491" s="27">
        <f t="shared" si="11"/>
        <v>11</v>
      </c>
      <c r="N491" s="27">
        <f t="shared" ca="1" si="15"/>
        <v>39</v>
      </c>
      <c r="O491" s="27" t="str" cm="1">
        <f t="array" ref="O491">_xlfn.IFS($F491&gt;=750,"Excellent",$F491&gt;=700,"Good",$F491&gt;=650,"Moderate",
$F491&lt;650,"Risky"
)</f>
        <v>Good</v>
      </c>
      <c r="P491" s="27" t="str" cm="1">
        <f t="array" ref="P491">_xlfn.IFS(
AND(F491&gt;=750,H491&lt;=2),"Low Risk",
AND(F491&gt;=700,H491&lt;=5),"Medium Risk",
TRUE,"High Risk"
)</f>
        <v>Medium Risk</v>
      </c>
      <c r="Q491" s="5"/>
      <c r="R491" s="5"/>
      <c r="S491" s="5"/>
      <c r="T491" s="5"/>
      <c r="U491" s="5"/>
      <c r="V491" s="5"/>
      <c r="W491" s="5"/>
      <c r="X491" s="5"/>
      <c r="Y491" s="5"/>
    </row>
    <row r="492" spans="1:25" ht="15.75" customHeight="1" x14ac:dyDescent="0.25">
      <c r="A492" s="2">
        <v>43919</v>
      </c>
      <c r="B492" s="3">
        <v>85785</v>
      </c>
      <c r="C492" s="4" t="s">
        <v>19</v>
      </c>
      <c r="D492" s="4" t="str">
        <f t="shared" si="8"/>
        <v>Marketing</v>
      </c>
      <c r="E492" s="4" t="str">
        <f t="shared" si="9"/>
        <v>Manager</v>
      </c>
      <c r="F492" s="13">
        <v>779</v>
      </c>
      <c r="G492" s="13">
        <v>5</v>
      </c>
      <c r="H492" s="13">
        <v>8</v>
      </c>
      <c r="I492" s="2">
        <v>34262</v>
      </c>
      <c r="J492" s="15">
        <v>647437</v>
      </c>
      <c r="K492" s="4" t="s">
        <v>21</v>
      </c>
      <c r="L492" s="27">
        <f t="shared" si="10"/>
        <v>1993</v>
      </c>
      <c r="M492" s="27">
        <f t="shared" si="11"/>
        <v>3</v>
      </c>
      <c r="N492" s="27">
        <f t="shared" ca="1" si="15"/>
        <v>33</v>
      </c>
      <c r="O492" s="27" t="str" cm="1">
        <f t="array" ref="O492">_xlfn.IFS($F492&gt;=750,"Excellent",$F492&gt;=700,"Good",$F492&gt;=650,"Moderate",
$F492&lt;650,"Risky"
)</f>
        <v>Excellent</v>
      </c>
      <c r="P492" s="27" t="str" cm="1">
        <f t="array" ref="P492">_xlfn.IFS(
AND(F492&gt;=750,H492&lt;=2),"Low Risk",
AND(F492&gt;=700,H492&lt;=5),"Medium Risk",
TRUE,"High Risk"
)</f>
        <v>High Risk</v>
      </c>
      <c r="Q492" s="5"/>
      <c r="R492" s="5"/>
      <c r="S492" s="5"/>
      <c r="T492" s="5"/>
      <c r="U492" s="5"/>
      <c r="V492" s="5"/>
      <c r="W492" s="5"/>
      <c r="X492" s="5"/>
      <c r="Y492" s="5"/>
    </row>
    <row r="493" spans="1:25" ht="15.75" customHeight="1" x14ac:dyDescent="0.25">
      <c r="A493" s="2">
        <v>44056</v>
      </c>
      <c r="B493" s="3">
        <v>94775</v>
      </c>
      <c r="C493" s="4" t="s">
        <v>15</v>
      </c>
      <c r="D493" s="4" t="str">
        <f t="shared" si="8"/>
        <v>Operation</v>
      </c>
      <c r="E493" s="4" t="str">
        <f t="shared" si="9"/>
        <v>Executive</v>
      </c>
      <c r="F493" s="13">
        <v>715</v>
      </c>
      <c r="G493" s="13">
        <v>4</v>
      </c>
      <c r="H493" s="13">
        <v>6</v>
      </c>
      <c r="I493" s="2">
        <v>31004</v>
      </c>
      <c r="J493" s="15">
        <v>911454</v>
      </c>
      <c r="K493" s="4" t="s">
        <v>14</v>
      </c>
      <c r="L493" s="27">
        <f t="shared" si="10"/>
        <v>1984</v>
      </c>
      <c r="M493" s="27">
        <f t="shared" si="11"/>
        <v>8</v>
      </c>
      <c r="N493" s="27">
        <f t="shared" ca="1" si="15"/>
        <v>42</v>
      </c>
      <c r="O493" s="27" t="str" cm="1">
        <f t="array" ref="O493">_xlfn.IFS($F493&gt;=750,"Excellent",$F493&gt;=700,"Good",$F493&gt;=650,"Moderate",
$F493&lt;650,"Risky"
)</f>
        <v>Good</v>
      </c>
      <c r="P493" s="27" t="str" cm="1">
        <f t="array" ref="P493">_xlfn.IFS(
AND(F493&gt;=750,H493&lt;=2),"Low Risk",
AND(F493&gt;=700,H493&lt;=5),"Medium Risk",
TRUE,"High Risk"
)</f>
        <v>High Risk</v>
      </c>
      <c r="Q493" s="5"/>
      <c r="R493" s="5"/>
      <c r="S493" s="5"/>
      <c r="T493" s="5"/>
      <c r="U493" s="5"/>
      <c r="V493" s="5"/>
      <c r="W493" s="5"/>
      <c r="X493" s="5"/>
      <c r="Y493" s="5"/>
    </row>
    <row r="494" spans="1:25" ht="15.75" customHeight="1" x14ac:dyDescent="0.25">
      <c r="A494" s="2">
        <v>43926</v>
      </c>
      <c r="B494" s="3">
        <v>23065</v>
      </c>
      <c r="C494" s="4" t="s">
        <v>28</v>
      </c>
      <c r="D494" s="4" t="str">
        <f t="shared" si="8"/>
        <v>Growth</v>
      </c>
      <c r="E494" s="4" t="str">
        <f t="shared" si="9"/>
        <v>Director</v>
      </c>
      <c r="F494" s="13">
        <v>772</v>
      </c>
      <c r="G494" s="13">
        <v>2</v>
      </c>
      <c r="H494" s="13">
        <v>9</v>
      </c>
      <c r="I494" s="2">
        <v>33288</v>
      </c>
      <c r="J494" s="15">
        <v>800792</v>
      </c>
      <c r="K494" s="4" t="s">
        <v>21</v>
      </c>
      <c r="L494" s="27">
        <f t="shared" si="10"/>
        <v>1991</v>
      </c>
      <c r="M494" s="27">
        <f t="shared" si="11"/>
        <v>4</v>
      </c>
      <c r="N494" s="27">
        <f t="shared" ca="1" si="15"/>
        <v>35</v>
      </c>
      <c r="O494" s="27" t="str" cm="1">
        <f t="array" ref="O494">_xlfn.IFS($F494&gt;=750,"Excellent",$F494&gt;=700,"Good",$F494&gt;=650,"Moderate",
$F494&lt;650,"Risky"
)</f>
        <v>Excellent</v>
      </c>
      <c r="P494" s="27" t="str" cm="1">
        <f t="array" ref="P494">_xlfn.IFS(
AND(F494&gt;=750,H494&lt;=2),"Low Risk",
AND(F494&gt;=700,H494&lt;=5),"Medium Risk",
TRUE,"High Risk"
)</f>
        <v>High Risk</v>
      </c>
      <c r="Q494" s="5"/>
      <c r="R494" s="5"/>
      <c r="S494" s="5"/>
      <c r="T494" s="5"/>
      <c r="U494" s="5"/>
      <c r="V494" s="5"/>
      <c r="W494" s="5"/>
      <c r="X494" s="5"/>
      <c r="Y494" s="5"/>
    </row>
    <row r="495" spans="1:25" ht="15.75" customHeight="1" x14ac:dyDescent="0.25">
      <c r="A495" s="2">
        <v>43981</v>
      </c>
      <c r="B495" s="3">
        <v>23396</v>
      </c>
      <c r="C495" s="4" t="s">
        <v>35</v>
      </c>
      <c r="D495" s="4" t="str">
        <f t="shared" si="8"/>
        <v>Growth</v>
      </c>
      <c r="E495" s="4" t="str">
        <f t="shared" si="9"/>
        <v>Intern</v>
      </c>
      <c r="F495" s="13">
        <v>779</v>
      </c>
      <c r="G495" s="13">
        <v>5</v>
      </c>
      <c r="H495" s="13">
        <v>3</v>
      </c>
      <c r="I495" s="2">
        <v>33422</v>
      </c>
      <c r="J495" s="15">
        <v>888950</v>
      </c>
      <c r="K495" s="4" t="s">
        <v>21</v>
      </c>
      <c r="L495" s="27">
        <f t="shared" si="10"/>
        <v>1991</v>
      </c>
      <c r="M495" s="27">
        <f t="shared" si="11"/>
        <v>5</v>
      </c>
      <c r="N495" s="27">
        <f t="shared" ca="1" si="15"/>
        <v>35</v>
      </c>
      <c r="O495" s="27" t="str" cm="1">
        <f t="array" ref="O495">_xlfn.IFS($F495&gt;=750,"Excellent",$F495&gt;=700,"Good",$F495&gt;=650,"Moderate",
$F495&lt;650,"Risky"
)</f>
        <v>Excellent</v>
      </c>
      <c r="P495" s="27" t="str" cm="1">
        <f t="array" ref="P495">_xlfn.IFS(
AND(F495&gt;=750,H495&lt;=2),"Low Risk",
AND(F495&gt;=700,H495&lt;=5),"Medium Risk",
TRUE,"High Risk"
)</f>
        <v>Medium Risk</v>
      </c>
      <c r="Q495" s="5"/>
      <c r="R495" s="5"/>
      <c r="S495" s="5"/>
      <c r="T495" s="5"/>
      <c r="U495" s="5"/>
      <c r="V495" s="5"/>
      <c r="W495" s="5"/>
      <c r="X495" s="5"/>
      <c r="Y495" s="5"/>
    </row>
    <row r="496" spans="1:25" ht="15.75" customHeight="1" x14ac:dyDescent="0.25">
      <c r="A496" s="2">
        <v>43998</v>
      </c>
      <c r="B496" s="3">
        <v>74049</v>
      </c>
      <c r="C496" s="4" t="s">
        <v>22</v>
      </c>
      <c r="D496" s="4" t="str">
        <f t="shared" si="8"/>
        <v>Strategy</v>
      </c>
      <c r="E496" s="4" t="str">
        <f t="shared" si="9"/>
        <v>Executive</v>
      </c>
      <c r="F496" s="13">
        <v>758</v>
      </c>
      <c r="G496" s="13">
        <v>4</v>
      </c>
      <c r="H496" s="13">
        <v>1</v>
      </c>
      <c r="I496" s="2">
        <v>33938</v>
      </c>
      <c r="J496" s="15">
        <v>572491</v>
      </c>
      <c r="K496" s="4" t="s">
        <v>18</v>
      </c>
      <c r="L496" s="27">
        <f t="shared" si="10"/>
        <v>1992</v>
      </c>
      <c r="M496" s="27">
        <f t="shared" si="11"/>
        <v>6</v>
      </c>
      <c r="N496" s="27">
        <f t="shared" ca="1" si="15"/>
        <v>34</v>
      </c>
      <c r="O496" s="27" t="str" cm="1">
        <f t="array" ref="O496">_xlfn.IFS($F496&gt;=750,"Excellent",$F496&gt;=700,"Good",$F496&gt;=650,"Moderate",
$F496&lt;650,"Risky"
)</f>
        <v>Excellent</v>
      </c>
      <c r="P496" s="27" t="str" cm="1">
        <f t="array" ref="P496">_xlfn.IFS(
AND(F496&gt;=750,H496&lt;=2),"Low Risk",
AND(F496&gt;=700,H496&lt;=5),"Medium Risk",
TRUE,"High Risk"
)</f>
        <v>Low Risk</v>
      </c>
      <c r="Q496" s="5"/>
      <c r="R496" s="5"/>
      <c r="S496" s="5"/>
      <c r="T496" s="5"/>
      <c r="U496" s="5"/>
      <c r="V496" s="5"/>
      <c r="W496" s="5"/>
      <c r="X496" s="5"/>
      <c r="Y496" s="5"/>
    </row>
    <row r="497" spans="1:25" ht="15.75" customHeight="1" x14ac:dyDescent="0.25">
      <c r="A497" s="2">
        <v>44079</v>
      </c>
      <c r="B497" s="3">
        <v>69915</v>
      </c>
      <c r="C497" s="4" t="s">
        <v>13</v>
      </c>
      <c r="D497" s="4" t="str">
        <f t="shared" si="8"/>
        <v>Marketing</v>
      </c>
      <c r="E497" s="4" t="str">
        <f t="shared" si="9"/>
        <v>Director</v>
      </c>
      <c r="F497" s="13">
        <v>737</v>
      </c>
      <c r="G497" s="13">
        <v>2</v>
      </c>
      <c r="H497" s="13">
        <v>7</v>
      </c>
      <c r="I497" s="2">
        <v>33676</v>
      </c>
      <c r="J497" s="15">
        <v>863721</v>
      </c>
      <c r="K497" s="4" t="s">
        <v>18</v>
      </c>
      <c r="L497" s="27">
        <f t="shared" si="10"/>
        <v>1992</v>
      </c>
      <c r="M497" s="27">
        <f t="shared" si="11"/>
        <v>9</v>
      </c>
      <c r="N497" s="27">
        <f t="shared" ca="1" si="15"/>
        <v>34</v>
      </c>
      <c r="O497" s="27" t="str" cm="1">
        <f t="array" ref="O497">_xlfn.IFS($F497&gt;=750,"Excellent",$F497&gt;=700,"Good",$F497&gt;=650,"Moderate",
$F497&lt;650,"Risky"
)</f>
        <v>Good</v>
      </c>
      <c r="P497" s="27" t="str" cm="1">
        <f t="array" ref="P497">_xlfn.IFS(
AND(F497&gt;=750,H497&lt;=2),"Low Risk",
AND(F497&gt;=700,H497&lt;=5),"Medium Risk",
TRUE,"High Risk"
)</f>
        <v>High Risk</v>
      </c>
      <c r="Q497" s="5"/>
      <c r="R497" s="5"/>
      <c r="S497" s="5"/>
      <c r="T497" s="5"/>
      <c r="U497" s="5"/>
      <c r="V497" s="5"/>
      <c r="W497" s="5"/>
      <c r="X497" s="5"/>
      <c r="Y497" s="5"/>
    </row>
    <row r="498" spans="1:25" ht="15.75" customHeight="1" x14ac:dyDescent="0.25">
      <c r="A498" s="2">
        <v>44141</v>
      </c>
      <c r="B498" s="3">
        <v>24421</v>
      </c>
      <c r="C498" s="4" t="s">
        <v>36</v>
      </c>
      <c r="D498" s="4" t="str">
        <f t="shared" si="8"/>
        <v>Sales</v>
      </c>
      <c r="E498" s="4" t="str">
        <f t="shared" si="9"/>
        <v>Intern</v>
      </c>
      <c r="F498" s="13">
        <v>723</v>
      </c>
      <c r="G498" s="13">
        <v>4</v>
      </c>
      <c r="H498" s="13">
        <v>9</v>
      </c>
      <c r="I498" s="2">
        <v>33228</v>
      </c>
      <c r="J498" s="15">
        <v>835950</v>
      </c>
      <c r="K498" s="4" t="s">
        <v>18</v>
      </c>
      <c r="L498" s="27">
        <f t="shared" si="10"/>
        <v>1990</v>
      </c>
      <c r="M498" s="27">
        <f t="shared" si="11"/>
        <v>11</v>
      </c>
      <c r="N498" s="27">
        <f t="shared" ca="1" si="15"/>
        <v>36</v>
      </c>
      <c r="O498" s="27" t="str" cm="1">
        <f t="array" ref="O498">_xlfn.IFS($F498&gt;=750,"Excellent",$F498&gt;=700,"Good",$F498&gt;=650,"Moderate",
$F498&lt;650,"Risky"
)</f>
        <v>Good</v>
      </c>
      <c r="P498" s="27" t="str" cm="1">
        <f t="array" ref="P498">_xlfn.IFS(
AND(F498&gt;=750,H498&lt;=2),"Low Risk",
AND(F498&gt;=700,H498&lt;=5),"Medium Risk",
TRUE,"High Risk"
)</f>
        <v>High Risk</v>
      </c>
      <c r="Q498" s="5"/>
      <c r="R498" s="5"/>
      <c r="S498" s="5"/>
      <c r="T498" s="5"/>
      <c r="U498" s="5"/>
      <c r="V498" s="5"/>
      <c r="W498" s="5"/>
      <c r="X498" s="5"/>
      <c r="Y498" s="5"/>
    </row>
    <row r="499" spans="1:25" ht="15.75" customHeight="1" x14ac:dyDescent="0.25">
      <c r="A499" s="2">
        <v>43923</v>
      </c>
      <c r="B499" s="3">
        <v>58454</v>
      </c>
      <c r="C499" s="4" t="s">
        <v>32</v>
      </c>
      <c r="D499" s="4" t="str">
        <f t="shared" si="8"/>
        <v>Finance</v>
      </c>
      <c r="E499" s="4" t="str">
        <f t="shared" si="9"/>
        <v>Executive</v>
      </c>
      <c r="F499" s="13">
        <v>727</v>
      </c>
      <c r="G499" s="13">
        <v>4</v>
      </c>
      <c r="H499" s="13">
        <v>6</v>
      </c>
      <c r="I499" s="2">
        <v>34567</v>
      </c>
      <c r="J499" s="15">
        <v>881526</v>
      </c>
      <c r="K499" s="4" t="s">
        <v>18</v>
      </c>
      <c r="L499" s="27">
        <f t="shared" si="10"/>
        <v>1994</v>
      </c>
      <c r="M499" s="27">
        <f t="shared" si="11"/>
        <v>4</v>
      </c>
      <c r="N499" s="27">
        <f t="shared" ca="1" si="15"/>
        <v>32</v>
      </c>
      <c r="O499" s="27" t="str" cm="1">
        <f t="array" ref="O499">_xlfn.IFS($F499&gt;=750,"Excellent",$F499&gt;=700,"Good",$F499&gt;=650,"Moderate",
$F499&lt;650,"Risky"
)</f>
        <v>Good</v>
      </c>
      <c r="P499" s="27" t="str" cm="1">
        <f t="array" ref="P499">_xlfn.IFS(
AND(F499&gt;=750,H499&lt;=2),"Low Risk",
AND(F499&gt;=700,H499&lt;=5),"Medium Risk",
TRUE,"High Risk"
)</f>
        <v>High Risk</v>
      </c>
      <c r="Q499" s="5"/>
      <c r="R499" s="5"/>
      <c r="S499" s="5"/>
      <c r="T499" s="5"/>
      <c r="U499" s="5"/>
      <c r="V499" s="5"/>
      <c r="W499" s="5"/>
      <c r="X499" s="5"/>
      <c r="Y499" s="5"/>
    </row>
    <row r="500" spans="1:25" ht="15.75" customHeight="1" x14ac:dyDescent="0.25">
      <c r="A500" s="2">
        <v>43905</v>
      </c>
      <c r="B500" s="3">
        <v>13253</v>
      </c>
      <c r="C500" s="4" t="s">
        <v>20</v>
      </c>
      <c r="D500" s="4" t="str">
        <f t="shared" si="8"/>
        <v>Operation</v>
      </c>
      <c r="E500" s="4" t="str">
        <f t="shared" si="9"/>
        <v>Manager</v>
      </c>
      <c r="F500" s="13">
        <v>759</v>
      </c>
      <c r="G500" s="13">
        <v>4</v>
      </c>
      <c r="H500" s="13">
        <v>1</v>
      </c>
      <c r="I500" s="2">
        <v>31321</v>
      </c>
      <c r="J500" s="15">
        <v>789275</v>
      </c>
      <c r="K500" s="4" t="s">
        <v>14</v>
      </c>
      <c r="L500" s="27">
        <f t="shared" si="10"/>
        <v>1985</v>
      </c>
      <c r="M500" s="27">
        <f t="shared" si="11"/>
        <v>3</v>
      </c>
      <c r="N500" s="27">
        <f t="shared" ca="1" si="15"/>
        <v>41</v>
      </c>
      <c r="O500" s="27" t="str" cm="1">
        <f t="array" ref="O500">_xlfn.IFS($F500&gt;=750,"Excellent",$F500&gt;=700,"Good",$F500&gt;=650,"Moderate",
$F500&lt;650,"Risky"
)</f>
        <v>Excellent</v>
      </c>
      <c r="P500" s="27" t="str" cm="1">
        <f t="array" ref="P500">_xlfn.IFS(
AND(F500&gt;=750,H500&lt;=2),"Low Risk",
AND(F500&gt;=700,H500&lt;=5),"Medium Risk",
TRUE,"High Risk"
)</f>
        <v>Low Risk</v>
      </c>
      <c r="Q500" s="5"/>
      <c r="R500" s="5"/>
      <c r="S500" s="5"/>
      <c r="T500" s="5"/>
      <c r="U500" s="5"/>
      <c r="V500" s="5"/>
      <c r="W500" s="5"/>
      <c r="X500" s="5"/>
      <c r="Y500" s="5"/>
    </row>
    <row r="501" spans="1:25" ht="15.75" customHeight="1" x14ac:dyDescent="0.25">
      <c r="A501" s="2">
        <v>44081</v>
      </c>
      <c r="B501" s="3">
        <v>32410</v>
      </c>
      <c r="C501" s="4" t="s">
        <v>32</v>
      </c>
      <c r="D501" s="4" t="str">
        <f t="shared" si="8"/>
        <v>Finance</v>
      </c>
      <c r="E501" s="4" t="str">
        <f t="shared" si="9"/>
        <v>Executive</v>
      </c>
      <c r="F501" s="13">
        <v>706</v>
      </c>
      <c r="G501" s="13">
        <v>4</v>
      </c>
      <c r="H501" s="13">
        <v>1</v>
      </c>
      <c r="I501" s="2">
        <v>29645</v>
      </c>
      <c r="J501" s="15">
        <v>963204</v>
      </c>
      <c r="K501" s="4" t="s">
        <v>14</v>
      </c>
      <c r="L501" s="27">
        <f t="shared" si="10"/>
        <v>1981</v>
      </c>
      <c r="M501" s="27">
        <f t="shared" si="11"/>
        <v>9</v>
      </c>
      <c r="N501" s="27">
        <f t="shared" ca="1" si="15"/>
        <v>45</v>
      </c>
      <c r="O501" s="27" t="str" cm="1">
        <f t="array" ref="O501">_xlfn.IFS($F501&gt;=750,"Excellent",$F501&gt;=700,"Good",$F501&gt;=650,"Moderate",
$F501&lt;650,"Risky"
)</f>
        <v>Good</v>
      </c>
      <c r="P501" s="27" t="str" cm="1">
        <f t="array" ref="P501">_xlfn.IFS(
AND(F501&gt;=750,H501&lt;=2),"Low Risk",
AND(F501&gt;=700,H501&lt;=5),"Medium Risk",
TRUE,"High Risk"
)</f>
        <v>Medium Risk</v>
      </c>
      <c r="Q501" s="5"/>
      <c r="R501" s="5"/>
      <c r="S501" s="5"/>
      <c r="T501" s="5"/>
      <c r="U501" s="5"/>
      <c r="V501" s="5"/>
      <c r="W501" s="5"/>
      <c r="X501" s="5"/>
      <c r="Y501" s="5"/>
    </row>
    <row r="502" spans="1:25" ht="15.75" customHeight="1" x14ac:dyDescent="0.25">
      <c r="A502" s="2">
        <v>44040</v>
      </c>
      <c r="B502" s="3">
        <v>11713</v>
      </c>
      <c r="C502" s="4" t="s">
        <v>37</v>
      </c>
      <c r="D502" s="4" t="str">
        <f t="shared" si="8"/>
        <v>Strategy</v>
      </c>
      <c r="E502" s="4" t="str">
        <f t="shared" si="9"/>
        <v>Director</v>
      </c>
      <c r="F502" s="13">
        <v>703</v>
      </c>
      <c r="G502" s="13">
        <v>4</v>
      </c>
      <c r="H502" s="13">
        <v>9</v>
      </c>
      <c r="I502" s="2">
        <v>32413</v>
      </c>
      <c r="J502" s="15">
        <v>871572</v>
      </c>
      <c r="K502" s="4" t="s">
        <v>21</v>
      </c>
      <c r="L502" s="27">
        <f t="shared" si="10"/>
        <v>1988</v>
      </c>
      <c r="M502" s="27">
        <f t="shared" si="11"/>
        <v>7</v>
      </c>
      <c r="N502" s="27">
        <f t="shared" ca="1" si="15"/>
        <v>38</v>
      </c>
      <c r="O502" s="27" t="str" cm="1">
        <f t="array" ref="O502">_xlfn.IFS($F502&gt;=750,"Excellent",$F502&gt;=700,"Good",$F502&gt;=650,"Moderate",
$F502&lt;650,"Risky"
)</f>
        <v>Good</v>
      </c>
      <c r="P502" s="27" t="str" cm="1">
        <f t="array" ref="P502">_xlfn.IFS(
AND(F502&gt;=750,H502&lt;=2),"Low Risk",
AND(F502&gt;=700,H502&lt;=5),"Medium Risk",
TRUE,"High Risk"
)</f>
        <v>High Risk</v>
      </c>
      <c r="Q502" s="5"/>
      <c r="R502" s="5"/>
      <c r="S502" s="5"/>
      <c r="T502" s="5"/>
      <c r="U502" s="5"/>
      <c r="V502" s="5"/>
      <c r="W502" s="5"/>
      <c r="X502" s="5"/>
      <c r="Y502" s="5"/>
    </row>
    <row r="503" spans="1:25" ht="15.75" customHeight="1" x14ac:dyDescent="0.25">
      <c r="A503" s="2">
        <v>43903</v>
      </c>
      <c r="B503" s="3">
        <v>49626</v>
      </c>
      <c r="C503" s="4" t="s">
        <v>32</v>
      </c>
      <c r="D503" s="4" t="str">
        <f t="shared" si="8"/>
        <v>Finance</v>
      </c>
      <c r="E503" s="4" t="str">
        <f t="shared" si="9"/>
        <v>Executive</v>
      </c>
      <c r="F503" s="13">
        <v>702</v>
      </c>
      <c r="G503" s="13">
        <v>2</v>
      </c>
      <c r="H503" s="13">
        <v>4</v>
      </c>
      <c r="I503" s="2">
        <v>31113</v>
      </c>
      <c r="J503" s="15">
        <v>618850</v>
      </c>
      <c r="K503" s="4" t="s">
        <v>21</v>
      </c>
      <c r="L503" s="27">
        <f t="shared" si="10"/>
        <v>1985</v>
      </c>
      <c r="M503" s="27">
        <f t="shared" si="11"/>
        <v>3</v>
      </c>
      <c r="N503" s="27">
        <f t="shared" ca="1" si="15"/>
        <v>41</v>
      </c>
      <c r="O503" s="27" t="str" cm="1">
        <f t="array" ref="O503">_xlfn.IFS($F503&gt;=750,"Excellent",$F503&gt;=700,"Good",$F503&gt;=650,"Moderate",
$F503&lt;650,"Risky"
)</f>
        <v>Good</v>
      </c>
      <c r="P503" s="27" t="str" cm="1">
        <f t="array" ref="P503">_xlfn.IFS(
AND(F503&gt;=750,H503&lt;=2),"Low Risk",
AND(F503&gt;=700,H503&lt;=5),"Medium Risk",
TRUE,"High Risk"
)</f>
        <v>Medium Risk</v>
      </c>
      <c r="Q503" s="5"/>
      <c r="R503" s="5"/>
      <c r="S503" s="5"/>
      <c r="T503" s="5"/>
      <c r="U503" s="5"/>
      <c r="V503" s="5"/>
      <c r="W503" s="5"/>
      <c r="X503" s="5"/>
      <c r="Y503" s="5"/>
    </row>
    <row r="504" spans="1:25" ht="15.75" customHeight="1" x14ac:dyDescent="0.25">
      <c r="A504" s="2">
        <v>43959</v>
      </c>
      <c r="B504" s="3">
        <v>25602</v>
      </c>
      <c r="C504" s="4" t="s">
        <v>37</v>
      </c>
      <c r="D504" s="4" t="str">
        <f t="shared" si="8"/>
        <v>Strategy</v>
      </c>
      <c r="E504" s="4" t="str">
        <f t="shared" si="9"/>
        <v>Director</v>
      </c>
      <c r="F504" s="13">
        <v>747</v>
      </c>
      <c r="G504" s="13">
        <v>1</v>
      </c>
      <c r="H504" s="13">
        <v>4</v>
      </c>
      <c r="I504" s="2">
        <v>34240</v>
      </c>
      <c r="J504" s="15">
        <v>979398</v>
      </c>
      <c r="K504" s="4" t="s">
        <v>21</v>
      </c>
      <c r="L504" s="27">
        <f t="shared" si="10"/>
        <v>1993</v>
      </c>
      <c r="M504" s="27">
        <f t="shared" si="11"/>
        <v>5</v>
      </c>
      <c r="N504" s="27">
        <f t="shared" ca="1" si="15"/>
        <v>33</v>
      </c>
      <c r="O504" s="27" t="str" cm="1">
        <f t="array" ref="O504">_xlfn.IFS($F504&gt;=750,"Excellent",$F504&gt;=700,"Good",$F504&gt;=650,"Moderate",
$F504&lt;650,"Risky"
)</f>
        <v>Good</v>
      </c>
      <c r="P504" s="27" t="str" cm="1">
        <f t="array" ref="P504">_xlfn.IFS(
AND(F504&gt;=750,H504&lt;=2),"Low Risk",
AND(F504&gt;=700,H504&lt;=5),"Medium Risk",
TRUE,"High Risk"
)</f>
        <v>Medium Risk</v>
      </c>
      <c r="Q504" s="5"/>
      <c r="R504" s="5"/>
      <c r="S504" s="5"/>
      <c r="T504" s="5"/>
      <c r="U504" s="5"/>
      <c r="V504" s="5"/>
      <c r="W504" s="5"/>
      <c r="X504" s="5"/>
      <c r="Y504" s="5"/>
    </row>
    <row r="505" spans="1:25" ht="15.75" customHeight="1" x14ac:dyDescent="0.25">
      <c r="A505" s="2">
        <v>43872</v>
      </c>
      <c r="B505" s="3">
        <v>82529</v>
      </c>
      <c r="C505" s="4" t="s">
        <v>35</v>
      </c>
      <c r="D505" s="4" t="str">
        <f t="shared" si="8"/>
        <v>Growth</v>
      </c>
      <c r="E505" s="4" t="str">
        <f t="shared" si="9"/>
        <v>Intern</v>
      </c>
      <c r="F505" s="13">
        <v>712</v>
      </c>
      <c r="G505" s="13">
        <v>5</v>
      </c>
      <c r="H505" s="13">
        <v>6</v>
      </c>
      <c r="I505" s="2">
        <v>31184</v>
      </c>
      <c r="J505" s="15">
        <v>792059</v>
      </c>
      <c r="K505" s="4" t="s">
        <v>18</v>
      </c>
      <c r="L505" s="27">
        <f t="shared" si="10"/>
        <v>1985</v>
      </c>
      <c r="M505" s="27">
        <f t="shared" si="11"/>
        <v>2</v>
      </c>
      <c r="N505" s="27">
        <f t="shared" ca="1" si="15"/>
        <v>41</v>
      </c>
      <c r="O505" s="27" t="str" cm="1">
        <f t="array" ref="O505">_xlfn.IFS($F505&gt;=750,"Excellent",$F505&gt;=700,"Good",$F505&gt;=650,"Moderate",
$F505&lt;650,"Risky"
)</f>
        <v>Good</v>
      </c>
      <c r="P505" s="27" t="str" cm="1">
        <f t="array" ref="P505">_xlfn.IFS(
AND(F505&gt;=750,H505&lt;=2),"Low Risk",
AND(F505&gt;=700,H505&lt;=5),"Medium Risk",
TRUE,"High Risk"
)</f>
        <v>High Risk</v>
      </c>
      <c r="Q505" s="5"/>
      <c r="R505" s="5"/>
      <c r="S505" s="5"/>
      <c r="T505" s="5"/>
      <c r="U505" s="5"/>
      <c r="V505" s="5"/>
      <c r="W505" s="5"/>
      <c r="X505" s="5"/>
      <c r="Y505" s="5"/>
    </row>
    <row r="506" spans="1:25" ht="15.75" customHeight="1" x14ac:dyDescent="0.25">
      <c r="A506" s="2">
        <v>44076</v>
      </c>
      <c r="B506" s="3">
        <v>33160</v>
      </c>
      <c r="C506" s="4" t="s">
        <v>20</v>
      </c>
      <c r="D506" s="4" t="str">
        <f t="shared" si="8"/>
        <v>Operation</v>
      </c>
      <c r="E506" s="4" t="str">
        <f t="shared" si="9"/>
        <v>Manager</v>
      </c>
      <c r="F506" s="13">
        <v>714</v>
      </c>
      <c r="G506" s="13">
        <v>1</v>
      </c>
      <c r="H506" s="13">
        <v>6</v>
      </c>
      <c r="I506" s="2">
        <v>29362</v>
      </c>
      <c r="J506" s="15">
        <v>938703</v>
      </c>
      <c r="K506" s="4" t="s">
        <v>18</v>
      </c>
      <c r="L506" s="27">
        <f t="shared" si="10"/>
        <v>1980</v>
      </c>
      <c r="M506" s="27">
        <f t="shared" si="11"/>
        <v>9</v>
      </c>
      <c r="N506" s="27">
        <f t="shared" ca="1" si="15"/>
        <v>46</v>
      </c>
      <c r="O506" s="27" t="str" cm="1">
        <f t="array" ref="O506">_xlfn.IFS($F506&gt;=750,"Excellent",$F506&gt;=700,"Good",$F506&gt;=650,"Moderate",
$F506&lt;650,"Risky"
)</f>
        <v>Good</v>
      </c>
      <c r="P506" s="27" t="str" cm="1">
        <f t="array" ref="P506">_xlfn.IFS(
AND(F506&gt;=750,H506&lt;=2),"Low Risk",
AND(F506&gt;=700,H506&lt;=5),"Medium Risk",
TRUE,"High Risk"
)</f>
        <v>High Risk</v>
      </c>
      <c r="Q506" s="5"/>
      <c r="R506" s="5"/>
      <c r="S506" s="5"/>
      <c r="T506" s="5"/>
      <c r="U506" s="5"/>
      <c r="V506" s="5"/>
      <c r="W506" s="5"/>
      <c r="X506" s="5"/>
      <c r="Y506" s="5"/>
    </row>
    <row r="507" spans="1:25" ht="15.75" customHeight="1" x14ac:dyDescent="0.25">
      <c r="A507" s="2">
        <v>44106</v>
      </c>
      <c r="B507" s="3">
        <v>41449</v>
      </c>
      <c r="C507" s="4" t="s">
        <v>39</v>
      </c>
      <c r="D507" s="4" t="str">
        <f t="shared" si="8"/>
        <v>Growth</v>
      </c>
      <c r="E507" s="4" t="str">
        <f t="shared" si="9"/>
        <v>Executive</v>
      </c>
      <c r="F507" s="13">
        <v>741</v>
      </c>
      <c r="G507" s="13">
        <v>3</v>
      </c>
      <c r="H507" s="13">
        <v>2</v>
      </c>
      <c r="I507" s="2">
        <v>33308</v>
      </c>
      <c r="J507" s="15">
        <v>701666</v>
      </c>
      <c r="K507" s="4" t="s">
        <v>18</v>
      </c>
      <c r="L507" s="27">
        <f t="shared" si="10"/>
        <v>1991</v>
      </c>
      <c r="M507" s="27">
        <f t="shared" si="11"/>
        <v>10</v>
      </c>
      <c r="N507" s="27">
        <f t="shared" ca="1" si="15"/>
        <v>35</v>
      </c>
      <c r="O507" s="27" t="str" cm="1">
        <f t="array" ref="O507">_xlfn.IFS($F507&gt;=750,"Excellent",$F507&gt;=700,"Good",$F507&gt;=650,"Moderate",
$F507&lt;650,"Risky"
)</f>
        <v>Good</v>
      </c>
      <c r="P507" s="27" t="str" cm="1">
        <f t="array" ref="P507">_xlfn.IFS(
AND(F507&gt;=750,H507&lt;=2),"Low Risk",
AND(F507&gt;=700,H507&lt;=5),"Medium Risk",
TRUE,"High Risk"
)</f>
        <v>Medium Risk</v>
      </c>
      <c r="Q507" s="5"/>
      <c r="R507" s="5"/>
      <c r="S507" s="5"/>
      <c r="T507" s="5"/>
      <c r="U507" s="5"/>
      <c r="V507" s="5"/>
      <c r="W507" s="5"/>
      <c r="X507" s="5"/>
      <c r="Y507" s="5"/>
    </row>
    <row r="508" spans="1:25" ht="15.75" customHeight="1" x14ac:dyDescent="0.25">
      <c r="A508" s="2">
        <v>44084</v>
      </c>
      <c r="B508" s="3">
        <v>71321</v>
      </c>
      <c r="C508" s="4" t="s">
        <v>28</v>
      </c>
      <c r="D508" s="4" t="str">
        <f t="shared" si="8"/>
        <v>Growth</v>
      </c>
      <c r="E508" s="4" t="str">
        <f t="shared" si="9"/>
        <v>Director</v>
      </c>
      <c r="F508" s="13">
        <v>758</v>
      </c>
      <c r="G508" s="13">
        <v>4</v>
      </c>
      <c r="H508" s="13">
        <v>3</v>
      </c>
      <c r="I508" s="2">
        <v>33494</v>
      </c>
      <c r="J508" s="15">
        <v>898390</v>
      </c>
      <c r="K508" s="4" t="s">
        <v>14</v>
      </c>
      <c r="L508" s="27">
        <f t="shared" si="10"/>
        <v>1991</v>
      </c>
      <c r="M508" s="27">
        <f t="shared" si="11"/>
        <v>9</v>
      </c>
      <c r="N508" s="27">
        <f t="shared" ca="1" si="15"/>
        <v>35</v>
      </c>
      <c r="O508" s="27" t="str" cm="1">
        <f t="array" ref="O508">_xlfn.IFS($F508&gt;=750,"Excellent",$F508&gt;=700,"Good",$F508&gt;=650,"Moderate",
$F508&lt;650,"Risky"
)</f>
        <v>Excellent</v>
      </c>
      <c r="P508" s="27" t="str" cm="1">
        <f t="array" ref="P508">_xlfn.IFS(
AND(F508&gt;=750,H508&lt;=2),"Low Risk",
AND(F508&gt;=700,H508&lt;=5),"Medium Risk",
TRUE,"High Risk"
)</f>
        <v>Medium Risk</v>
      </c>
      <c r="Q508" s="5"/>
      <c r="R508" s="5"/>
      <c r="S508" s="5"/>
      <c r="T508" s="5"/>
      <c r="U508" s="5"/>
      <c r="V508" s="5"/>
      <c r="W508" s="5"/>
      <c r="X508" s="5"/>
      <c r="Y508" s="5"/>
    </row>
    <row r="509" spans="1:25" ht="15.75" customHeight="1" x14ac:dyDescent="0.25">
      <c r="A509" s="2">
        <v>44018</v>
      </c>
      <c r="B509" s="3">
        <v>14370</v>
      </c>
      <c r="C509" s="4" t="s">
        <v>35</v>
      </c>
      <c r="D509" s="4" t="str">
        <f t="shared" si="8"/>
        <v>Growth</v>
      </c>
      <c r="E509" s="4" t="str">
        <f t="shared" si="9"/>
        <v>Intern</v>
      </c>
      <c r="F509" s="13">
        <v>776</v>
      </c>
      <c r="G509" s="13">
        <v>5</v>
      </c>
      <c r="H509" s="13">
        <v>8</v>
      </c>
      <c r="I509" s="2">
        <v>30867</v>
      </c>
      <c r="J509" s="15">
        <v>637201</v>
      </c>
      <c r="K509" s="4" t="s">
        <v>18</v>
      </c>
      <c r="L509" s="27">
        <f t="shared" si="10"/>
        <v>1984</v>
      </c>
      <c r="M509" s="27">
        <f t="shared" si="11"/>
        <v>7</v>
      </c>
      <c r="N509" s="27">
        <f t="shared" ca="1" si="15"/>
        <v>42</v>
      </c>
      <c r="O509" s="27" t="str" cm="1">
        <f t="array" ref="O509">_xlfn.IFS($F509&gt;=750,"Excellent",$F509&gt;=700,"Good",$F509&gt;=650,"Moderate",
$F509&lt;650,"Risky"
)</f>
        <v>Excellent</v>
      </c>
      <c r="P509" s="27" t="str" cm="1">
        <f t="array" ref="P509">_xlfn.IFS(
AND(F509&gt;=750,H509&lt;=2),"Low Risk",
AND(F509&gt;=700,H509&lt;=5),"Medium Risk",
TRUE,"High Risk"
)</f>
        <v>High Risk</v>
      </c>
      <c r="Q509" s="5"/>
      <c r="R509" s="5"/>
      <c r="S509" s="5"/>
      <c r="T509" s="5"/>
      <c r="U509" s="5"/>
      <c r="V509" s="5"/>
      <c r="W509" s="5"/>
      <c r="X509" s="5"/>
      <c r="Y509" s="5"/>
    </row>
    <row r="510" spans="1:25" ht="15.75" customHeight="1" x14ac:dyDescent="0.25">
      <c r="A510" s="2">
        <v>44140</v>
      </c>
      <c r="B510" s="3">
        <v>57441</v>
      </c>
      <c r="C510" s="4" t="s">
        <v>32</v>
      </c>
      <c r="D510" s="4" t="str">
        <f t="shared" si="8"/>
        <v>Finance</v>
      </c>
      <c r="E510" s="4" t="str">
        <f t="shared" si="9"/>
        <v>Executive</v>
      </c>
      <c r="F510" s="13">
        <v>701</v>
      </c>
      <c r="G510" s="13">
        <v>3</v>
      </c>
      <c r="H510" s="13">
        <v>7</v>
      </c>
      <c r="I510" s="2">
        <v>31507</v>
      </c>
      <c r="J510" s="15">
        <v>629314</v>
      </c>
      <c r="K510" s="4" t="s">
        <v>21</v>
      </c>
      <c r="L510" s="27">
        <f t="shared" si="10"/>
        <v>1986</v>
      </c>
      <c r="M510" s="27">
        <f t="shared" si="11"/>
        <v>11</v>
      </c>
      <c r="N510" s="27">
        <f t="shared" ca="1" si="15"/>
        <v>40</v>
      </c>
      <c r="O510" s="27" t="str" cm="1">
        <f t="array" ref="O510">_xlfn.IFS($F510&gt;=750,"Excellent",$F510&gt;=700,"Good",$F510&gt;=650,"Moderate",
$F510&lt;650,"Risky"
)</f>
        <v>Good</v>
      </c>
      <c r="P510" s="27" t="str" cm="1">
        <f t="array" ref="P510">_xlfn.IFS(
AND(F510&gt;=750,H510&lt;=2),"Low Risk",
AND(F510&gt;=700,H510&lt;=5),"Medium Risk",
TRUE,"High Risk"
)</f>
        <v>High Risk</v>
      </c>
      <c r="Q510" s="5"/>
      <c r="R510" s="5"/>
      <c r="S510" s="5"/>
      <c r="T510" s="5"/>
      <c r="U510" s="5"/>
      <c r="V510" s="5"/>
      <c r="W510" s="5"/>
      <c r="X510" s="5"/>
      <c r="Y510" s="5"/>
    </row>
    <row r="511" spans="1:25" ht="15.75" customHeight="1" x14ac:dyDescent="0.25">
      <c r="A511" s="2">
        <v>43977</v>
      </c>
      <c r="B511" s="3">
        <v>89223</v>
      </c>
      <c r="C511" s="4" t="s">
        <v>25</v>
      </c>
      <c r="D511" s="4" t="str">
        <f t="shared" si="8"/>
        <v>Sales</v>
      </c>
      <c r="E511" s="4" t="str">
        <f t="shared" si="9"/>
        <v>Manager</v>
      </c>
      <c r="F511" s="13">
        <v>777</v>
      </c>
      <c r="G511" s="13">
        <v>5</v>
      </c>
      <c r="H511" s="13">
        <v>2</v>
      </c>
      <c r="I511" s="2">
        <v>33928</v>
      </c>
      <c r="J511" s="15">
        <v>601092</v>
      </c>
      <c r="K511" s="4" t="s">
        <v>14</v>
      </c>
      <c r="L511" s="27">
        <f t="shared" si="10"/>
        <v>1992</v>
      </c>
      <c r="M511" s="27">
        <f t="shared" si="11"/>
        <v>5</v>
      </c>
      <c r="N511" s="27">
        <f ca="1" xml:space="preserve"> YEAR(TODAY()) - $L511</f>
        <v>34</v>
      </c>
      <c r="O511" s="27" t="str" cm="1">
        <f t="array" ref="O511">_xlfn.IFS($F511&gt;=750,"Excellent",$F511&gt;=700,"Good",$F511&gt;=650,"Moderate",
$F511&lt;650,"Risky"
)</f>
        <v>Excellent</v>
      </c>
      <c r="P511" s="27" t="str" cm="1">
        <f t="array" ref="P511">_xlfn.IFS(
AND(F511&gt;=750,H511&lt;=2),"Low Risk",
AND(F511&gt;=700,H511&lt;=5),"Medium Risk",
TRUE,"High Risk"
)</f>
        <v>Low Risk</v>
      </c>
      <c r="Q511" s="5"/>
      <c r="R511" s="5"/>
      <c r="S511" s="5"/>
      <c r="T511" s="5"/>
      <c r="U511" s="5"/>
      <c r="V511" s="5"/>
      <c r="W511" s="5"/>
      <c r="X511" s="5"/>
      <c r="Y511" s="5"/>
    </row>
    <row r="512" spans="1:25" ht="15.75" customHeight="1" x14ac:dyDescent="0.25">
      <c r="A512" s="2">
        <v>44086</v>
      </c>
      <c r="B512" s="3">
        <v>90372</v>
      </c>
      <c r="C512" s="4" t="s">
        <v>31</v>
      </c>
      <c r="D512" s="4" t="str">
        <f t="shared" ref="D512:D766" si="16">TRIM(LEFT(C512,FIND("-",C512,1)-1))</f>
        <v>Finance</v>
      </c>
      <c r="E512" s="4" t="str">
        <f t="shared" ref="E512:E766" si="17">TRIM(RIGHT(C512,LEN(C512)-(FIND("-",C512,1))))</f>
        <v>Intern</v>
      </c>
      <c r="F512" s="13">
        <v>746</v>
      </c>
      <c r="G512" s="13">
        <v>2</v>
      </c>
      <c r="H512" s="13">
        <v>6</v>
      </c>
      <c r="I512" s="2">
        <v>32278</v>
      </c>
      <c r="J512" s="15">
        <v>569389</v>
      </c>
      <c r="K512" s="4" t="s">
        <v>14</v>
      </c>
      <c r="L512" s="27">
        <f t="shared" ref="L512:L766" si="18">YEAR(I512)</f>
        <v>1988</v>
      </c>
      <c r="M512" s="27">
        <f t="shared" ref="M512:M766" si="19">MONTH(A512)</f>
        <v>9</v>
      </c>
      <c r="N512" s="27">
        <f t="shared" ca="1" si="15"/>
        <v>38</v>
      </c>
      <c r="O512" s="27" t="str" cm="1">
        <f t="array" ref="O512">_xlfn.IFS($F512&gt;=750,"Excellent",$F512&gt;=700,"Good",$F512&gt;=650,"Moderate",
$F512&lt;650,"Risky"
)</f>
        <v>Good</v>
      </c>
      <c r="P512" s="27" t="str" cm="1">
        <f t="array" ref="P512">_xlfn.IFS(
AND(F512&gt;=750,H512&lt;=2),"Low Risk",
AND(F512&gt;=700,H512&lt;=5),"Medium Risk",
TRUE,"High Risk"
)</f>
        <v>High Risk</v>
      </c>
      <c r="Q512" s="5"/>
      <c r="R512" s="5"/>
      <c r="S512" s="5"/>
      <c r="T512" s="5"/>
      <c r="U512" s="5"/>
      <c r="V512" s="5"/>
      <c r="W512" s="5"/>
      <c r="X512" s="5"/>
      <c r="Y512" s="5"/>
    </row>
    <row r="513" spans="1:25" ht="15.75" customHeight="1" x14ac:dyDescent="0.25">
      <c r="A513" s="2">
        <v>44126</v>
      </c>
      <c r="B513" s="3">
        <v>35132</v>
      </c>
      <c r="C513" s="4" t="s">
        <v>25</v>
      </c>
      <c r="D513" s="4" t="str">
        <f t="shared" si="16"/>
        <v>Sales</v>
      </c>
      <c r="E513" s="4" t="str">
        <f t="shared" si="17"/>
        <v>Manager</v>
      </c>
      <c r="F513" s="13">
        <v>745</v>
      </c>
      <c r="G513" s="13">
        <v>1</v>
      </c>
      <c r="H513" s="13">
        <v>10</v>
      </c>
      <c r="I513" s="2">
        <v>31938</v>
      </c>
      <c r="J513" s="15">
        <v>906581</v>
      </c>
      <c r="K513" s="4" t="s">
        <v>18</v>
      </c>
      <c r="L513" s="27">
        <f t="shared" si="18"/>
        <v>1987</v>
      </c>
      <c r="M513" s="27">
        <f t="shared" si="19"/>
        <v>10</v>
      </c>
      <c r="N513" s="27">
        <f t="shared" ca="1" si="15"/>
        <v>39</v>
      </c>
      <c r="O513" s="27" t="str" cm="1">
        <f t="array" ref="O513">_xlfn.IFS($F513&gt;=750,"Excellent",$F513&gt;=700,"Good",$F513&gt;=650,"Moderate",
$F513&lt;650,"Risky"
)</f>
        <v>Good</v>
      </c>
      <c r="P513" s="27" t="str" cm="1">
        <f t="array" ref="P513">_xlfn.IFS(
AND(F513&gt;=750,H513&lt;=2),"Low Risk",
AND(F513&gt;=700,H513&lt;=5),"Medium Risk",
TRUE,"High Risk"
)</f>
        <v>High Risk</v>
      </c>
      <c r="Q513" s="5"/>
      <c r="R513" s="5"/>
      <c r="S513" s="5"/>
      <c r="T513" s="5"/>
      <c r="U513" s="5"/>
      <c r="V513" s="5"/>
      <c r="W513" s="5"/>
      <c r="X513" s="5"/>
      <c r="Y513" s="5"/>
    </row>
    <row r="514" spans="1:25" ht="15.75" customHeight="1" x14ac:dyDescent="0.25">
      <c r="A514" s="2">
        <v>43900</v>
      </c>
      <c r="B514" s="3">
        <v>99699</v>
      </c>
      <c r="C514" s="4" t="s">
        <v>19</v>
      </c>
      <c r="D514" s="4" t="str">
        <f t="shared" si="16"/>
        <v>Marketing</v>
      </c>
      <c r="E514" s="4" t="str">
        <f t="shared" si="17"/>
        <v>Manager</v>
      </c>
      <c r="F514" s="13">
        <v>701</v>
      </c>
      <c r="G514" s="13">
        <v>1</v>
      </c>
      <c r="H514" s="13">
        <v>8</v>
      </c>
      <c r="I514" s="2">
        <v>33518</v>
      </c>
      <c r="J514" s="15">
        <v>691306</v>
      </c>
      <c r="K514" s="4" t="s">
        <v>21</v>
      </c>
      <c r="L514" s="27">
        <f t="shared" si="18"/>
        <v>1991</v>
      </c>
      <c r="M514" s="27">
        <f t="shared" si="19"/>
        <v>3</v>
      </c>
      <c r="N514" s="27">
        <f t="shared" ca="1" si="15"/>
        <v>35</v>
      </c>
      <c r="O514" s="27" t="str" cm="1">
        <f t="array" ref="O514">_xlfn.IFS($F514&gt;=750,"Excellent",$F514&gt;=700,"Good",$F514&gt;=650,"Moderate",
$F514&lt;650,"Risky"
)</f>
        <v>Good</v>
      </c>
      <c r="P514" s="27" t="str" cm="1">
        <f t="array" ref="P514">_xlfn.IFS(
AND(F514&gt;=750,H514&lt;=2),"Low Risk",
AND(F514&gt;=700,H514&lt;=5),"Medium Risk",
TRUE,"High Risk"
)</f>
        <v>High Risk</v>
      </c>
      <c r="Q514" s="5"/>
      <c r="R514" s="5"/>
      <c r="S514" s="5"/>
      <c r="T514" s="5"/>
      <c r="U514" s="5"/>
      <c r="V514" s="5"/>
      <c r="W514" s="5"/>
      <c r="X514" s="5"/>
      <c r="Y514" s="5"/>
    </row>
    <row r="515" spans="1:25" ht="15.75" customHeight="1" x14ac:dyDescent="0.25">
      <c r="A515" s="2">
        <v>44138</v>
      </c>
      <c r="B515" s="3">
        <v>73788</v>
      </c>
      <c r="C515" s="4" t="s">
        <v>27</v>
      </c>
      <c r="D515" s="4" t="str">
        <f t="shared" si="16"/>
        <v>Operation</v>
      </c>
      <c r="E515" s="4" t="str">
        <f t="shared" si="17"/>
        <v>Intern</v>
      </c>
      <c r="F515" s="13">
        <v>714</v>
      </c>
      <c r="G515" s="13">
        <v>4</v>
      </c>
      <c r="H515" s="13">
        <v>9</v>
      </c>
      <c r="I515" s="2">
        <v>34638</v>
      </c>
      <c r="J515" s="15">
        <v>594655</v>
      </c>
      <c r="K515" s="4" t="s">
        <v>14</v>
      </c>
      <c r="L515" s="27">
        <f t="shared" si="18"/>
        <v>1994</v>
      </c>
      <c r="M515" s="27">
        <f t="shared" si="19"/>
        <v>11</v>
      </c>
      <c r="N515" s="27">
        <f t="shared" ref="N515:N578" ca="1" si="20" xml:space="preserve"> YEAR(TODAY()) - $L515</f>
        <v>32</v>
      </c>
      <c r="O515" s="27" t="str" cm="1">
        <f t="array" ref="O515">_xlfn.IFS($F515&gt;=750,"Excellent",$F515&gt;=700,"Good",$F515&gt;=650,"Moderate",
$F515&lt;650,"Risky"
)</f>
        <v>Good</v>
      </c>
      <c r="P515" s="27" t="str" cm="1">
        <f t="array" ref="P515">_xlfn.IFS(
AND(F515&gt;=750,H515&lt;=2),"Low Risk",
AND(F515&gt;=700,H515&lt;=5),"Medium Risk",
TRUE,"High Risk"
)</f>
        <v>High Risk</v>
      </c>
      <c r="Q515" s="5"/>
      <c r="R515" s="5"/>
      <c r="S515" s="5"/>
      <c r="T515" s="5"/>
      <c r="U515" s="5"/>
      <c r="V515" s="5"/>
      <c r="W515" s="5"/>
      <c r="X515" s="5"/>
      <c r="Y515" s="5"/>
    </row>
    <row r="516" spans="1:25" ht="15.75" customHeight="1" x14ac:dyDescent="0.25">
      <c r="A516" s="2">
        <v>44020</v>
      </c>
      <c r="B516" s="3">
        <v>33329</v>
      </c>
      <c r="C516" s="4" t="s">
        <v>35</v>
      </c>
      <c r="D516" s="4" t="str">
        <f t="shared" si="16"/>
        <v>Growth</v>
      </c>
      <c r="E516" s="4" t="str">
        <f t="shared" si="17"/>
        <v>Intern</v>
      </c>
      <c r="F516" s="13">
        <v>728</v>
      </c>
      <c r="G516" s="13">
        <v>2</v>
      </c>
      <c r="H516" s="13">
        <v>7</v>
      </c>
      <c r="I516" s="2">
        <v>32218</v>
      </c>
      <c r="J516" s="15">
        <v>609323</v>
      </c>
      <c r="K516" s="4" t="s">
        <v>14</v>
      </c>
      <c r="L516" s="27">
        <f t="shared" si="18"/>
        <v>1988</v>
      </c>
      <c r="M516" s="27">
        <f t="shared" si="19"/>
        <v>7</v>
      </c>
      <c r="N516" s="27">
        <f t="shared" ca="1" si="20"/>
        <v>38</v>
      </c>
      <c r="O516" s="27" t="str" cm="1">
        <f t="array" ref="O516">_xlfn.IFS($F516&gt;=750,"Excellent",$F516&gt;=700,"Good",$F516&gt;=650,"Moderate",
$F516&lt;650,"Risky"
)</f>
        <v>Good</v>
      </c>
      <c r="P516" s="27" t="str" cm="1">
        <f t="array" ref="P516">_xlfn.IFS(
AND(F516&gt;=750,H516&lt;=2),"Low Risk",
AND(F516&gt;=700,H516&lt;=5),"Medium Risk",
TRUE,"High Risk"
)</f>
        <v>High Risk</v>
      </c>
      <c r="Q516" s="5"/>
      <c r="R516" s="5"/>
      <c r="S516" s="5"/>
      <c r="T516" s="5"/>
      <c r="U516" s="5"/>
      <c r="V516" s="5"/>
      <c r="W516" s="5"/>
      <c r="X516" s="5"/>
      <c r="Y516" s="5"/>
    </row>
    <row r="517" spans="1:25" ht="15.75" customHeight="1" x14ac:dyDescent="0.25">
      <c r="A517" s="2">
        <v>44049</v>
      </c>
      <c r="B517" s="3">
        <v>91695</v>
      </c>
      <c r="C517" s="4" t="s">
        <v>29</v>
      </c>
      <c r="D517" s="4" t="str">
        <f t="shared" si="16"/>
        <v>Sales</v>
      </c>
      <c r="E517" s="4" t="str">
        <f t="shared" si="17"/>
        <v>Director</v>
      </c>
      <c r="F517" s="13">
        <v>725</v>
      </c>
      <c r="G517" s="13">
        <v>1</v>
      </c>
      <c r="H517" s="13">
        <v>9</v>
      </c>
      <c r="I517" s="2">
        <v>31334</v>
      </c>
      <c r="J517" s="15">
        <v>616474</v>
      </c>
      <c r="K517" s="4" t="s">
        <v>14</v>
      </c>
      <c r="L517" s="27">
        <f t="shared" si="18"/>
        <v>1985</v>
      </c>
      <c r="M517" s="27">
        <f t="shared" si="19"/>
        <v>8</v>
      </c>
      <c r="N517" s="27">
        <f t="shared" ca="1" si="20"/>
        <v>41</v>
      </c>
      <c r="O517" s="27" t="str" cm="1">
        <f t="array" ref="O517">_xlfn.IFS($F517&gt;=750,"Excellent",$F517&gt;=700,"Good",$F517&gt;=650,"Moderate",
$F517&lt;650,"Risky"
)</f>
        <v>Good</v>
      </c>
      <c r="P517" s="27" t="str" cm="1">
        <f t="array" ref="P517">_xlfn.IFS(
AND(F517&gt;=750,H517&lt;=2),"Low Risk",
AND(F517&gt;=700,H517&lt;=5),"Medium Risk",
TRUE,"High Risk"
)</f>
        <v>High Risk</v>
      </c>
      <c r="Q517" s="5"/>
      <c r="R517" s="5"/>
      <c r="S517" s="5"/>
      <c r="T517" s="5"/>
      <c r="U517" s="5"/>
      <c r="V517" s="5"/>
      <c r="W517" s="5"/>
      <c r="X517" s="5"/>
      <c r="Y517" s="5"/>
    </row>
    <row r="518" spans="1:25" ht="15.75" customHeight="1" x14ac:dyDescent="0.25">
      <c r="A518" s="2">
        <v>43955</v>
      </c>
      <c r="B518" s="3">
        <v>43918</v>
      </c>
      <c r="C518" s="4" t="s">
        <v>36</v>
      </c>
      <c r="D518" s="4" t="str">
        <f t="shared" si="16"/>
        <v>Sales</v>
      </c>
      <c r="E518" s="4" t="str">
        <f t="shared" si="17"/>
        <v>Intern</v>
      </c>
      <c r="F518" s="13">
        <v>717</v>
      </c>
      <c r="G518" s="13">
        <v>4</v>
      </c>
      <c r="H518" s="13">
        <v>2</v>
      </c>
      <c r="I518" s="2">
        <v>32024</v>
      </c>
      <c r="J518" s="15">
        <v>965774</v>
      </c>
      <c r="K518" s="4" t="s">
        <v>14</v>
      </c>
      <c r="L518" s="27">
        <f t="shared" si="18"/>
        <v>1987</v>
      </c>
      <c r="M518" s="27">
        <f t="shared" si="19"/>
        <v>5</v>
      </c>
      <c r="N518" s="27">
        <f t="shared" ca="1" si="20"/>
        <v>39</v>
      </c>
      <c r="O518" s="27" t="str" cm="1">
        <f t="array" ref="O518">_xlfn.IFS($F518&gt;=750,"Excellent",$F518&gt;=700,"Good",$F518&gt;=650,"Moderate",
$F518&lt;650,"Risky"
)</f>
        <v>Good</v>
      </c>
      <c r="P518" s="27" t="str" cm="1">
        <f t="array" ref="P518">_xlfn.IFS(
AND(F518&gt;=750,H518&lt;=2),"Low Risk",
AND(F518&gt;=700,H518&lt;=5),"Medium Risk",
TRUE,"High Risk"
)</f>
        <v>Medium Risk</v>
      </c>
      <c r="Q518" s="5"/>
      <c r="R518" s="5"/>
      <c r="S518" s="5"/>
      <c r="T518" s="5"/>
      <c r="U518" s="5"/>
      <c r="V518" s="5"/>
      <c r="W518" s="5"/>
      <c r="X518" s="5"/>
      <c r="Y518" s="5"/>
    </row>
    <row r="519" spans="1:25" ht="15.75" customHeight="1" x14ac:dyDescent="0.25">
      <c r="A519" s="2">
        <v>44066</v>
      </c>
      <c r="B519" s="3">
        <v>72046</v>
      </c>
      <c r="C519" s="4" t="s">
        <v>31</v>
      </c>
      <c r="D519" s="4" t="str">
        <f t="shared" si="16"/>
        <v>Finance</v>
      </c>
      <c r="E519" s="4" t="str">
        <f t="shared" si="17"/>
        <v>Intern</v>
      </c>
      <c r="F519" s="13">
        <v>742</v>
      </c>
      <c r="G519" s="13">
        <v>4</v>
      </c>
      <c r="H519" s="13">
        <v>4</v>
      </c>
      <c r="I519" s="2">
        <v>31733</v>
      </c>
      <c r="J519" s="15">
        <v>866598</v>
      </c>
      <c r="K519" s="4" t="s">
        <v>14</v>
      </c>
      <c r="L519" s="27">
        <f t="shared" si="18"/>
        <v>1986</v>
      </c>
      <c r="M519" s="27">
        <f t="shared" si="19"/>
        <v>8</v>
      </c>
      <c r="N519" s="27">
        <f t="shared" ca="1" si="20"/>
        <v>40</v>
      </c>
      <c r="O519" s="27" t="str" cm="1">
        <f t="array" ref="O519">_xlfn.IFS($F519&gt;=750,"Excellent",$F519&gt;=700,"Good",$F519&gt;=650,"Moderate",
$F519&lt;650,"Risky"
)</f>
        <v>Good</v>
      </c>
      <c r="P519" s="27" t="str" cm="1">
        <f t="array" ref="P519">_xlfn.IFS(
AND(F519&gt;=750,H519&lt;=2),"Low Risk",
AND(F519&gt;=700,H519&lt;=5),"Medium Risk",
TRUE,"High Risk"
)</f>
        <v>Medium Risk</v>
      </c>
      <c r="Q519" s="5"/>
      <c r="R519" s="5"/>
      <c r="S519" s="5"/>
      <c r="T519" s="5"/>
      <c r="U519" s="5"/>
      <c r="V519" s="5"/>
      <c r="W519" s="5"/>
      <c r="X519" s="5"/>
      <c r="Y519" s="5"/>
    </row>
    <row r="520" spans="1:25" ht="15.75" customHeight="1" x14ac:dyDescent="0.25">
      <c r="A520" s="2">
        <v>43986</v>
      </c>
      <c r="B520" s="3">
        <v>71085</v>
      </c>
      <c r="C520" s="4" t="s">
        <v>23</v>
      </c>
      <c r="D520" s="4" t="str">
        <f t="shared" si="16"/>
        <v>Marketing</v>
      </c>
      <c r="E520" s="4" t="str">
        <f t="shared" si="17"/>
        <v>Intern</v>
      </c>
      <c r="F520" s="13">
        <v>747</v>
      </c>
      <c r="G520" s="13">
        <v>5</v>
      </c>
      <c r="H520" s="13">
        <v>5</v>
      </c>
      <c r="I520" s="2">
        <v>29931</v>
      </c>
      <c r="J520" s="15">
        <v>727411</v>
      </c>
      <c r="K520" s="4" t="s">
        <v>14</v>
      </c>
      <c r="L520" s="27">
        <f t="shared" si="18"/>
        <v>1981</v>
      </c>
      <c r="M520" s="27">
        <f t="shared" si="19"/>
        <v>6</v>
      </c>
      <c r="N520" s="27">
        <f t="shared" ca="1" si="20"/>
        <v>45</v>
      </c>
      <c r="O520" s="27" t="str" cm="1">
        <f t="array" ref="O520">_xlfn.IFS($F520&gt;=750,"Excellent",$F520&gt;=700,"Good",$F520&gt;=650,"Moderate",
$F520&lt;650,"Risky"
)</f>
        <v>Good</v>
      </c>
      <c r="P520" s="27" t="str" cm="1">
        <f t="array" ref="P520">_xlfn.IFS(
AND(F520&gt;=750,H520&lt;=2),"Low Risk",
AND(F520&gt;=700,H520&lt;=5),"Medium Risk",
TRUE,"High Risk"
)</f>
        <v>Medium Risk</v>
      </c>
      <c r="Q520" s="5"/>
      <c r="R520" s="5"/>
      <c r="S520" s="5"/>
      <c r="T520" s="5"/>
      <c r="U520" s="5"/>
      <c r="V520" s="5"/>
      <c r="W520" s="5"/>
      <c r="X520" s="5"/>
      <c r="Y520" s="5"/>
    </row>
    <row r="521" spans="1:25" ht="15.75" customHeight="1" x14ac:dyDescent="0.25">
      <c r="A521" s="2">
        <v>44145</v>
      </c>
      <c r="B521" s="3">
        <v>27980</v>
      </c>
      <c r="C521" s="4" t="s">
        <v>23</v>
      </c>
      <c r="D521" s="4" t="str">
        <f t="shared" si="16"/>
        <v>Marketing</v>
      </c>
      <c r="E521" s="4" t="str">
        <f t="shared" si="17"/>
        <v>Intern</v>
      </c>
      <c r="F521" s="13">
        <v>700</v>
      </c>
      <c r="G521" s="13">
        <v>5</v>
      </c>
      <c r="H521" s="13">
        <v>5</v>
      </c>
      <c r="I521" s="2">
        <v>32280</v>
      </c>
      <c r="J521" s="15">
        <v>840811</v>
      </c>
      <c r="K521" s="4" t="s">
        <v>14</v>
      </c>
      <c r="L521" s="27">
        <f t="shared" si="18"/>
        <v>1988</v>
      </c>
      <c r="M521" s="27">
        <f t="shared" si="19"/>
        <v>11</v>
      </c>
      <c r="N521" s="27">
        <f t="shared" ca="1" si="20"/>
        <v>38</v>
      </c>
      <c r="O521" s="27" t="str" cm="1">
        <f t="array" ref="O521">_xlfn.IFS($F521&gt;=750,"Excellent",$F521&gt;=700,"Good",$F521&gt;=650,"Moderate",
$F521&lt;650,"Risky"
)</f>
        <v>Good</v>
      </c>
      <c r="P521" s="27" t="str" cm="1">
        <f t="array" ref="P521">_xlfn.IFS(
AND(F521&gt;=750,H521&lt;=2),"Low Risk",
AND(F521&gt;=700,H521&lt;=5),"Medium Risk",
TRUE,"High Risk"
)</f>
        <v>Medium Risk</v>
      </c>
      <c r="Q521" s="5"/>
      <c r="R521" s="5"/>
      <c r="S521" s="5"/>
      <c r="T521" s="5"/>
      <c r="U521" s="5"/>
      <c r="V521" s="5"/>
      <c r="W521" s="5"/>
      <c r="X521" s="5"/>
      <c r="Y521" s="5"/>
    </row>
    <row r="522" spans="1:25" ht="15.75" customHeight="1" x14ac:dyDescent="0.25">
      <c r="A522" s="2">
        <v>44067</v>
      </c>
      <c r="B522" s="3">
        <v>21407</v>
      </c>
      <c r="C522" s="4" t="s">
        <v>26</v>
      </c>
      <c r="D522" s="4" t="str">
        <f t="shared" si="16"/>
        <v>Strategy</v>
      </c>
      <c r="E522" s="4" t="str">
        <f t="shared" si="17"/>
        <v>Manager</v>
      </c>
      <c r="F522" s="13">
        <v>723</v>
      </c>
      <c r="G522" s="13">
        <v>1</v>
      </c>
      <c r="H522" s="13">
        <v>10</v>
      </c>
      <c r="I522" s="2">
        <v>32904</v>
      </c>
      <c r="J522" s="15">
        <v>644713</v>
      </c>
      <c r="K522" s="4" t="s">
        <v>21</v>
      </c>
      <c r="L522" s="27">
        <f t="shared" si="18"/>
        <v>1990</v>
      </c>
      <c r="M522" s="27">
        <f t="shared" si="19"/>
        <v>8</v>
      </c>
      <c r="N522" s="27">
        <f t="shared" ca="1" si="20"/>
        <v>36</v>
      </c>
      <c r="O522" s="27" t="str" cm="1">
        <f t="array" ref="O522">_xlfn.IFS($F522&gt;=750,"Excellent",$F522&gt;=700,"Good",$F522&gt;=650,"Moderate",
$F522&lt;650,"Risky"
)</f>
        <v>Good</v>
      </c>
      <c r="P522" s="27" t="str" cm="1">
        <f t="array" ref="P522">_xlfn.IFS(
AND(F522&gt;=750,H522&lt;=2),"Low Risk",
AND(F522&gt;=700,H522&lt;=5),"Medium Risk",
TRUE,"High Risk"
)</f>
        <v>High Risk</v>
      </c>
      <c r="Q522" s="5"/>
      <c r="R522" s="5"/>
      <c r="S522" s="5"/>
      <c r="T522" s="5"/>
      <c r="U522" s="5"/>
      <c r="V522" s="5"/>
      <c r="W522" s="5"/>
      <c r="X522" s="5"/>
      <c r="Y522" s="5"/>
    </row>
    <row r="523" spans="1:25" ht="15.75" customHeight="1" x14ac:dyDescent="0.25">
      <c r="A523" s="2">
        <v>43946</v>
      </c>
      <c r="B523" s="3">
        <v>37415</v>
      </c>
      <c r="C523" s="4" t="s">
        <v>17</v>
      </c>
      <c r="D523" s="4" t="str">
        <f t="shared" si="16"/>
        <v>Growth</v>
      </c>
      <c r="E523" s="4" t="str">
        <f t="shared" si="17"/>
        <v>Manager</v>
      </c>
      <c r="F523" s="13">
        <v>705</v>
      </c>
      <c r="G523" s="13">
        <v>3</v>
      </c>
      <c r="H523" s="13">
        <v>1</v>
      </c>
      <c r="I523" s="2">
        <v>33315</v>
      </c>
      <c r="J523" s="15">
        <v>910971</v>
      </c>
      <c r="K523" s="4" t="s">
        <v>21</v>
      </c>
      <c r="L523" s="27">
        <f t="shared" si="18"/>
        <v>1991</v>
      </c>
      <c r="M523" s="27">
        <f t="shared" si="19"/>
        <v>4</v>
      </c>
      <c r="N523" s="27">
        <f t="shared" ca="1" si="20"/>
        <v>35</v>
      </c>
      <c r="O523" s="27" t="str" cm="1">
        <f t="array" ref="O523">_xlfn.IFS($F523&gt;=750,"Excellent",$F523&gt;=700,"Good",$F523&gt;=650,"Moderate",
$F523&lt;650,"Risky"
)</f>
        <v>Good</v>
      </c>
      <c r="P523" s="27" t="str" cm="1">
        <f t="array" ref="P523">_xlfn.IFS(
AND(F523&gt;=750,H523&lt;=2),"Low Risk",
AND(F523&gt;=700,H523&lt;=5),"Medium Risk",
TRUE,"High Risk"
)</f>
        <v>Medium Risk</v>
      </c>
      <c r="Q523" s="5"/>
      <c r="R523" s="5"/>
      <c r="S523" s="5"/>
      <c r="T523" s="5"/>
      <c r="U523" s="5"/>
      <c r="V523" s="5"/>
      <c r="W523" s="5"/>
      <c r="X523" s="5"/>
      <c r="Y523" s="5"/>
    </row>
    <row r="524" spans="1:25" ht="15.75" customHeight="1" x14ac:dyDescent="0.25">
      <c r="A524" s="2">
        <v>43913</v>
      </c>
      <c r="B524" s="3">
        <v>96780</v>
      </c>
      <c r="C524" s="4" t="s">
        <v>33</v>
      </c>
      <c r="D524" s="4" t="str">
        <f t="shared" si="16"/>
        <v>Sales</v>
      </c>
      <c r="E524" s="4" t="str">
        <f t="shared" si="17"/>
        <v>Executive</v>
      </c>
      <c r="F524" s="13">
        <v>755</v>
      </c>
      <c r="G524" s="13">
        <v>1</v>
      </c>
      <c r="H524" s="13">
        <v>1</v>
      </c>
      <c r="I524" s="2">
        <v>34523</v>
      </c>
      <c r="J524" s="15">
        <v>753695</v>
      </c>
      <c r="K524" s="4" t="s">
        <v>18</v>
      </c>
      <c r="L524" s="27">
        <f t="shared" si="18"/>
        <v>1994</v>
      </c>
      <c r="M524" s="27">
        <f t="shared" si="19"/>
        <v>3</v>
      </c>
      <c r="N524" s="27">
        <f t="shared" ca="1" si="20"/>
        <v>32</v>
      </c>
      <c r="O524" s="27" t="str" cm="1">
        <f t="array" ref="O524">_xlfn.IFS($F524&gt;=750,"Excellent",$F524&gt;=700,"Good",$F524&gt;=650,"Moderate",
$F524&lt;650,"Risky"
)</f>
        <v>Excellent</v>
      </c>
      <c r="P524" s="27" t="str" cm="1">
        <f t="array" ref="P524">_xlfn.IFS(
AND(F524&gt;=750,H524&lt;=2),"Low Risk",
AND(F524&gt;=700,H524&lt;=5),"Medium Risk",
TRUE,"High Risk"
)</f>
        <v>Low Risk</v>
      </c>
      <c r="Q524" s="5"/>
      <c r="R524" s="5"/>
      <c r="S524" s="5"/>
      <c r="T524" s="5"/>
      <c r="U524" s="5"/>
      <c r="V524" s="5"/>
      <c r="W524" s="5"/>
      <c r="X524" s="5"/>
      <c r="Y524" s="5"/>
    </row>
    <row r="525" spans="1:25" ht="15.75" customHeight="1" x14ac:dyDescent="0.25">
      <c r="A525" s="2">
        <v>44157</v>
      </c>
      <c r="B525" s="3">
        <v>71238</v>
      </c>
      <c r="C525" s="4" t="s">
        <v>17</v>
      </c>
      <c r="D525" s="4" t="str">
        <f t="shared" si="16"/>
        <v>Growth</v>
      </c>
      <c r="E525" s="4" t="str">
        <f t="shared" si="17"/>
        <v>Manager</v>
      </c>
      <c r="F525" s="13">
        <v>780</v>
      </c>
      <c r="G525" s="13">
        <v>1</v>
      </c>
      <c r="H525" s="13">
        <v>5</v>
      </c>
      <c r="I525" s="2">
        <v>29275</v>
      </c>
      <c r="J525" s="15">
        <v>918569</v>
      </c>
      <c r="K525" s="4" t="s">
        <v>14</v>
      </c>
      <c r="L525" s="27">
        <f t="shared" si="18"/>
        <v>1980</v>
      </c>
      <c r="M525" s="27">
        <f t="shared" si="19"/>
        <v>11</v>
      </c>
      <c r="N525" s="27">
        <f t="shared" ca="1" si="20"/>
        <v>46</v>
      </c>
      <c r="O525" s="27" t="str" cm="1">
        <f t="array" ref="O525">_xlfn.IFS($F525&gt;=750,"Excellent",$F525&gt;=700,"Good",$F525&gt;=650,"Moderate",
$F525&lt;650,"Risky"
)</f>
        <v>Excellent</v>
      </c>
      <c r="P525" s="27" t="str" cm="1">
        <f t="array" ref="P525">_xlfn.IFS(
AND(F525&gt;=750,H525&lt;=2),"Low Risk",
AND(F525&gt;=700,H525&lt;=5),"Medium Risk",
TRUE,"High Risk"
)</f>
        <v>Medium Risk</v>
      </c>
      <c r="Q525" s="5"/>
      <c r="R525" s="5"/>
      <c r="S525" s="5"/>
      <c r="T525" s="5"/>
      <c r="U525" s="5"/>
      <c r="V525" s="5"/>
      <c r="W525" s="5"/>
      <c r="X525" s="5"/>
      <c r="Y525" s="5"/>
    </row>
    <row r="526" spans="1:25" ht="15.75" customHeight="1" x14ac:dyDescent="0.25">
      <c r="A526" s="2">
        <v>44131</v>
      </c>
      <c r="B526" s="3">
        <v>50595</v>
      </c>
      <c r="C526" s="4" t="s">
        <v>35</v>
      </c>
      <c r="D526" s="4" t="str">
        <f t="shared" si="16"/>
        <v>Growth</v>
      </c>
      <c r="E526" s="4" t="str">
        <f t="shared" si="17"/>
        <v>Intern</v>
      </c>
      <c r="F526" s="13">
        <v>745</v>
      </c>
      <c r="G526" s="13">
        <v>4</v>
      </c>
      <c r="H526" s="13">
        <v>6</v>
      </c>
      <c r="I526" s="2">
        <v>30212</v>
      </c>
      <c r="J526" s="15">
        <v>911149</v>
      </c>
      <c r="K526" s="4" t="s">
        <v>14</v>
      </c>
      <c r="L526" s="27">
        <f t="shared" si="18"/>
        <v>1982</v>
      </c>
      <c r="M526" s="27">
        <f t="shared" si="19"/>
        <v>10</v>
      </c>
      <c r="N526" s="27">
        <f t="shared" ca="1" si="20"/>
        <v>44</v>
      </c>
      <c r="O526" s="27" t="str" cm="1">
        <f t="array" ref="O526">_xlfn.IFS($F526&gt;=750,"Excellent",$F526&gt;=700,"Good",$F526&gt;=650,"Moderate",
$F526&lt;650,"Risky"
)</f>
        <v>Good</v>
      </c>
      <c r="P526" s="27" t="str" cm="1">
        <f t="array" ref="P526">_xlfn.IFS(
AND(F526&gt;=750,H526&lt;=2),"Low Risk",
AND(F526&gt;=700,H526&lt;=5),"Medium Risk",
TRUE,"High Risk"
)</f>
        <v>High Risk</v>
      </c>
      <c r="Q526" s="5"/>
      <c r="R526" s="5"/>
      <c r="S526" s="5"/>
      <c r="T526" s="5"/>
      <c r="U526" s="5"/>
      <c r="V526" s="5"/>
      <c r="W526" s="5"/>
      <c r="X526" s="5"/>
      <c r="Y526" s="5"/>
    </row>
    <row r="527" spans="1:25" ht="15.75" customHeight="1" x14ac:dyDescent="0.25">
      <c r="A527" s="2">
        <v>43881</v>
      </c>
      <c r="B527" s="3">
        <v>15443</v>
      </c>
      <c r="C527" s="4" t="s">
        <v>13</v>
      </c>
      <c r="D527" s="4" t="str">
        <f t="shared" si="16"/>
        <v>Marketing</v>
      </c>
      <c r="E527" s="4" t="str">
        <f t="shared" si="17"/>
        <v>Director</v>
      </c>
      <c r="F527" s="13">
        <v>758</v>
      </c>
      <c r="G527" s="13">
        <v>1</v>
      </c>
      <c r="H527" s="13">
        <v>8</v>
      </c>
      <c r="I527" s="2">
        <v>33031</v>
      </c>
      <c r="J527" s="15">
        <v>704263</v>
      </c>
      <c r="K527" s="4" t="s">
        <v>21</v>
      </c>
      <c r="L527" s="27">
        <f t="shared" si="18"/>
        <v>1990</v>
      </c>
      <c r="M527" s="27">
        <f t="shared" si="19"/>
        <v>2</v>
      </c>
      <c r="N527" s="27">
        <f t="shared" ca="1" si="20"/>
        <v>36</v>
      </c>
      <c r="O527" s="27" t="str" cm="1">
        <f t="array" ref="O527">_xlfn.IFS($F527&gt;=750,"Excellent",$F527&gt;=700,"Good",$F527&gt;=650,"Moderate",
$F527&lt;650,"Risky"
)</f>
        <v>Excellent</v>
      </c>
      <c r="P527" s="27" t="str" cm="1">
        <f t="array" ref="P527">_xlfn.IFS(
AND(F527&gt;=750,H527&lt;=2),"Low Risk",
AND(F527&gt;=700,H527&lt;=5),"Medium Risk",
TRUE,"High Risk"
)</f>
        <v>High Risk</v>
      </c>
      <c r="Q527" s="5"/>
      <c r="R527" s="5"/>
      <c r="S527" s="5"/>
      <c r="T527" s="5"/>
      <c r="U527" s="5"/>
      <c r="V527" s="5"/>
      <c r="W527" s="5"/>
      <c r="X527" s="5"/>
      <c r="Y527" s="5"/>
    </row>
    <row r="528" spans="1:25" ht="15.75" customHeight="1" x14ac:dyDescent="0.25">
      <c r="A528" s="2">
        <v>43979</v>
      </c>
      <c r="B528" s="3">
        <v>63852</v>
      </c>
      <c r="C528" s="4" t="s">
        <v>16</v>
      </c>
      <c r="D528" s="4" t="str">
        <f t="shared" si="16"/>
        <v>Marketing</v>
      </c>
      <c r="E528" s="4" t="str">
        <f t="shared" si="17"/>
        <v>Executive</v>
      </c>
      <c r="F528" s="13">
        <v>736</v>
      </c>
      <c r="G528" s="13">
        <v>1</v>
      </c>
      <c r="H528" s="13">
        <v>6</v>
      </c>
      <c r="I528" s="2">
        <v>33944</v>
      </c>
      <c r="J528" s="15">
        <v>520081</v>
      </c>
      <c r="K528" s="4" t="s">
        <v>14</v>
      </c>
      <c r="L528" s="27">
        <f t="shared" si="18"/>
        <v>1992</v>
      </c>
      <c r="M528" s="27">
        <f t="shared" si="19"/>
        <v>5</v>
      </c>
      <c r="N528" s="27">
        <f t="shared" ca="1" si="20"/>
        <v>34</v>
      </c>
      <c r="O528" s="27" t="str" cm="1">
        <f t="array" ref="O528">_xlfn.IFS($F528&gt;=750,"Excellent",$F528&gt;=700,"Good",$F528&gt;=650,"Moderate",
$F528&lt;650,"Risky"
)</f>
        <v>Good</v>
      </c>
      <c r="P528" s="27" t="str" cm="1">
        <f t="array" ref="P528">_xlfn.IFS(
AND(F528&gt;=750,H528&lt;=2),"Low Risk",
AND(F528&gt;=700,H528&lt;=5),"Medium Risk",
TRUE,"High Risk"
)</f>
        <v>High Risk</v>
      </c>
      <c r="Q528" s="5"/>
      <c r="R528" s="5"/>
      <c r="S528" s="5"/>
      <c r="T528" s="5"/>
      <c r="U528" s="5"/>
      <c r="V528" s="5"/>
      <c r="W528" s="5"/>
      <c r="X528" s="5"/>
      <c r="Y528" s="5"/>
    </row>
    <row r="529" spans="1:25" ht="15.75" customHeight="1" x14ac:dyDescent="0.25">
      <c r="A529" s="2">
        <v>43837</v>
      </c>
      <c r="B529" s="3">
        <v>58573</v>
      </c>
      <c r="C529" s="4" t="s">
        <v>20</v>
      </c>
      <c r="D529" s="4" t="str">
        <f t="shared" si="16"/>
        <v>Operation</v>
      </c>
      <c r="E529" s="4" t="str">
        <f t="shared" si="17"/>
        <v>Manager</v>
      </c>
      <c r="F529" s="13">
        <v>747</v>
      </c>
      <c r="G529" s="13">
        <v>2</v>
      </c>
      <c r="H529" s="13">
        <v>2</v>
      </c>
      <c r="I529" s="2">
        <v>31889</v>
      </c>
      <c r="J529" s="15">
        <v>864697</v>
      </c>
      <c r="K529" s="4" t="s">
        <v>21</v>
      </c>
      <c r="L529" s="27">
        <f t="shared" si="18"/>
        <v>1987</v>
      </c>
      <c r="M529" s="27">
        <f t="shared" si="19"/>
        <v>1</v>
      </c>
      <c r="N529" s="27">
        <f t="shared" ca="1" si="20"/>
        <v>39</v>
      </c>
      <c r="O529" s="27" t="str" cm="1">
        <f t="array" ref="O529">_xlfn.IFS($F529&gt;=750,"Excellent",$F529&gt;=700,"Good",$F529&gt;=650,"Moderate",
$F529&lt;650,"Risky"
)</f>
        <v>Good</v>
      </c>
      <c r="P529" s="27" t="str" cm="1">
        <f t="array" ref="P529">_xlfn.IFS(
AND(F529&gt;=750,H529&lt;=2),"Low Risk",
AND(F529&gt;=700,H529&lt;=5),"Medium Risk",
TRUE,"High Risk"
)</f>
        <v>Medium Risk</v>
      </c>
      <c r="Q529" s="5"/>
      <c r="R529" s="5"/>
      <c r="S529" s="5"/>
      <c r="T529" s="5"/>
      <c r="U529" s="5"/>
      <c r="V529" s="5"/>
      <c r="W529" s="5"/>
      <c r="X529" s="5"/>
      <c r="Y529" s="5"/>
    </row>
    <row r="530" spans="1:25" ht="15.75" customHeight="1" x14ac:dyDescent="0.25">
      <c r="A530" s="2">
        <v>44162</v>
      </c>
      <c r="B530" s="3">
        <v>33080</v>
      </c>
      <c r="C530" s="4" t="s">
        <v>35</v>
      </c>
      <c r="D530" s="4" t="str">
        <f t="shared" si="16"/>
        <v>Growth</v>
      </c>
      <c r="E530" s="4" t="str">
        <f t="shared" si="17"/>
        <v>Intern</v>
      </c>
      <c r="F530" s="13">
        <v>781</v>
      </c>
      <c r="G530" s="13">
        <v>2</v>
      </c>
      <c r="H530" s="13">
        <v>3</v>
      </c>
      <c r="I530" s="2">
        <v>34056</v>
      </c>
      <c r="J530" s="15">
        <v>737419</v>
      </c>
      <c r="K530" s="4" t="s">
        <v>21</v>
      </c>
      <c r="L530" s="27">
        <f t="shared" si="18"/>
        <v>1993</v>
      </c>
      <c r="M530" s="27">
        <f t="shared" si="19"/>
        <v>11</v>
      </c>
      <c r="N530" s="27">
        <f t="shared" ca="1" si="20"/>
        <v>33</v>
      </c>
      <c r="O530" s="27" t="str" cm="1">
        <f t="array" ref="O530">_xlfn.IFS($F530&gt;=750,"Excellent",$F530&gt;=700,"Good",$F530&gt;=650,"Moderate",
$F530&lt;650,"Risky"
)</f>
        <v>Excellent</v>
      </c>
      <c r="P530" s="27" t="str" cm="1">
        <f t="array" ref="P530">_xlfn.IFS(
AND(F530&gt;=750,H530&lt;=2),"Low Risk",
AND(F530&gt;=700,H530&lt;=5),"Medium Risk",
TRUE,"High Risk"
)</f>
        <v>Medium Risk</v>
      </c>
      <c r="Q530" s="5"/>
      <c r="R530" s="5"/>
      <c r="S530" s="5"/>
      <c r="T530" s="5"/>
      <c r="U530" s="5"/>
      <c r="V530" s="5"/>
      <c r="W530" s="5"/>
      <c r="X530" s="5"/>
      <c r="Y530" s="5"/>
    </row>
    <row r="531" spans="1:25" ht="15.75" customHeight="1" x14ac:dyDescent="0.25">
      <c r="A531" s="2">
        <v>44108</v>
      </c>
      <c r="B531" s="3">
        <v>95942</v>
      </c>
      <c r="C531" s="4" t="s">
        <v>37</v>
      </c>
      <c r="D531" s="4" t="str">
        <f t="shared" si="16"/>
        <v>Strategy</v>
      </c>
      <c r="E531" s="4" t="str">
        <f t="shared" si="17"/>
        <v>Director</v>
      </c>
      <c r="F531" s="13">
        <v>729</v>
      </c>
      <c r="G531" s="13">
        <v>4</v>
      </c>
      <c r="H531" s="13">
        <v>10</v>
      </c>
      <c r="I531" s="2">
        <v>34092</v>
      </c>
      <c r="J531" s="15">
        <v>558030</v>
      </c>
      <c r="K531" s="4" t="s">
        <v>18</v>
      </c>
      <c r="L531" s="27">
        <f t="shared" si="18"/>
        <v>1993</v>
      </c>
      <c r="M531" s="27">
        <f t="shared" si="19"/>
        <v>10</v>
      </c>
      <c r="N531" s="27">
        <f t="shared" ca="1" si="20"/>
        <v>33</v>
      </c>
      <c r="O531" s="27" t="str" cm="1">
        <f t="array" ref="O531">_xlfn.IFS($F531&gt;=750,"Excellent",$F531&gt;=700,"Good",$F531&gt;=650,"Moderate",
$F531&lt;650,"Risky"
)</f>
        <v>Good</v>
      </c>
      <c r="P531" s="27" t="str" cm="1">
        <f t="array" ref="P531">_xlfn.IFS(
AND(F531&gt;=750,H531&lt;=2),"Low Risk",
AND(F531&gt;=700,H531&lt;=5),"Medium Risk",
TRUE,"High Risk"
)</f>
        <v>High Risk</v>
      </c>
      <c r="Q531" s="5"/>
      <c r="R531" s="5"/>
      <c r="S531" s="5"/>
      <c r="T531" s="5"/>
      <c r="U531" s="5"/>
      <c r="V531" s="5"/>
      <c r="W531" s="5"/>
      <c r="X531" s="5"/>
      <c r="Y531" s="5"/>
    </row>
    <row r="532" spans="1:25" ht="15.75" customHeight="1" x14ac:dyDescent="0.25">
      <c r="A532" s="2">
        <v>44110</v>
      </c>
      <c r="B532" s="3">
        <v>87308</v>
      </c>
      <c r="C532" s="4" t="s">
        <v>17</v>
      </c>
      <c r="D532" s="4" t="str">
        <f t="shared" si="16"/>
        <v>Growth</v>
      </c>
      <c r="E532" s="4" t="str">
        <f t="shared" si="17"/>
        <v>Manager</v>
      </c>
      <c r="F532" s="13">
        <v>710</v>
      </c>
      <c r="G532" s="13">
        <v>3</v>
      </c>
      <c r="H532" s="13">
        <v>7</v>
      </c>
      <c r="I532" s="2">
        <v>33141</v>
      </c>
      <c r="J532" s="15">
        <v>588194</v>
      </c>
      <c r="K532" s="4" t="s">
        <v>14</v>
      </c>
      <c r="L532" s="27">
        <f t="shared" si="18"/>
        <v>1990</v>
      </c>
      <c r="M532" s="27">
        <f t="shared" si="19"/>
        <v>10</v>
      </c>
      <c r="N532" s="27">
        <f t="shared" ca="1" si="20"/>
        <v>36</v>
      </c>
      <c r="O532" s="27" t="str" cm="1">
        <f t="array" ref="O532">_xlfn.IFS($F532&gt;=750,"Excellent",$F532&gt;=700,"Good",$F532&gt;=650,"Moderate",
$F532&lt;650,"Risky"
)</f>
        <v>Good</v>
      </c>
      <c r="P532" s="27" t="str" cm="1">
        <f t="array" ref="P532">_xlfn.IFS(
AND(F532&gt;=750,H532&lt;=2),"Low Risk",
AND(F532&gt;=700,H532&lt;=5),"Medium Risk",
TRUE,"High Risk"
)</f>
        <v>High Risk</v>
      </c>
      <c r="Q532" s="5"/>
      <c r="R532" s="5"/>
      <c r="S532" s="5"/>
      <c r="T532" s="5"/>
      <c r="U532" s="5"/>
      <c r="V532" s="5"/>
      <c r="W532" s="5"/>
      <c r="X532" s="5"/>
      <c r="Y532" s="5"/>
    </row>
    <row r="533" spans="1:25" ht="15.75" customHeight="1" x14ac:dyDescent="0.25">
      <c r="A533" s="2">
        <v>43838</v>
      </c>
      <c r="B533" s="3">
        <v>13620</v>
      </c>
      <c r="C533" s="4" t="s">
        <v>26</v>
      </c>
      <c r="D533" s="4" t="str">
        <f t="shared" si="16"/>
        <v>Strategy</v>
      </c>
      <c r="E533" s="4" t="str">
        <f t="shared" si="17"/>
        <v>Manager</v>
      </c>
      <c r="F533" s="13">
        <v>785</v>
      </c>
      <c r="G533" s="13">
        <v>4</v>
      </c>
      <c r="H533" s="13">
        <v>6</v>
      </c>
      <c r="I533" s="2">
        <v>29781</v>
      </c>
      <c r="J533" s="15">
        <v>557207</v>
      </c>
      <c r="K533" s="4" t="s">
        <v>21</v>
      </c>
      <c r="L533" s="27">
        <f t="shared" si="18"/>
        <v>1981</v>
      </c>
      <c r="M533" s="27">
        <f t="shared" si="19"/>
        <v>1</v>
      </c>
      <c r="N533" s="27">
        <f t="shared" ca="1" si="20"/>
        <v>45</v>
      </c>
      <c r="O533" s="27" t="str" cm="1">
        <f t="array" ref="O533">_xlfn.IFS($F533&gt;=750,"Excellent",$F533&gt;=700,"Good",$F533&gt;=650,"Moderate",
$F533&lt;650,"Risky"
)</f>
        <v>Excellent</v>
      </c>
      <c r="P533" s="27" t="str" cm="1">
        <f t="array" ref="P533">_xlfn.IFS(
AND(F533&gt;=750,H533&lt;=2),"Low Risk",
AND(F533&gt;=700,H533&lt;=5),"Medium Risk",
TRUE,"High Risk"
)</f>
        <v>High Risk</v>
      </c>
      <c r="Q533" s="5"/>
      <c r="R533" s="5"/>
      <c r="S533" s="5"/>
      <c r="T533" s="5"/>
      <c r="U533" s="5"/>
      <c r="V533" s="5"/>
      <c r="W533" s="5"/>
      <c r="X533" s="5"/>
      <c r="Y533" s="5"/>
    </row>
    <row r="534" spans="1:25" ht="15.75" customHeight="1" x14ac:dyDescent="0.25">
      <c r="A534" s="2">
        <v>44076</v>
      </c>
      <c r="B534" s="3">
        <v>97312</v>
      </c>
      <c r="C534" s="4" t="s">
        <v>29</v>
      </c>
      <c r="D534" s="4" t="str">
        <f t="shared" si="16"/>
        <v>Sales</v>
      </c>
      <c r="E534" s="4" t="str">
        <f t="shared" si="17"/>
        <v>Director</v>
      </c>
      <c r="F534" s="13">
        <v>788</v>
      </c>
      <c r="G534" s="13">
        <v>5</v>
      </c>
      <c r="H534" s="13">
        <v>9</v>
      </c>
      <c r="I534" s="2">
        <v>29674</v>
      </c>
      <c r="J534" s="15">
        <v>541314</v>
      </c>
      <c r="K534" s="4" t="s">
        <v>21</v>
      </c>
      <c r="L534" s="27">
        <f t="shared" si="18"/>
        <v>1981</v>
      </c>
      <c r="M534" s="27">
        <f t="shared" si="19"/>
        <v>9</v>
      </c>
      <c r="N534" s="27">
        <f t="shared" ca="1" si="20"/>
        <v>45</v>
      </c>
      <c r="O534" s="27" t="str" cm="1">
        <f t="array" ref="O534">_xlfn.IFS($F534&gt;=750,"Excellent",$F534&gt;=700,"Good",$F534&gt;=650,"Moderate",
$F534&lt;650,"Risky"
)</f>
        <v>Excellent</v>
      </c>
      <c r="P534" s="27" t="str" cm="1">
        <f t="array" ref="P534">_xlfn.IFS(
AND(F534&gt;=750,H534&lt;=2),"Low Risk",
AND(F534&gt;=700,H534&lt;=5),"Medium Risk",
TRUE,"High Risk"
)</f>
        <v>High Risk</v>
      </c>
      <c r="Q534" s="5"/>
      <c r="R534" s="5"/>
      <c r="S534" s="5"/>
      <c r="T534" s="5"/>
      <c r="U534" s="5"/>
      <c r="V534" s="5"/>
      <c r="W534" s="5"/>
      <c r="X534" s="5"/>
      <c r="Y534" s="5"/>
    </row>
    <row r="535" spans="1:25" ht="15.75" customHeight="1" x14ac:dyDescent="0.25">
      <c r="A535" s="2">
        <v>44144</v>
      </c>
      <c r="B535" s="3">
        <v>33399</v>
      </c>
      <c r="C535" s="4" t="s">
        <v>39</v>
      </c>
      <c r="D535" s="4" t="str">
        <f t="shared" si="16"/>
        <v>Growth</v>
      </c>
      <c r="E535" s="4" t="str">
        <f t="shared" si="17"/>
        <v>Executive</v>
      </c>
      <c r="F535" s="13">
        <v>708</v>
      </c>
      <c r="G535" s="13">
        <v>2</v>
      </c>
      <c r="H535" s="13">
        <v>3</v>
      </c>
      <c r="I535" s="2">
        <v>34070</v>
      </c>
      <c r="J535" s="15">
        <v>526493</v>
      </c>
      <c r="K535" s="4" t="s">
        <v>21</v>
      </c>
      <c r="L535" s="27">
        <f t="shared" si="18"/>
        <v>1993</v>
      </c>
      <c r="M535" s="27">
        <f t="shared" si="19"/>
        <v>11</v>
      </c>
      <c r="N535" s="27">
        <f t="shared" ca="1" si="20"/>
        <v>33</v>
      </c>
      <c r="O535" s="27" t="str" cm="1">
        <f t="array" ref="O535">_xlfn.IFS($F535&gt;=750,"Excellent",$F535&gt;=700,"Good",$F535&gt;=650,"Moderate",
$F535&lt;650,"Risky"
)</f>
        <v>Good</v>
      </c>
      <c r="P535" s="27" t="str" cm="1">
        <f t="array" ref="P535">_xlfn.IFS(
AND(F535&gt;=750,H535&lt;=2),"Low Risk",
AND(F535&gt;=700,H535&lt;=5),"Medium Risk",
TRUE,"High Risk"
)</f>
        <v>Medium Risk</v>
      </c>
      <c r="Q535" s="5"/>
      <c r="R535" s="5"/>
      <c r="S535" s="5"/>
      <c r="T535" s="5"/>
      <c r="U535" s="5"/>
      <c r="V535" s="5"/>
      <c r="W535" s="5"/>
      <c r="X535" s="5"/>
      <c r="Y535" s="5"/>
    </row>
    <row r="536" spans="1:25" ht="15.75" customHeight="1" x14ac:dyDescent="0.25">
      <c r="A536" s="2">
        <v>44070</v>
      </c>
      <c r="B536" s="3">
        <v>24165</v>
      </c>
      <c r="C536" s="4" t="s">
        <v>34</v>
      </c>
      <c r="D536" s="4" t="str">
        <f t="shared" si="16"/>
        <v>Finance</v>
      </c>
      <c r="E536" s="4" t="str">
        <f t="shared" si="17"/>
        <v>Director</v>
      </c>
      <c r="F536" s="13">
        <v>751</v>
      </c>
      <c r="G536" s="13">
        <v>1</v>
      </c>
      <c r="H536" s="13">
        <v>7</v>
      </c>
      <c r="I536" s="2">
        <v>30357</v>
      </c>
      <c r="J536" s="15">
        <v>568904</v>
      </c>
      <c r="K536" s="4" t="s">
        <v>18</v>
      </c>
      <c r="L536" s="27">
        <f t="shared" si="18"/>
        <v>1983</v>
      </c>
      <c r="M536" s="27">
        <f t="shared" si="19"/>
        <v>8</v>
      </c>
      <c r="N536" s="27">
        <f t="shared" ca="1" si="20"/>
        <v>43</v>
      </c>
      <c r="O536" s="27" t="str" cm="1">
        <f t="array" ref="O536">_xlfn.IFS($F536&gt;=750,"Excellent",$F536&gt;=700,"Good",$F536&gt;=650,"Moderate",
$F536&lt;650,"Risky"
)</f>
        <v>Excellent</v>
      </c>
      <c r="P536" s="27" t="str" cm="1">
        <f t="array" ref="P536">_xlfn.IFS(
AND(F536&gt;=750,H536&lt;=2),"Low Risk",
AND(F536&gt;=700,H536&lt;=5),"Medium Risk",
TRUE,"High Risk"
)</f>
        <v>High Risk</v>
      </c>
      <c r="Q536" s="5"/>
      <c r="R536" s="5"/>
      <c r="S536" s="5"/>
      <c r="T536" s="5"/>
      <c r="U536" s="5"/>
      <c r="V536" s="5"/>
      <c r="W536" s="5"/>
      <c r="X536" s="5"/>
      <c r="Y536" s="5"/>
    </row>
    <row r="537" spans="1:25" ht="15.75" customHeight="1" x14ac:dyDescent="0.25">
      <c r="A537" s="2">
        <v>44134</v>
      </c>
      <c r="B537" s="3">
        <v>73609</v>
      </c>
      <c r="C537" s="4" t="s">
        <v>23</v>
      </c>
      <c r="D537" s="4" t="str">
        <f t="shared" si="16"/>
        <v>Marketing</v>
      </c>
      <c r="E537" s="4" t="str">
        <f t="shared" si="17"/>
        <v>Intern</v>
      </c>
      <c r="F537" s="13">
        <v>739</v>
      </c>
      <c r="G537" s="13">
        <v>4</v>
      </c>
      <c r="H537" s="13">
        <v>2</v>
      </c>
      <c r="I537" s="2">
        <v>30339</v>
      </c>
      <c r="J537" s="15">
        <v>558445</v>
      </c>
      <c r="K537" s="4" t="s">
        <v>18</v>
      </c>
      <c r="L537" s="27">
        <f t="shared" si="18"/>
        <v>1983</v>
      </c>
      <c r="M537" s="27">
        <f t="shared" si="19"/>
        <v>10</v>
      </c>
      <c r="N537" s="27">
        <f t="shared" ca="1" si="20"/>
        <v>43</v>
      </c>
      <c r="O537" s="27" t="str" cm="1">
        <f t="array" ref="O537">_xlfn.IFS($F537&gt;=750,"Excellent",$F537&gt;=700,"Good",$F537&gt;=650,"Moderate",
$F537&lt;650,"Risky"
)</f>
        <v>Good</v>
      </c>
      <c r="P537" s="27" t="str" cm="1">
        <f t="array" ref="P537">_xlfn.IFS(
AND(F537&gt;=750,H537&lt;=2),"Low Risk",
AND(F537&gt;=700,H537&lt;=5),"Medium Risk",
TRUE,"High Risk"
)</f>
        <v>Medium Risk</v>
      </c>
      <c r="Q537" s="5"/>
      <c r="R537" s="5"/>
      <c r="S537" s="5"/>
      <c r="T537" s="5"/>
      <c r="U537" s="5"/>
      <c r="V537" s="5"/>
      <c r="W537" s="5"/>
      <c r="X537" s="5"/>
      <c r="Y537" s="5"/>
    </row>
    <row r="538" spans="1:25" ht="15.75" customHeight="1" x14ac:dyDescent="0.25">
      <c r="A538" s="2">
        <v>43974</v>
      </c>
      <c r="B538" s="3">
        <v>17847</v>
      </c>
      <c r="C538" s="4" t="s">
        <v>17</v>
      </c>
      <c r="D538" s="4" t="str">
        <f t="shared" si="16"/>
        <v>Growth</v>
      </c>
      <c r="E538" s="4" t="str">
        <f t="shared" si="17"/>
        <v>Manager</v>
      </c>
      <c r="F538" s="13">
        <v>770</v>
      </c>
      <c r="G538" s="13">
        <v>4</v>
      </c>
      <c r="H538" s="13">
        <v>9</v>
      </c>
      <c r="I538" s="2">
        <v>30290</v>
      </c>
      <c r="J538" s="15">
        <v>653315</v>
      </c>
      <c r="K538" s="4" t="s">
        <v>18</v>
      </c>
      <c r="L538" s="27">
        <f t="shared" si="18"/>
        <v>1982</v>
      </c>
      <c r="M538" s="27">
        <f t="shared" si="19"/>
        <v>5</v>
      </c>
      <c r="N538" s="27">
        <f t="shared" ca="1" si="20"/>
        <v>44</v>
      </c>
      <c r="O538" s="27" t="str" cm="1">
        <f t="array" ref="O538">_xlfn.IFS($F538&gt;=750,"Excellent",$F538&gt;=700,"Good",$F538&gt;=650,"Moderate",
$F538&lt;650,"Risky"
)</f>
        <v>Excellent</v>
      </c>
      <c r="P538" s="27" t="str" cm="1">
        <f t="array" ref="P538">_xlfn.IFS(
AND(F538&gt;=750,H538&lt;=2),"Low Risk",
AND(F538&gt;=700,H538&lt;=5),"Medium Risk",
TRUE,"High Risk"
)</f>
        <v>High Risk</v>
      </c>
      <c r="Q538" s="5"/>
      <c r="R538" s="5"/>
      <c r="S538" s="5"/>
      <c r="T538" s="5"/>
      <c r="U538" s="5"/>
      <c r="V538" s="5"/>
      <c r="W538" s="5"/>
      <c r="X538" s="5"/>
      <c r="Y538" s="5"/>
    </row>
    <row r="539" spans="1:25" ht="15.75" customHeight="1" x14ac:dyDescent="0.25">
      <c r="A539" s="2">
        <v>43965</v>
      </c>
      <c r="B539" s="3">
        <v>34408</v>
      </c>
      <c r="C539" s="4" t="s">
        <v>19</v>
      </c>
      <c r="D539" s="4" t="str">
        <f t="shared" si="16"/>
        <v>Marketing</v>
      </c>
      <c r="E539" s="4" t="str">
        <f t="shared" si="17"/>
        <v>Manager</v>
      </c>
      <c r="F539" s="13">
        <v>772</v>
      </c>
      <c r="G539" s="13">
        <v>1</v>
      </c>
      <c r="H539" s="13">
        <v>8</v>
      </c>
      <c r="I539" s="2">
        <v>30504</v>
      </c>
      <c r="J539" s="15">
        <v>743563</v>
      </c>
      <c r="K539" s="4" t="s">
        <v>21</v>
      </c>
      <c r="L539" s="27">
        <f t="shared" si="18"/>
        <v>1983</v>
      </c>
      <c r="M539" s="27">
        <f t="shared" si="19"/>
        <v>5</v>
      </c>
      <c r="N539" s="27">
        <f t="shared" ca="1" si="20"/>
        <v>43</v>
      </c>
      <c r="O539" s="27" t="str" cm="1">
        <f t="array" ref="O539">_xlfn.IFS($F539&gt;=750,"Excellent",$F539&gt;=700,"Good",$F539&gt;=650,"Moderate",
$F539&lt;650,"Risky"
)</f>
        <v>Excellent</v>
      </c>
      <c r="P539" s="27" t="str" cm="1">
        <f t="array" ref="P539">_xlfn.IFS(
AND(F539&gt;=750,H539&lt;=2),"Low Risk",
AND(F539&gt;=700,H539&lt;=5),"Medium Risk",
TRUE,"High Risk"
)</f>
        <v>High Risk</v>
      </c>
      <c r="Q539" s="5"/>
      <c r="R539" s="5"/>
      <c r="S539" s="5"/>
      <c r="T539" s="5"/>
      <c r="U539" s="5"/>
      <c r="V539" s="5"/>
      <c r="W539" s="5"/>
      <c r="X539" s="5"/>
      <c r="Y539" s="5"/>
    </row>
    <row r="540" spans="1:25" ht="15.75" customHeight="1" x14ac:dyDescent="0.25">
      <c r="A540" s="2">
        <v>43956</v>
      </c>
      <c r="B540" s="3">
        <v>63076</v>
      </c>
      <c r="C540" s="4" t="s">
        <v>20</v>
      </c>
      <c r="D540" s="4" t="str">
        <f t="shared" si="16"/>
        <v>Operation</v>
      </c>
      <c r="E540" s="4" t="str">
        <f t="shared" si="17"/>
        <v>Manager</v>
      </c>
      <c r="F540" s="13">
        <v>793</v>
      </c>
      <c r="G540" s="13">
        <v>1</v>
      </c>
      <c r="H540" s="13">
        <v>3</v>
      </c>
      <c r="I540" s="2">
        <v>29258</v>
      </c>
      <c r="J540" s="15">
        <v>840725</v>
      </c>
      <c r="K540" s="4" t="s">
        <v>14</v>
      </c>
      <c r="L540" s="27">
        <f t="shared" si="18"/>
        <v>1980</v>
      </c>
      <c r="M540" s="27">
        <f t="shared" si="19"/>
        <v>5</v>
      </c>
      <c r="N540" s="27">
        <f t="shared" ca="1" si="20"/>
        <v>46</v>
      </c>
      <c r="O540" s="27" t="str" cm="1">
        <f t="array" ref="O540">_xlfn.IFS($F540&gt;=750,"Excellent",$F540&gt;=700,"Good",$F540&gt;=650,"Moderate",
$F540&lt;650,"Risky"
)</f>
        <v>Excellent</v>
      </c>
      <c r="P540" s="27" t="str" cm="1">
        <f t="array" ref="P540">_xlfn.IFS(
AND(F540&gt;=750,H540&lt;=2),"Low Risk",
AND(F540&gt;=700,H540&lt;=5),"Medium Risk",
TRUE,"High Risk"
)</f>
        <v>Medium Risk</v>
      </c>
      <c r="Q540" s="5"/>
      <c r="R540" s="5"/>
      <c r="S540" s="5"/>
      <c r="T540" s="5"/>
      <c r="U540" s="5"/>
      <c r="V540" s="5"/>
      <c r="W540" s="5"/>
      <c r="X540" s="5"/>
      <c r="Y540" s="5"/>
    </row>
    <row r="541" spans="1:25" ht="15.75" customHeight="1" x14ac:dyDescent="0.25">
      <c r="A541" s="2">
        <v>43831</v>
      </c>
      <c r="B541" s="3">
        <v>95803</v>
      </c>
      <c r="C541" s="4" t="s">
        <v>36</v>
      </c>
      <c r="D541" s="4" t="str">
        <f t="shared" si="16"/>
        <v>Sales</v>
      </c>
      <c r="E541" s="4" t="str">
        <f t="shared" si="17"/>
        <v>Intern</v>
      </c>
      <c r="F541" s="13">
        <v>798</v>
      </c>
      <c r="G541" s="13">
        <v>3</v>
      </c>
      <c r="H541" s="13">
        <v>2</v>
      </c>
      <c r="I541" s="2">
        <v>33679</v>
      </c>
      <c r="J541" s="15">
        <v>647937</v>
      </c>
      <c r="K541" s="4" t="s">
        <v>14</v>
      </c>
      <c r="L541" s="27">
        <f t="shared" si="18"/>
        <v>1992</v>
      </c>
      <c r="M541" s="27">
        <f t="shared" si="19"/>
        <v>1</v>
      </c>
      <c r="N541" s="27">
        <f t="shared" ca="1" si="20"/>
        <v>34</v>
      </c>
      <c r="O541" s="27" t="str" cm="1">
        <f t="array" ref="O541">_xlfn.IFS($F541&gt;=750,"Excellent",$F541&gt;=700,"Good",$F541&gt;=650,"Moderate",
$F541&lt;650,"Risky"
)</f>
        <v>Excellent</v>
      </c>
      <c r="P541" s="27" t="str" cm="1">
        <f t="array" ref="P541">_xlfn.IFS(
AND(F541&gt;=750,H541&lt;=2),"Low Risk",
AND(F541&gt;=700,H541&lt;=5),"Medium Risk",
TRUE,"High Risk"
)</f>
        <v>Low Risk</v>
      </c>
      <c r="Q541" s="5"/>
      <c r="R541" s="5"/>
      <c r="S541" s="5"/>
      <c r="T541" s="5"/>
      <c r="U541" s="5"/>
      <c r="V541" s="5"/>
      <c r="W541" s="5"/>
      <c r="X541" s="5"/>
      <c r="Y541" s="5"/>
    </row>
    <row r="542" spans="1:25" ht="15.75" customHeight="1" x14ac:dyDescent="0.25">
      <c r="A542" s="2">
        <v>43862</v>
      </c>
      <c r="B542" s="3">
        <v>35698</v>
      </c>
      <c r="C542" s="4" t="s">
        <v>22</v>
      </c>
      <c r="D542" s="4" t="str">
        <f t="shared" si="16"/>
        <v>Strategy</v>
      </c>
      <c r="E542" s="4" t="str">
        <f t="shared" si="17"/>
        <v>Executive</v>
      </c>
      <c r="F542" s="13">
        <v>710</v>
      </c>
      <c r="G542" s="13">
        <v>5</v>
      </c>
      <c r="H542" s="13">
        <v>7</v>
      </c>
      <c r="I542" s="2">
        <v>33139</v>
      </c>
      <c r="J542" s="15">
        <v>541460</v>
      </c>
      <c r="K542" s="4" t="s">
        <v>14</v>
      </c>
      <c r="L542" s="27">
        <f t="shared" si="18"/>
        <v>1990</v>
      </c>
      <c r="M542" s="27">
        <f t="shared" si="19"/>
        <v>2</v>
      </c>
      <c r="N542" s="27">
        <f t="shared" ca="1" si="20"/>
        <v>36</v>
      </c>
      <c r="O542" s="27" t="str" cm="1">
        <f t="array" ref="O542">_xlfn.IFS($F542&gt;=750,"Excellent",$F542&gt;=700,"Good",$F542&gt;=650,"Moderate",
$F542&lt;650,"Risky"
)</f>
        <v>Good</v>
      </c>
      <c r="P542" s="27" t="str" cm="1">
        <f t="array" ref="P542">_xlfn.IFS(
AND(F542&gt;=750,H542&lt;=2),"Low Risk",
AND(F542&gt;=700,H542&lt;=5),"Medium Risk",
TRUE,"High Risk"
)</f>
        <v>High Risk</v>
      </c>
      <c r="Q542" s="5"/>
      <c r="R542" s="5"/>
      <c r="S542" s="5"/>
      <c r="T542" s="5"/>
      <c r="U542" s="5"/>
      <c r="V542" s="5"/>
      <c r="W542" s="5"/>
      <c r="X542" s="5"/>
      <c r="Y542" s="5"/>
    </row>
    <row r="543" spans="1:25" ht="15.75" customHeight="1" x14ac:dyDescent="0.25">
      <c r="A543" s="2">
        <v>43906</v>
      </c>
      <c r="B543" s="3">
        <v>95503</v>
      </c>
      <c r="C543" s="4" t="s">
        <v>19</v>
      </c>
      <c r="D543" s="4" t="str">
        <f t="shared" si="16"/>
        <v>Marketing</v>
      </c>
      <c r="E543" s="4" t="str">
        <f t="shared" si="17"/>
        <v>Manager</v>
      </c>
      <c r="F543" s="13">
        <v>743</v>
      </c>
      <c r="G543" s="13">
        <v>4</v>
      </c>
      <c r="H543" s="13">
        <v>4</v>
      </c>
      <c r="I543" s="2">
        <v>32428</v>
      </c>
      <c r="J543" s="15">
        <v>669353</v>
      </c>
      <c r="K543" s="4" t="s">
        <v>18</v>
      </c>
      <c r="L543" s="27">
        <f t="shared" si="18"/>
        <v>1988</v>
      </c>
      <c r="M543" s="27">
        <f t="shared" si="19"/>
        <v>3</v>
      </c>
      <c r="N543" s="27">
        <f t="shared" ca="1" si="20"/>
        <v>38</v>
      </c>
      <c r="O543" s="27" t="str" cm="1">
        <f t="array" ref="O543">_xlfn.IFS($F543&gt;=750,"Excellent",$F543&gt;=700,"Good",$F543&gt;=650,"Moderate",
$F543&lt;650,"Risky"
)</f>
        <v>Good</v>
      </c>
      <c r="P543" s="27" t="str" cm="1">
        <f t="array" ref="P543">_xlfn.IFS(
AND(F543&gt;=750,H543&lt;=2),"Low Risk",
AND(F543&gt;=700,H543&lt;=5),"Medium Risk",
TRUE,"High Risk"
)</f>
        <v>Medium Risk</v>
      </c>
      <c r="Q543" s="5"/>
      <c r="R543" s="5"/>
      <c r="S543" s="5"/>
      <c r="T543" s="5"/>
      <c r="U543" s="5"/>
      <c r="V543" s="5"/>
      <c r="W543" s="5"/>
      <c r="X543" s="5"/>
      <c r="Y543" s="5"/>
    </row>
    <row r="544" spans="1:25" ht="15.75" customHeight="1" x14ac:dyDescent="0.25">
      <c r="A544" s="2">
        <v>43870</v>
      </c>
      <c r="B544" s="3">
        <v>95921</v>
      </c>
      <c r="C544" s="4" t="s">
        <v>26</v>
      </c>
      <c r="D544" s="4" t="str">
        <f t="shared" si="16"/>
        <v>Strategy</v>
      </c>
      <c r="E544" s="4" t="str">
        <f t="shared" si="17"/>
        <v>Manager</v>
      </c>
      <c r="F544" s="13">
        <v>797</v>
      </c>
      <c r="G544" s="13">
        <v>4</v>
      </c>
      <c r="H544" s="13">
        <v>1</v>
      </c>
      <c r="I544" s="2">
        <v>29611</v>
      </c>
      <c r="J544" s="15">
        <v>928644</v>
      </c>
      <c r="K544" s="4" t="s">
        <v>14</v>
      </c>
      <c r="L544" s="27">
        <f t="shared" si="18"/>
        <v>1981</v>
      </c>
      <c r="M544" s="27">
        <f t="shared" si="19"/>
        <v>2</v>
      </c>
      <c r="N544" s="27">
        <f t="shared" ca="1" si="20"/>
        <v>45</v>
      </c>
      <c r="O544" s="27" t="str" cm="1">
        <f t="array" ref="O544">_xlfn.IFS($F544&gt;=750,"Excellent",$F544&gt;=700,"Good",$F544&gt;=650,"Moderate",
$F544&lt;650,"Risky"
)</f>
        <v>Excellent</v>
      </c>
      <c r="P544" s="27" t="str" cm="1">
        <f t="array" ref="P544">_xlfn.IFS(
AND(F544&gt;=750,H544&lt;=2),"Low Risk",
AND(F544&gt;=700,H544&lt;=5),"Medium Risk",
TRUE,"High Risk"
)</f>
        <v>Low Risk</v>
      </c>
      <c r="Q544" s="5"/>
      <c r="R544" s="5"/>
      <c r="S544" s="5"/>
      <c r="T544" s="5"/>
      <c r="U544" s="5"/>
      <c r="V544" s="5"/>
      <c r="W544" s="5"/>
      <c r="X544" s="5"/>
      <c r="Y544" s="5"/>
    </row>
    <row r="545" spans="1:25" ht="15.75" customHeight="1" x14ac:dyDescent="0.25">
      <c r="A545" s="2">
        <v>43992</v>
      </c>
      <c r="B545" s="3">
        <v>27632</v>
      </c>
      <c r="C545" s="4" t="s">
        <v>31</v>
      </c>
      <c r="D545" s="4" t="str">
        <f t="shared" si="16"/>
        <v>Finance</v>
      </c>
      <c r="E545" s="4" t="str">
        <f t="shared" si="17"/>
        <v>Intern</v>
      </c>
      <c r="F545" s="13">
        <v>800</v>
      </c>
      <c r="G545" s="13">
        <v>1</v>
      </c>
      <c r="H545" s="13">
        <v>8</v>
      </c>
      <c r="I545" s="2">
        <v>29933</v>
      </c>
      <c r="J545" s="15">
        <v>960902</v>
      </c>
      <c r="K545" s="4" t="s">
        <v>14</v>
      </c>
      <c r="L545" s="27">
        <f t="shared" si="18"/>
        <v>1981</v>
      </c>
      <c r="M545" s="27">
        <f t="shared" si="19"/>
        <v>6</v>
      </c>
      <c r="N545" s="27">
        <f t="shared" ca="1" si="20"/>
        <v>45</v>
      </c>
      <c r="O545" s="27" t="str" cm="1">
        <f t="array" ref="O545">_xlfn.IFS($F545&gt;=750,"Excellent",$F545&gt;=700,"Good",$F545&gt;=650,"Moderate",
$F545&lt;650,"Risky"
)</f>
        <v>Excellent</v>
      </c>
      <c r="P545" s="27" t="str" cm="1">
        <f t="array" ref="P545">_xlfn.IFS(
AND(F545&gt;=750,H545&lt;=2),"Low Risk",
AND(F545&gt;=700,H545&lt;=5),"Medium Risk",
TRUE,"High Risk"
)</f>
        <v>High Risk</v>
      </c>
      <c r="Q545" s="5"/>
      <c r="R545" s="5"/>
      <c r="S545" s="5"/>
      <c r="T545" s="5"/>
      <c r="U545" s="5"/>
      <c r="V545" s="5"/>
      <c r="W545" s="5"/>
      <c r="X545" s="5"/>
      <c r="Y545" s="5"/>
    </row>
    <row r="546" spans="1:25" ht="15.75" customHeight="1" x14ac:dyDescent="0.25">
      <c r="A546" s="2">
        <v>43852</v>
      </c>
      <c r="B546" s="3">
        <v>63842</v>
      </c>
      <c r="C546" s="4" t="s">
        <v>32</v>
      </c>
      <c r="D546" s="4" t="str">
        <f t="shared" si="16"/>
        <v>Finance</v>
      </c>
      <c r="E546" s="4" t="str">
        <f t="shared" si="17"/>
        <v>Executive</v>
      </c>
      <c r="F546" s="13">
        <v>797</v>
      </c>
      <c r="G546" s="13">
        <v>1</v>
      </c>
      <c r="H546" s="13">
        <v>4</v>
      </c>
      <c r="I546" s="2">
        <v>32026</v>
      </c>
      <c r="J546" s="15">
        <v>858604</v>
      </c>
      <c r="K546" s="4" t="s">
        <v>21</v>
      </c>
      <c r="L546" s="27">
        <f t="shared" si="18"/>
        <v>1987</v>
      </c>
      <c r="M546" s="27">
        <f t="shared" si="19"/>
        <v>1</v>
      </c>
      <c r="N546" s="27">
        <f t="shared" ca="1" si="20"/>
        <v>39</v>
      </c>
      <c r="O546" s="27" t="str" cm="1">
        <f t="array" ref="O546">_xlfn.IFS($F546&gt;=750,"Excellent",$F546&gt;=700,"Good",$F546&gt;=650,"Moderate",
$F546&lt;650,"Risky"
)</f>
        <v>Excellent</v>
      </c>
      <c r="P546" s="27" t="str" cm="1">
        <f t="array" ref="P546">_xlfn.IFS(
AND(F546&gt;=750,H546&lt;=2),"Low Risk",
AND(F546&gt;=700,H546&lt;=5),"Medium Risk",
TRUE,"High Risk"
)</f>
        <v>Medium Risk</v>
      </c>
      <c r="Q546" s="5"/>
      <c r="R546" s="5"/>
      <c r="S546" s="5"/>
      <c r="T546" s="5"/>
      <c r="U546" s="5"/>
      <c r="V546" s="5"/>
      <c r="W546" s="5"/>
      <c r="X546" s="5"/>
      <c r="Y546" s="5"/>
    </row>
    <row r="547" spans="1:25" ht="15.75" customHeight="1" x14ac:dyDescent="0.25">
      <c r="A547" s="2">
        <v>44114</v>
      </c>
      <c r="B547" s="3">
        <v>37460</v>
      </c>
      <c r="C547" s="4" t="s">
        <v>29</v>
      </c>
      <c r="D547" s="4" t="str">
        <f t="shared" si="16"/>
        <v>Sales</v>
      </c>
      <c r="E547" s="4" t="str">
        <f t="shared" si="17"/>
        <v>Director</v>
      </c>
      <c r="F547" s="13">
        <v>781</v>
      </c>
      <c r="G547" s="13">
        <v>2</v>
      </c>
      <c r="H547" s="13">
        <v>1</v>
      </c>
      <c r="I547" s="2">
        <v>33687</v>
      </c>
      <c r="J547" s="15">
        <v>524070</v>
      </c>
      <c r="K547" s="4" t="s">
        <v>21</v>
      </c>
      <c r="L547" s="27">
        <f t="shared" si="18"/>
        <v>1992</v>
      </c>
      <c r="M547" s="27">
        <f t="shared" si="19"/>
        <v>10</v>
      </c>
      <c r="N547" s="27">
        <f t="shared" ca="1" si="20"/>
        <v>34</v>
      </c>
      <c r="O547" s="27" t="str" cm="1">
        <f t="array" ref="O547">_xlfn.IFS($F547&gt;=750,"Excellent",$F547&gt;=700,"Good",$F547&gt;=650,"Moderate",
$F547&lt;650,"Risky"
)</f>
        <v>Excellent</v>
      </c>
      <c r="P547" s="27" t="str" cm="1">
        <f t="array" ref="P547">_xlfn.IFS(
AND(F547&gt;=750,H547&lt;=2),"Low Risk",
AND(F547&gt;=700,H547&lt;=5),"Medium Risk",
TRUE,"High Risk"
)</f>
        <v>Low Risk</v>
      </c>
      <c r="Q547" s="5"/>
      <c r="R547" s="5"/>
      <c r="S547" s="5"/>
      <c r="T547" s="5"/>
      <c r="U547" s="5"/>
      <c r="V547" s="5"/>
      <c r="W547" s="5"/>
      <c r="X547" s="5"/>
      <c r="Y547" s="5"/>
    </row>
    <row r="548" spans="1:25" ht="15.75" customHeight="1" x14ac:dyDescent="0.25">
      <c r="A548" s="2">
        <v>44112</v>
      </c>
      <c r="B548" s="3">
        <v>72882</v>
      </c>
      <c r="C548" s="4" t="s">
        <v>33</v>
      </c>
      <c r="D548" s="4" t="str">
        <f t="shared" si="16"/>
        <v>Sales</v>
      </c>
      <c r="E548" s="4" t="str">
        <f t="shared" si="17"/>
        <v>Executive</v>
      </c>
      <c r="F548" s="13">
        <v>736</v>
      </c>
      <c r="G548" s="13">
        <v>3</v>
      </c>
      <c r="H548" s="13">
        <v>6</v>
      </c>
      <c r="I548" s="2">
        <v>32666</v>
      </c>
      <c r="J548" s="15">
        <v>643486</v>
      </c>
      <c r="K548" s="4" t="s">
        <v>18</v>
      </c>
      <c r="L548" s="27">
        <f t="shared" si="18"/>
        <v>1989</v>
      </c>
      <c r="M548" s="27">
        <f t="shared" si="19"/>
        <v>10</v>
      </c>
      <c r="N548" s="27">
        <f t="shared" ca="1" si="20"/>
        <v>37</v>
      </c>
      <c r="O548" s="27" t="str" cm="1">
        <f t="array" ref="O548">_xlfn.IFS($F548&gt;=750,"Excellent",$F548&gt;=700,"Good",$F548&gt;=650,"Moderate",
$F548&lt;650,"Risky"
)</f>
        <v>Good</v>
      </c>
      <c r="P548" s="27" t="str" cm="1">
        <f t="array" ref="P548">_xlfn.IFS(
AND(F548&gt;=750,H548&lt;=2),"Low Risk",
AND(F548&gt;=700,H548&lt;=5),"Medium Risk",
TRUE,"High Risk"
)</f>
        <v>High Risk</v>
      </c>
      <c r="Q548" s="5"/>
      <c r="R548" s="5"/>
      <c r="S548" s="5"/>
      <c r="T548" s="5"/>
      <c r="U548" s="5"/>
      <c r="V548" s="5"/>
      <c r="W548" s="5"/>
      <c r="X548" s="5"/>
      <c r="Y548" s="5"/>
    </row>
    <row r="549" spans="1:25" ht="15.75" customHeight="1" x14ac:dyDescent="0.25">
      <c r="A549" s="2">
        <v>43945</v>
      </c>
      <c r="B549" s="3">
        <v>27544</v>
      </c>
      <c r="C549" s="4" t="s">
        <v>16</v>
      </c>
      <c r="D549" s="4" t="str">
        <f t="shared" si="16"/>
        <v>Marketing</v>
      </c>
      <c r="E549" s="4" t="str">
        <f t="shared" si="17"/>
        <v>Executive</v>
      </c>
      <c r="F549" s="13">
        <v>715</v>
      </c>
      <c r="G549" s="13">
        <v>5</v>
      </c>
      <c r="H549" s="13">
        <v>8</v>
      </c>
      <c r="I549" s="2">
        <v>32345</v>
      </c>
      <c r="J549" s="15">
        <v>587547</v>
      </c>
      <c r="K549" s="4" t="s">
        <v>21</v>
      </c>
      <c r="L549" s="27">
        <f t="shared" si="18"/>
        <v>1988</v>
      </c>
      <c r="M549" s="27">
        <f t="shared" si="19"/>
        <v>4</v>
      </c>
      <c r="N549" s="27">
        <f t="shared" ca="1" si="20"/>
        <v>38</v>
      </c>
      <c r="O549" s="27" t="str" cm="1">
        <f t="array" ref="O549">_xlfn.IFS($F549&gt;=750,"Excellent",$F549&gt;=700,"Good",$F549&gt;=650,"Moderate",
$F549&lt;650,"Risky"
)</f>
        <v>Good</v>
      </c>
      <c r="P549" s="27" t="str" cm="1">
        <f t="array" ref="P549">_xlfn.IFS(
AND(F549&gt;=750,H549&lt;=2),"Low Risk",
AND(F549&gt;=700,H549&lt;=5),"Medium Risk",
TRUE,"High Risk"
)</f>
        <v>High Risk</v>
      </c>
      <c r="Q549" s="5"/>
      <c r="R549" s="5"/>
      <c r="S549" s="5"/>
      <c r="T549" s="5"/>
      <c r="U549" s="5"/>
      <c r="V549" s="5"/>
      <c r="W549" s="5"/>
      <c r="X549" s="5"/>
      <c r="Y549" s="5"/>
    </row>
    <row r="550" spans="1:25" ht="15.75" customHeight="1" x14ac:dyDescent="0.25">
      <c r="A550" s="2">
        <v>44023</v>
      </c>
      <c r="B550" s="3">
        <v>24343</v>
      </c>
      <c r="C550" s="4" t="s">
        <v>36</v>
      </c>
      <c r="D550" s="4" t="str">
        <f t="shared" si="16"/>
        <v>Sales</v>
      </c>
      <c r="E550" s="4" t="str">
        <f t="shared" si="17"/>
        <v>Intern</v>
      </c>
      <c r="F550" s="13">
        <v>767</v>
      </c>
      <c r="G550" s="13">
        <v>1</v>
      </c>
      <c r="H550" s="13">
        <v>3</v>
      </c>
      <c r="I550" s="2">
        <v>31758</v>
      </c>
      <c r="J550" s="15">
        <v>557672</v>
      </c>
      <c r="K550" s="4" t="s">
        <v>18</v>
      </c>
      <c r="L550" s="27">
        <f t="shared" si="18"/>
        <v>1986</v>
      </c>
      <c r="M550" s="27">
        <f t="shared" si="19"/>
        <v>7</v>
      </c>
      <c r="N550" s="27">
        <f t="shared" ca="1" si="20"/>
        <v>40</v>
      </c>
      <c r="O550" s="27" t="str" cm="1">
        <f t="array" ref="O550">_xlfn.IFS($F550&gt;=750,"Excellent",$F550&gt;=700,"Good",$F550&gt;=650,"Moderate",
$F550&lt;650,"Risky"
)</f>
        <v>Excellent</v>
      </c>
      <c r="P550" s="27" t="str" cm="1">
        <f t="array" ref="P550">_xlfn.IFS(
AND(F550&gt;=750,H550&lt;=2),"Low Risk",
AND(F550&gt;=700,H550&lt;=5),"Medium Risk",
TRUE,"High Risk"
)</f>
        <v>Medium Risk</v>
      </c>
      <c r="Q550" s="5"/>
      <c r="R550" s="5"/>
      <c r="S550" s="5"/>
      <c r="T550" s="5"/>
      <c r="U550" s="5"/>
      <c r="V550" s="5"/>
      <c r="W550" s="5"/>
      <c r="X550" s="5"/>
      <c r="Y550" s="5"/>
    </row>
    <row r="551" spans="1:25" ht="15.75" customHeight="1" x14ac:dyDescent="0.25">
      <c r="A551" s="2">
        <v>43915</v>
      </c>
      <c r="B551" s="3">
        <v>51730</v>
      </c>
      <c r="C551" s="4" t="s">
        <v>38</v>
      </c>
      <c r="D551" s="4" t="str">
        <f t="shared" si="16"/>
        <v>Finance</v>
      </c>
      <c r="E551" s="4" t="str">
        <f t="shared" si="17"/>
        <v>Manager</v>
      </c>
      <c r="F551" s="13">
        <v>787</v>
      </c>
      <c r="G551" s="13">
        <v>3</v>
      </c>
      <c r="H551" s="13">
        <v>10</v>
      </c>
      <c r="I551" s="2">
        <v>33434</v>
      </c>
      <c r="J551" s="15">
        <v>635431</v>
      </c>
      <c r="K551" s="4" t="s">
        <v>21</v>
      </c>
      <c r="L551" s="27">
        <f t="shared" si="18"/>
        <v>1991</v>
      </c>
      <c r="M551" s="27">
        <f t="shared" si="19"/>
        <v>3</v>
      </c>
      <c r="N551" s="27">
        <f t="shared" ca="1" si="20"/>
        <v>35</v>
      </c>
      <c r="O551" s="27" t="str" cm="1">
        <f t="array" ref="O551">_xlfn.IFS($F551&gt;=750,"Excellent",$F551&gt;=700,"Good",$F551&gt;=650,"Moderate",
$F551&lt;650,"Risky"
)</f>
        <v>Excellent</v>
      </c>
      <c r="P551" s="27" t="str" cm="1">
        <f t="array" ref="P551">_xlfn.IFS(
AND(F551&gt;=750,H551&lt;=2),"Low Risk",
AND(F551&gt;=700,H551&lt;=5),"Medium Risk",
TRUE,"High Risk"
)</f>
        <v>High Risk</v>
      </c>
      <c r="Q551" s="5"/>
      <c r="R551" s="5"/>
      <c r="S551" s="5"/>
      <c r="T551" s="5"/>
      <c r="U551" s="5"/>
      <c r="V551" s="5"/>
      <c r="W551" s="5"/>
      <c r="X551" s="5"/>
      <c r="Y551" s="5"/>
    </row>
    <row r="552" spans="1:25" ht="15.75" customHeight="1" x14ac:dyDescent="0.25">
      <c r="A552" s="2">
        <v>43995</v>
      </c>
      <c r="B552" s="3">
        <v>64295</v>
      </c>
      <c r="C552" s="4" t="s">
        <v>13</v>
      </c>
      <c r="D552" s="4" t="str">
        <f t="shared" si="16"/>
        <v>Marketing</v>
      </c>
      <c r="E552" s="4" t="str">
        <f t="shared" si="17"/>
        <v>Director</v>
      </c>
      <c r="F552" s="13">
        <v>788</v>
      </c>
      <c r="G552" s="13">
        <v>3</v>
      </c>
      <c r="H552" s="13">
        <v>8</v>
      </c>
      <c r="I552" s="2">
        <v>32236</v>
      </c>
      <c r="J552" s="15">
        <v>594694</v>
      </c>
      <c r="K552" s="4" t="s">
        <v>14</v>
      </c>
      <c r="L552" s="27">
        <f t="shared" si="18"/>
        <v>1988</v>
      </c>
      <c r="M552" s="27">
        <f t="shared" si="19"/>
        <v>6</v>
      </c>
      <c r="N552" s="27">
        <f t="shared" ca="1" si="20"/>
        <v>38</v>
      </c>
      <c r="O552" s="27" t="str" cm="1">
        <f t="array" ref="O552">_xlfn.IFS($F552&gt;=750,"Excellent",$F552&gt;=700,"Good",$F552&gt;=650,"Moderate",
$F552&lt;650,"Risky"
)</f>
        <v>Excellent</v>
      </c>
      <c r="P552" s="27" t="str" cm="1">
        <f t="array" ref="P552">_xlfn.IFS(
AND(F552&gt;=750,H552&lt;=2),"Low Risk",
AND(F552&gt;=700,H552&lt;=5),"Medium Risk",
TRUE,"High Risk"
)</f>
        <v>High Risk</v>
      </c>
      <c r="Q552" s="5"/>
      <c r="R552" s="5"/>
      <c r="S552" s="5"/>
      <c r="T552" s="5"/>
      <c r="U552" s="5"/>
      <c r="V552" s="5"/>
      <c r="W552" s="5"/>
      <c r="X552" s="5"/>
      <c r="Y552" s="5"/>
    </row>
    <row r="553" spans="1:25" ht="15.75" customHeight="1" x14ac:dyDescent="0.25">
      <c r="A553" s="2">
        <v>43836</v>
      </c>
      <c r="B553" s="3">
        <v>93731</v>
      </c>
      <c r="C553" s="4" t="s">
        <v>16</v>
      </c>
      <c r="D553" s="4" t="str">
        <f t="shared" si="16"/>
        <v>Marketing</v>
      </c>
      <c r="E553" s="4" t="str">
        <f t="shared" si="17"/>
        <v>Executive</v>
      </c>
      <c r="F553" s="13">
        <v>725</v>
      </c>
      <c r="G553" s="13">
        <v>3</v>
      </c>
      <c r="H553" s="13">
        <v>8</v>
      </c>
      <c r="I553" s="2">
        <v>33565</v>
      </c>
      <c r="J553" s="15">
        <v>859247</v>
      </c>
      <c r="K553" s="4" t="s">
        <v>18</v>
      </c>
      <c r="L553" s="27">
        <f t="shared" si="18"/>
        <v>1991</v>
      </c>
      <c r="M553" s="27">
        <f t="shared" si="19"/>
        <v>1</v>
      </c>
      <c r="N553" s="27">
        <f t="shared" ca="1" si="20"/>
        <v>35</v>
      </c>
      <c r="O553" s="27" t="str" cm="1">
        <f t="array" ref="O553">_xlfn.IFS($F553&gt;=750,"Excellent",$F553&gt;=700,"Good",$F553&gt;=650,"Moderate",
$F553&lt;650,"Risky"
)</f>
        <v>Good</v>
      </c>
      <c r="P553" s="27" t="str" cm="1">
        <f t="array" ref="P553">_xlfn.IFS(
AND(F553&gt;=750,H553&lt;=2),"Low Risk",
AND(F553&gt;=700,H553&lt;=5),"Medium Risk",
TRUE,"High Risk"
)</f>
        <v>High Risk</v>
      </c>
      <c r="Q553" s="5"/>
      <c r="R553" s="5"/>
      <c r="S553" s="5"/>
      <c r="T553" s="5"/>
      <c r="U553" s="5"/>
      <c r="V553" s="5"/>
      <c r="W553" s="5"/>
      <c r="X553" s="5"/>
      <c r="Y553" s="5"/>
    </row>
    <row r="554" spans="1:25" ht="15.75" customHeight="1" x14ac:dyDescent="0.25">
      <c r="A554" s="2">
        <v>43910</v>
      </c>
      <c r="B554" s="3">
        <v>21875</v>
      </c>
      <c r="C554" s="4" t="s">
        <v>15</v>
      </c>
      <c r="D554" s="4" t="str">
        <f t="shared" si="16"/>
        <v>Operation</v>
      </c>
      <c r="E554" s="4" t="str">
        <f t="shared" si="17"/>
        <v>Executive</v>
      </c>
      <c r="F554" s="13">
        <v>721</v>
      </c>
      <c r="G554" s="13">
        <v>2</v>
      </c>
      <c r="H554" s="13">
        <v>6</v>
      </c>
      <c r="I554" s="2">
        <v>32395</v>
      </c>
      <c r="J554" s="15">
        <v>615686</v>
      </c>
      <c r="K554" s="4" t="s">
        <v>21</v>
      </c>
      <c r="L554" s="27">
        <f t="shared" si="18"/>
        <v>1988</v>
      </c>
      <c r="M554" s="27">
        <f t="shared" si="19"/>
        <v>3</v>
      </c>
      <c r="N554" s="27">
        <f t="shared" ca="1" si="20"/>
        <v>38</v>
      </c>
      <c r="O554" s="27" t="str" cm="1">
        <f t="array" ref="O554">_xlfn.IFS($F554&gt;=750,"Excellent",$F554&gt;=700,"Good",$F554&gt;=650,"Moderate",
$F554&lt;650,"Risky"
)</f>
        <v>Good</v>
      </c>
      <c r="P554" s="27" t="str" cm="1">
        <f t="array" ref="P554">_xlfn.IFS(
AND(F554&gt;=750,H554&lt;=2),"Low Risk",
AND(F554&gt;=700,H554&lt;=5),"Medium Risk",
TRUE,"High Risk"
)</f>
        <v>High Risk</v>
      </c>
      <c r="Q554" s="5"/>
      <c r="R554" s="5"/>
      <c r="S554" s="5"/>
      <c r="T554" s="5"/>
      <c r="U554" s="5"/>
      <c r="V554" s="5"/>
      <c r="W554" s="5"/>
      <c r="X554" s="5"/>
      <c r="Y554" s="5"/>
    </row>
    <row r="555" spans="1:25" ht="15.75" customHeight="1" x14ac:dyDescent="0.25">
      <c r="A555" s="2">
        <v>43991</v>
      </c>
      <c r="B555" s="3">
        <v>13640</v>
      </c>
      <c r="C555" s="4" t="s">
        <v>34</v>
      </c>
      <c r="D555" s="4" t="str">
        <f t="shared" si="16"/>
        <v>Finance</v>
      </c>
      <c r="E555" s="4" t="str">
        <f t="shared" si="17"/>
        <v>Director</v>
      </c>
      <c r="F555" s="13">
        <v>717</v>
      </c>
      <c r="G555" s="13">
        <v>2</v>
      </c>
      <c r="H555" s="13">
        <v>1</v>
      </c>
      <c r="I555" s="2">
        <v>34678</v>
      </c>
      <c r="J555" s="15">
        <v>611218</v>
      </c>
      <c r="K555" s="4" t="s">
        <v>14</v>
      </c>
      <c r="L555" s="27">
        <f t="shared" si="18"/>
        <v>1994</v>
      </c>
      <c r="M555" s="27">
        <f t="shared" si="19"/>
        <v>6</v>
      </c>
      <c r="N555" s="27">
        <f t="shared" ca="1" si="20"/>
        <v>32</v>
      </c>
      <c r="O555" s="27" t="str" cm="1">
        <f t="array" ref="O555">_xlfn.IFS($F555&gt;=750,"Excellent",$F555&gt;=700,"Good",$F555&gt;=650,"Moderate",
$F555&lt;650,"Risky"
)</f>
        <v>Good</v>
      </c>
      <c r="P555" s="27" t="str" cm="1">
        <f t="array" ref="P555">_xlfn.IFS(
AND(F555&gt;=750,H555&lt;=2),"Low Risk",
AND(F555&gt;=700,H555&lt;=5),"Medium Risk",
TRUE,"High Risk"
)</f>
        <v>Medium Risk</v>
      </c>
      <c r="Q555" s="5"/>
      <c r="R555" s="5"/>
      <c r="S555" s="5"/>
      <c r="T555" s="5"/>
      <c r="U555" s="5"/>
      <c r="V555" s="5"/>
      <c r="W555" s="5"/>
      <c r="X555" s="5"/>
      <c r="Y555" s="5"/>
    </row>
    <row r="556" spans="1:25" ht="15.75" customHeight="1" x14ac:dyDescent="0.25">
      <c r="A556" s="2">
        <v>43884</v>
      </c>
      <c r="B556" s="3">
        <v>53720</v>
      </c>
      <c r="C556" s="4" t="s">
        <v>32</v>
      </c>
      <c r="D556" s="4" t="str">
        <f t="shared" si="16"/>
        <v>Finance</v>
      </c>
      <c r="E556" s="4" t="str">
        <f t="shared" si="17"/>
        <v>Executive</v>
      </c>
      <c r="F556" s="13">
        <v>764</v>
      </c>
      <c r="G556" s="13">
        <v>4</v>
      </c>
      <c r="H556" s="13">
        <v>7</v>
      </c>
      <c r="I556" s="2">
        <v>32733</v>
      </c>
      <c r="J556" s="15">
        <v>681585</v>
      </c>
      <c r="K556" s="4" t="s">
        <v>18</v>
      </c>
      <c r="L556" s="27">
        <f t="shared" si="18"/>
        <v>1989</v>
      </c>
      <c r="M556" s="27">
        <f t="shared" si="19"/>
        <v>2</v>
      </c>
      <c r="N556" s="27">
        <f t="shared" ca="1" si="20"/>
        <v>37</v>
      </c>
      <c r="O556" s="27" t="str" cm="1">
        <f t="array" ref="O556">_xlfn.IFS($F556&gt;=750,"Excellent",$F556&gt;=700,"Good",$F556&gt;=650,"Moderate",
$F556&lt;650,"Risky"
)</f>
        <v>Excellent</v>
      </c>
      <c r="P556" s="27" t="str" cm="1">
        <f t="array" ref="P556">_xlfn.IFS(
AND(F556&gt;=750,H556&lt;=2),"Low Risk",
AND(F556&gt;=700,H556&lt;=5),"Medium Risk",
TRUE,"High Risk"
)</f>
        <v>High Risk</v>
      </c>
      <c r="Q556" s="5"/>
      <c r="R556" s="5"/>
      <c r="S556" s="5"/>
      <c r="T556" s="5"/>
      <c r="U556" s="5"/>
      <c r="V556" s="5"/>
      <c r="W556" s="5"/>
      <c r="X556" s="5"/>
      <c r="Y556" s="5"/>
    </row>
    <row r="557" spans="1:25" ht="15.75" customHeight="1" x14ac:dyDescent="0.25">
      <c r="A557" s="2">
        <v>43876</v>
      </c>
      <c r="B557" s="3">
        <v>65888</v>
      </c>
      <c r="C557" s="4" t="s">
        <v>38</v>
      </c>
      <c r="D557" s="4" t="str">
        <f t="shared" si="16"/>
        <v>Finance</v>
      </c>
      <c r="E557" s="4" t="str">
        <f t="shared" si="17"/>
        <v>Manager</v>
      </c>
      <c r="F557" s="13">
        <v>767</v>
      </c>
      <c r="G557" s="13">
        <v>1</v>
      </c>
      <c r="H557" s="13">
        <v>1</v>
      </c>
      <c r="I557" s="2">
        <v>31998</v>
      </c>
      <c r="J557" s="15">
        <v>811827</v>
      </c>
      <c r="K557" s="4" t="s">
        <v>14</v>
      </c>
      <c r="L557" s="27">
        <f t="shared" si="18"/>
        <v>1987</v>
      </c>
      <c r="M557" s="27">
        <f t="shared" si="19"/>
        <v>2</v>
      </c>
      <c r="N557" s="27">
        <f t="shared" ca="1" si="20"/>
        <v>39</v>
      </c>
      <c r="O557" s="27" t="str" cm="1">
        <f t="array" ref="O557">_xlfn.IFS($F557&gt;=750,"Excellent",$F557&gt;=700,"Good",$F557&gt;=650,"Moderate",
$F557&lt;650,"Risky"
)</f>
        <v>Excellent</v>
      </c>
      <c r="P557" s="27" t="str" cm="1">
        <f t="array" ref="P557">_xlfn.IFS(
AND(F557&gt;=750,H557&lt;=2),"Low Risk",
AND(F557&gt;=700,H557&lt;=5),"Medium Risk",
TRUE,"High Risk"
)</f>
        <v>Low Risk</v>
      </c>
      <c r="Q557" s="5"/>
      <c r="R557" s="5"/>
      <c r="S557" s="5"/>
      <c r="T557" s="5"/>
      <c r="U557" s="5"/>
      <c r="V557" s="5"/>
      <c r="W557" s="5"/>
      <c r="X557" s="5"/>
      <c r="Y557" s="5"/>
    </row>
    <row r="558" spans="1:25" ht="15.75" customHeight="1" x14ac:dyDescent="0.25">
      <c r="A558" s="2">
        <v>44044</v>
      </c>
      <c r="B558" s="3">
        <v>99843</v>
      </c>
      <c r="C558" s="4" t="s">
        <v>20</v>
      </c>
      <c r="D558" s="4" t="str">
        <f t="shared" si="16"/>
        <v>Operation</v>
      </c>
      <c r="E558" s="4" t="str">
        <f t="shared" si="17"/>
        <v>Manager</v>
      </c>
      <c r="F558" s="13">
        <v>769</v>
      </c>
      <c r="G558" s="13">
        <v>3</v>
      </c>
      <c r="H558" s="13">
        <v>5</v>
      </c>
      <c r="I558" s="2">
        <v>33480</v>
      </c>
      <c r="J558" s="15">
        <v>627334</v>
      </c>
      <c r="K558" s="4" t="s">
        <v>21</v>
      </c>
      <c r="L558" s="27">
        <f t="shared" si="18"/>
        <v>1991</v>
      </c>
      <c r="M558" s="27">
        <f t="shared" si="19"/>
        <v>8</v>
      </c>
      <c r="N558" s="27">
        <f t="shared" ca="1" si="20"/>
        <v>35</v>
      </c>
      <c r="O558" s="27" t="str" cm="1">
        <f t="array" ref="O558">_xlfn.IFS($F558&gt;=750,"Excellent",$F558&gt;=700,"Good",$F558&gt;=650,"Moderate",
$F558&lt;650,"Risky"
)</f>
        <v>Excellent</v>
      </c>
      <c r="P558" s="27" t="str" cm="1">
        <f t="array" ref="P558">_xlfn.IFS(
AND(F558&gt;=750,H558&lt;=2),"Low Risk",
AND(F558&gt;=700,H558&lt;=5),"Medium Risk",
TRUE,"High Risk"
)</f>
        <v>Medium Risk</v>
      </c>
      <c r="Q558" s="5"/>
      <c r="R558" s="5"/>
      <c r="S558" s="5"/>
      <c r="T558" s="5"/>
      <c r="U558" s="5"/>
      <c r="V558" s="5"/>
      <c r="W558" s="5"/>
      <c r="X558" s="5"/>
      <c r="Y558" s="5"/>
    </row>
    <row r="559" spans="1:25" ht="15.75" customHeight="1" x14ac:dyDescent="0.25">
      <c r="A559" s="2">
        <v>44096</v>
      </c>
      <c r="B559" s="3">
        <v>58228</v>
      </c>
      <c r="C559" s="4" t="s">
        <v>16</v>
      </c>
      <c r="D559" s="4" t="str">
        <f t="shared" si="16"/>
        <v>Marketing</v>
      </c>
      <c r="E559" s="4" t="str">
        <f t="shared" si="17"/>
        <v>Executive</v>
      </c>
      <c r="F559" s="13">
        <v>747</v>
      </c>
      <c r="G559" s="13">
        <v>1</v>
      </c>
      <c r="H559" s="13">
        <v>1</v>
      </c>
      <c r="I559" s="2">
        <v>30105</v>
      </c>
      <c r="J559" s="15">
        <v>531446</v>
      </c>
      <c r="K559" s="4" t="s">
        <v>18</v>
      </c>
      <c r="L559" s="27">
        <f t="shared" si="18"/>
        <v>1982</v>
      </c>
      <c r="M559" s="27">
        <f t="shared" si="19"/>
        <v>9</v>
      </c>
      <c r="N559" s="27">
        <f t="shared" ca="1" si="20"/>
        <v>44</v>
      </c>
      <c r="O559" s="27" t="str" cm="1">
        <f t="array" ref="O559">_xlfn.IFS($F559&gt;=750,"Excellent",$F559&gt;=700,"Good",$F559&gt;=650,"Moderate",
$F559&lt;650,"Risky"
)</f>
        <v>Good</v>
      </c>
      <c r="P559" s="27" t="str" cm="1">
        <f t="array" ref="P559">_xlfn.IFS(
AND(F559&gt;=750,H559&lt;=2),"Low Risk",
AND(F559&gt;=700,H559&lt;=5),"Medium Risk",
TRUE,"High Risk"
)</f>
        <v>Medium Risk</v>
      </c>
      <c r="Q559" s="5"/>
      <c r="R559" s="5"/>
      <c r="S559" s="5"/>
      <c r="T559" s="5"/>
      <c r="U559" s="5"/>
      <c r="V559" s="5"/>
      <c r="W559" s="5"/>
      <c r="X559" s="5"/>
      <c r="Y559" s="5"/>
    </row>
    <row r="560" spans="1:25" ht="15.75" customHeight="1" x14ac:dyDescent="0.25">
      <c r="A560" s="2">
        <v>43943</v>
      </c>
      <c r="B560" s="3">
        <v>12596</v>
      </c>
      <c r="C560" s="4" t="s">
        <v>33</v>
      </c>
      <c r="D560" s="4" t="str">
        <f t="shared" si="16"/>
        <v>Sales</v>
      </c>
      <c r="E560" s="4" t="str">
        <f t="shared" si="17"/>
        <v>Executive</v>
      </c>
      <c r="F560" s="13">
        <v>702</v>
      </c>
      <c r="G560" s="13">
        <v>5</v>
      </c>
      <c r="H560" s="13">
        <v>7</v>
      </c>
      <c r="I560" s="2">
        <v>30567</v>
      </c>
      <c r="J560" s="15">
        <v>970614</v>
      </c>
      <c r="K560" s="4" t="s">
        <v>14</v>
      </c>
      <c r="L560" s="27">
        <f t="shared" si="18"/>
        <v>1983</v>
      </c>
      <c r="M560" s="27">
        <f t="shared" si="19"/>
        <v>4</v>
      </c>
      <c r="N560" s="27">
        <f t="shared" ca="1" si="20"/>
        <v>43</v>
      </c>
      <c r="O560" s="27" t="str" cm="1">
        <f t="array" ref="O560">_xlfn.IFS($F560&gt;=750,"Excellent",$F560&gt;=700,"Good",$F560&gt;=650,"Moderate",
$F560&lt;650,"Risky"
)</f>
        <v>Good</v>
      </c>
      <c r="P560" s="27" t="str" cm="1">
        <f t="array" ref="P560">_xlfn.IFS(
AND(F560&gt;=750,H560&lt;=2),"Low Risk",
AND(F560&gt;=700,H560&lt;=5),"Medium Risk",
TRUE,"High Risk"
)</f>
        <v>High Risk</v>
      </c>
      <c r="Q560" s="5"/>
      <c r="R560" s="5"/>
      <c r="S560" s="5"/>
      <c r="T560" s="5"/>
      <c r="U560" s="5"/>
      <c r="V560" s="5"/>
      <c r="W560" s="5"/>
      <c r="X560" s="5"/>
      <c r="Y560" s="5"/>
    </row>
    <row r="561" spans="1:25" ht="15.75" customHeight="1" x14ac:dyDescent="0.25">
      <c r="A561" s="2">
        <v>43967</v>
      </c>
      <c r="B561" s="3">
        <v>44415</v>
      </c>
      <c r="C561" s="4" t="s">
        <v>27</v>
      </c>
      <c r="D561" s="4" t="str">
        <f t="shared" si="16"/>
        <v>Operation</v>
      </c>
      <c r="E561" s="4" t="str">
        <f t="shared" si="17"/>
        <v>Intern</v>
      </c>
      <c r="F561" s="13">
        <v>738</v>
      </c>
      <c r="G561" s="13">
        <v>4</v>
      </c>
      <c r="H561" s="13">
        <v>10</v>
      </c>
      <c r="I561" s="2">
        <v>32718</v>
      </c>
      <c r="J561" s="15">
        <v>594754</v>
      </c>
      <c r="K561" s="4" t="s">
        <v>14</v>
      </c>
      <c r="L561" s="27">
        <f t="shared" si="18"/>
        <v>1989</v>
      </c>
      <c r="M561" s="27">
        <f t="shared" si="19"/>
        <v>5</v>
      </c>
      <c r="N561" s="27">
        <f t="shared" ca="1" si="20"/>
        <v>37</v>
      </c>
      <c r="O561" s="27" t="str" cm="1">
        <f t="array" ref="O561">_xlfn.IFS($F561&gt;=750,"Excellent",$F561&gt;=700,"Good",$F561&gt;=650,"Moderate",
$F561&lt;650,"Risky"
)</f>
        <v>Good</v>
      </c>
      <c r="P561" s="27" t="str" cm="1">
        <f t="array" ref="P561">_xlfn.IFS(
AND(F561&gt;=750,H561&lt;=2),"Low Risk",
AND(F561&gt;=700,H561&lt;=5),"Medium Risk",
TRUE,"High Risk"
)</f>
        <v>High Risk</v>
      </c>
      <c r="Q561" s="5"/>
      <c r="R561" s="5"/>
      <c r="S561" s="5"/>
      <c r="T561" s="5"/>
      <c r="U561" s="5"/>
      <c r="V561" s="5"/>
      <c r="W561" s="5"/>
      <c r="X561" s="5"/>
      <c r="Y561" s="5"/>
    </row>
    <row r="562" spans="1:25" ht="15.75" customHeight="1" x14ac:dyDescent="0.25">
      <c r="A562" s="2">
        <v>43891</v>
      </c>
      <c r="B562" s="3">
        <v>38783</v>
      </c>
      <c r="C562" s="4" t="s">
        <v>17</v>
      </c>
      <c r="D562" s="4" t="str">
        <f t="shared" si="16"/>
        <v>Growth</v>
      </c>
      <c r="E562" s="4" t="str">
        <f t="shared" si="17"/>
        <v>Manager</v>
      </c>
      <c r="F562" s="13">
        <v>760</v>
      </c>
      <c r="G562" s="13">
        <v>5</v>
      </c>
      <c r="H562" s="13">
        <v>6</v>
      </c>
      <c r="I562" s="2">
        <v>34418</v>
      </c>
      <c r="J562" s="15">
        <v>642147</v>
      </c>
      <c r="K562" s="4" t="s">
        <v>18</v>
      </c>
      <c r="L562" s="27">
        <f t="shared" si="18"/>
        <v>1994</v>
      </c>
      <c r="M562" s="27">
        <f t="shared" si="19"/>
        <v>3</v>
      </c>
      <c r="N562" s="27">
        <f t="shared" ca="1" si="20"/>
        <v>32</v>
      </c>
      <c r="O562" s="27" t="str" cm="1">
        <f t="array" ref="O562">_xlfn.IFS($F562&gt;=750,"Excellent",$F562&gt;=700,"Good",$F562&gt;=650,"Moderate",
$F562&lt;650,"Risky"
)</f>
        <v>Excellent</v>
      </c>
      <c r="P562" s="27" t="str" cm="1">
        <f t="array" ref="P562">_xlfn.IFS(
AND(F562&gt;=750,H562&lt;=2),"Low Risk",
AND(F562&gt;=700,H562&lt;=5),"Medium Risk",
TRUE,"High Risk"
)</f>
        <v>High Risk</v>
      </c>
      <c r="Q562" s="5"/>
      <c r="R562" s="5"/>
      <c r="S562" s="5"/>
      <c r="T562" s="5"/>
      <c r="U562" s="5"/>
      <c r="V562" s="5"/>
      <c r="W562" s="5"/>
      <c r="X562" s="5"/>
      <c r="Y562" s="5"/>
    </row>
    <row r="563" spans="1:25" ht="15.75" customHeight="1" x14ac:dyDescent="0.25">
      <c r="A563" s="2">
        <v>44025</v>
      </c>
      <c r="B563" s="3">
        <v>17643</v>
      </c>
      <c r="C563" s="4" t="s">
        <v>13</v>
      </c>
      <c r="D563" s="4" t="str">
        <f t="shared" si="16"/>
        <v>Marketing</v>
      </c>
      <c r="E563" s="4" t="str">
        <f t="shared" si="17"/>
        <v>Director</v>
      </c>
      <c r="F563" s="13">
        <v>781</v>
      </c>
      <c r="G563" s="13">
        <v>5</v>
      </c>
      <c r="H563" s="13">
        <v>6</v>
      </c>
      <c r="I563" s="2">
        <v>30673</v>
      </c>
      <c r="J563" s="15">
        <v>974246</v>
      </c>
      <c r="K563" s="4" t="s">
        <v>14</v>
      </c>
      <c r="L563" s="27">
        <f t="shared" si="18"/>
        <v>1983</v>
      </c>
      <c r="M563" s="27">
        <f t="shared" si="19"/>
        <v>7</v>
      </c>
      <c r="N563" s="27">
        <f t="shared" ca="1" si="20"/>
        <v>43</v>
      </c>
      <c r="O563" s="27" t="str" cm="1">
        <f t="array" ref="O563">_xlfn.IFS($F563&gt;=750,"Excellent",$F563&gt;=700,"Good",$F563&gt;=650,"Moderate",
$F563&lt;650,"Risky"
)</f>
        <v>Excellent</v>
      </c>
      <c r="P563" s="27" t="str" cm="1">
        <f t="array" ref="P563">_xlfn.IFS(
AND(F563&gt;=750,H563&lt;=2),"Low Risk",
AND(F563&gt;=700,H563&lt;=5),"Medium Risk",
TRUE,"High Risk"
)</f>
        <v>High Risk</v>
      </c>
      <c r="Q563" s="5"/>
      <c r="R563" s="5"/>
      <c r="S563" s="5"/>
      <c r="T563" s="5"/>
      <c r="U563" s="5"/>
      <c r="V563" s="5"/>
      <c r="W563" s="5"/>
      <c r="X563" s="5"/>
      <c r="Y563" s="5"/>
    </row>
    <row r="564" spans="1:25" ht="15.75" customHeight="1" x14ac:dyDescent="0.25">
      <c r="A564" s="2">
        <v>44107</v>
      </c>
      <c r="B564" s="3">
        <v>71821</v>
      </c>
      <c r="C564" s="4" t="s">
        <v>25</v>
      </c>
      <c r="D564" s="4" t="str">
        <f t="shared" si="16"/>
        <v>Sales</v>
      </c>
      <c r="E564" s="4" t="str">
        <f t="shared" si="17"/>
        <v>Manager</v>
      </c>
      <c r="F564" s="13">
        <v>702</v>
      </c>
      <c r="G564" s="13">
        <v>2</v>
      </c>
      <c r="H564" s="13">
        <v>2</v>
      </c>
      <c r="I564" s="2">
        <v>32393</v>
      </c>
      <c r="J564" s="15">
        <v>909939</v>
      </c>
      <c r="K564" s="4" t="s">
        <v>14</v>
      </c>
      <c r="L564" s="27">
        <f t="shared" si="18"/>
        <v>1988</v>
      </c>
      <c r="M564" s="27">
        <f t="shared" si="19"/>
        <v>10</v>
      </c>
      <c r="N564" s="27">
        <f t="shared" ca="1" si="20"/>
        <v>38</v>
      </c>
      <c r="O564" s="27" t="str" cm="1">
        <f t="array" ref="O564">_xlfn.IFS($F564&gt;=750,"Excellent",$F564&gt;=700,"Good",$F564&gt;=650,"Moderate",
$F564&lt;650,"Risky"
)</f>
        <v>Good</v>
      </c>
      <c r="P564" s="27" t="str" cm="1">
        <f t="array" ref="P564">_xlfn.IFS(
AND(F564&gt;=750,H564&lt;=2),"Low Risk",
AND(F564&gt;=700,H564&lt;=5),"Medium Risk",
TRUE,"High Risk"
)</f>
        <v>Medium Risk</v>
      </c>
      <c r="Q564" s="5"/>
      <c r="R564" s="5"/>
      <c r="S564" s="5"/>
      <c r="T564" s="5"/>
      <c r="U564" s="5"/>
      <c r="V564" s="5"/>
      <c r="W564" s="5"/>
      <c r="X564" s="5"/>
      <c r="Y564" s="5"/>
    </row>
    <row r="565" spans="1:25" ht="15.75" customHeight="1" x14ac:dyDescent="0.25">
      <c r="A565" s="2">
        <v>43873</v>
      </c>
      <c r="B565" s="3">
        <v>29417</v>
      </c>
      <c r="C565" s="4" t="s">
        <v>13</v>
      </c>
      <c r="D565" s="4" t="str">
        <f t="shared" si="16"/>
        <v>Marketing</v>
      </c>
      <c r="E565" s="4" t="str">
        <f t="shared" si="17"/>
        <v>Director</v>
      </c>
      <c r="F565" s="13">
        <v>787</v>
      </c>
      <c r="G565" s="13">
        <v>2</v>
      </c>
      <c r="H565" s="13">
        <v>4</v>
      </c>
      <c r="I565" s="2">
        <v>31063</v>
      </c>
      <c r="J565" s="15">
        <v>819203</v>
      </c>
      <c r="K565" s="4" t="s">
        <v>14</v>
      </c>
      <c r="L565" s="27">
        <f t="shared" si="18"/>
        <v>1985</v>
      </c>
      <c r="M565" s="27">
        <f t="shared" si="19"/>
        <v>2</v>
      </c>
      <c r="N565" s="27">
        <f t="shared" ca="1" si="20"/>
        <v>41</v>
      </c>
      <c r="O565" s="27" t="str" cm="1">
        <f t="array" ref="O565">_xlfn.IFS($F565&gt;=750,"Excellent",$F565&gt;=700,"Good",$F565&gt;=650,"Moderate",
$F565&lt;650,"Risky"
)</f>
        <v>Excellent</v>
      </c>
      <c r="P565" s="27" t="str" cm="1">
        <f t="array" ref="P565">_xlfn.IFS(
AND(F565&gt;=750,H565&lt;=2),"Low Risk",
AND(F565&gt;=700,H565&lt;=5),"Medium Risk",
TRUE,"High Risk"
)</f>
        <v>Medium Risk</v>
      </c>
      <c r="Q565" s="5"/>
      <c r="R565" s="5"/>
      <c r="S565" s="5"/>
      <c r="T565" s="5"/>
      <c r="U565" s="5"/>
      <c r="V565" s="5"/>
      <c r="W565" s="5"/>
      <c r="X565" s="5"/>
      <c r="Y565" s="5"/>
    </row>
    <row r="566" spans="1:25" ht="15.75" customHeight="1" x14ac:dyDescent="0.25">
      <c r="A566" s="2">
        <v>43996</v>
      </c>
      <c r="B566" s="3">
        <v>38894</v>
      </c>
      <c r="C566" s="4" t="s">
        <v>17</v>
      </c>
      <c r="D566" s="4" t="str">
        <f t="shared" si="16"/>
        <v>Growth</v>
      </c>
      <c r="E566" s="4" t="str">
        <f t="shared" si="17"/>
        <v>Manager</v>
      </c>
      <c r="F566" s="13">
        <v>741</v>
      </c>
      <c r="G566" s="13">
        <v>1</v>
      </c>
      <c r="H566" s="13">
        <v>6</v>
      </c>
      <c r="I566" s="2">
        <v>29328</v>
      </c>
      <c r="J566" s="15">
        <v>713677</v>
      </c>
      <c r="K566" s="4" t="s">
        <v>18</v>
      </c>
      <c r="L566" s="27">
        <f t="shared" si="18"/>
        <v>1980</v>
      </c>
      <c r="M566" s="27">
        <f t="shared" si="19"/>
        <v>6</v>
      </c>
      <c r="N566" s="27">
        <f t="shared" ca="1" si="20"/>
        <v>46</v>
      </c>
      <c r="O566" s="27" t="str" cm="1">
        <f t="array" ref="O566">_xlfn.IFS($F566&gt;=750,"Excellent",$F566&gt;=700,"Good",$F566&gt;=650,"Moderate",
$F566&lt;650,"Risky"
)</f>
        <v>Good</v>
      </c>
      <c r="P566" s="27" t="str" cm="1">
        <f t="array" ref="P566">_xlfn.IFS(
AND(F566&gt;=750,H566&lt;=2),"Low Risk",
AND(F566&gt;=700,H566&lt;=5),"Medium Risk",
TRUE,"High Risk"
)</f>
        <v>High Risk</v>
      </c>
      <c r="Q566" s="5"/>
      <c r="R566" s="5"/>
      <c r="S566" s="5"/>
      <c r="T566" s="5"/>
      <c r="U566" s="5"/>
      <c r="V566" s="5"/>
      <c r="W566" s="5"/>
      <c r="X566" s="5"/>
      <c r="Y566" s="5"/>
    </row>
    <row r="567" spans="1:25" ht="15.75" customHeight="1" x14ac:dyDescent="0.25">
      <c r="A567" s="2">
        <v>43848</v>
      </c>
      <c r="B567" s="3">
        <v>37736</v>
      </c>
      <c r="C567" s="4" t="s">
        <v>30</v>
      </c>
      <c r="D567" s="4" t="str">
        <f t="shared" si="16"/>
        <v>Operation</v>
      </c>
      <c r="E567" s="4" t="str">
        <f t="shared" si="17"/>
        <v>Director</v>
      </c>
      <c r="F567" s="13">
        <v>749</v>
      </c>
      <c r="G567" s="13">
        <v>1</v>
      </c>
      <c r="H567" s="13">
        <v>2</v>
      </c>
      <c r="I567" s="2">
        <v>33649</v>
      </c>
      <c r="J567" s="15">
        <v>883224</v>
      </c>
      <c r="K567" s="4" t="s">
        <v>14</v>
      </c>
      <c r="L567" s="27">
        <f t="shared" si="18"/>
        <v>1992</v>
      </c>
      <c r="M567" s="27">
        <f t="shared" si="19"/>
        <v>1</v>
      </c>
      <c r="N567" s="27">
        <f t="shared" ca="1" si="20"/>
        <v>34</v>
      </c>
      <c r="O567" s="27" t="str" cm="1">
        <f t="array" ref="O567">_xlfn.IFS($F567&gt;=750,"Excellent",$F567&gt;=700,"Good",$F567&gt;=650,"Moderate",
$F567&lt;650,"Risky"
)</f>
        <v>Good</v>
      </c>
      <c r="P567" s="27" t="str" cm="1">
        <f t="array" ref="P567">_xlfn.IFS(
AND(F567&gt;=750,H567&lt;=2),"Low Risk",
AND(F567&gt;=700,H567&lt;=5),"Medium Risk",
TRUE,"High Risk"
)</f>
        <v>Medium Risk</v>
      </c>
      <c r="Q567" s="5"/>
      <c r="R567" s="5"/>
      <c r="S567" s="5"/>
      <c r="T567" s="5"/>
      <c r="U567" s="5"/>
      <c r="V567" s="5"/>
      <c r="W567" s="5"/>
      <c r="X567" s="5"/>
      <c r="Y567" s="5"/>
    </row>
    <row r="568" spans="1:25" ht="15.75" customHeight="1" x14ac:dyDescent="0.25">
      <c r="A568" s="2">
        <v>43901</v>
      </c>
      <c r="B568" s="3">
        <v>62788</v>
      </c>
      <c r="C568" s="4" t="s">
        <v>39</v>
      </c>
      <c r="D568" s="4" t="str">
        <f t="shared" si="16"/>
        <v>Growth</v>
      </c>
      <c r="E568" s="4" t="str">
        <f t="shared" si="17"/>
        <v>Executive</v>
      </c>
      <c r="F568" s="13">
        <v>705</v>
      </c>
      <c r="G568" s="13">
        <v>2</v>
      </c>
      <c r="H568" s="13">
        <v>1</v>
      </c>
      <c r="I568" s="2">
        <v>34471</v>
      </c>
      <c r="J568" s="15">
        <v>708228</v>
      </c>
      <c r="K568" s="4" t="s">
        <v>21</v>
      </c>
      <c r="L568" s="27">
        <f t="shared" si="18"/>
        <v>1994</v>
      </c>
      <c r="M568" s="27">
        <f t="shared" si="19"/>
        <v>3</v>
      </c>
      <c r="N568" s="27">
        <f t="shared" ca="1" si="20"/>
        <v>32</v>
      </c>
      <c r="O568" s="27" t="str" cm="1">
        <f t="array" ref="O568">_xlfn.IFS($F568&gt;=750,"Excellent",$F568&gt;=700,"Good",$F568&gt;=650,"Moderate",
$F568&lt;650,"Risky"
)</f>
        <v>Good</v>
      </c>
      <c r="P568" s="27" t="str" cm="1">
        <f t="array" ref="P568">_xlfn.IFS(
AND(F568&gt;=750,H568&lt;=2),"Low Risk",
AND(F568&gt;=700,H568&lt;=5),"Medium Risk",
TRUE,"High Risk"
)</f>
        <v>Medium Risk</v>
      </c>
      <c r="Q568" s="5"/>
      <c r="R568" s="5"/>
      <c r="S568" s="5"/>
      <c r="T568" s="5"/>
      <c r="U568" s="5"/>
      <c r="V568" s="5"/>
      <c r="W568" s="5"/>
      <c r="X568" s="5"/>
      <c r="Y568" s="5"/>
    </row>
    <row r="569" spans="1:25" ht="15.75" customHeight="1" x14ac:dyDescent="0.25">
      <c r="A569" s="2">
        <v>44021</v>
      </c>
      <c r="B569" s="3">
        <v>45530</v>
      </c>
      <c r="C569" s="4" t="s">
        <v>36</v>
      </c>
      <c r="D569" s="4" t="str">
        <f t="shared" si="16"/>
        <v>Sales</v>
      </c>
      <c r="E569" s="4" t="str">
        <f t="shared" si="17"/>
        <v>Intern</v>
      </c>
      <c r="F569" s="13">
        <v>721</v>
      </c>
      <c r="G569" s="13">
        <v>2</v>
      </c>
      <c r="H569" s="13">
        <v>9</v>
      </c>
      <c r="I569" s="2">
        <v>34533</v>
      </c>
      <c r="J569" s="15">
        <v>538884</v>
      </c>
      <c r="K569" s="4" t="s">
        <v>18</v>
      </c>
      <c r="L569" s="27">
        <f t="shared" si="18"/>
        <v>1994</v>
      </c>
      <c r="M569" s="27">
        <f t="shared" si="19"/>
        <v>7</v>
      </c>
      <c r="N569" s="27">
        <f t="shared" ca="1" si="20"/>
        <v>32</v>
      </c>
      <c r="O569" s="27" t="str" cm="1">
        <f t="array" ref="O569">_xlfn.IFS($F569&gt;=750,"Excellent",$F569&gt;=700,"Good",$F569&gt;=650,"Moderate",
$F569&lt;650,"Risky"
)</f>
        <v>Good</v>
      </c>
      <c r="P569" s="27" t="str" cm="1">
        <f t="array" ref="P569">_xlfn.IFS(
AND(F569&gt;=750,H569&lt;=2),"Low Risk",
AND(F569&gt;=700,H569&lt;=5),"Medium Risk",
TRUE,"High Risk"
)</f>
        <v>High Risk</v>
      </c>
      <c r="Q569" s="5"/>
      <c r="R569" s="5"/>
      <c r="S569" s="5"/>
      <c r="T569" s="5"/>
      <c r="U569" s="5"/>
      <c r="V569" s="5"/>
      <c r="W569" s="5"/>
      <c r="X569" s="5"/>
      <c r="Y569" s="5"/>
    </row>
    <row r="570" spans="1:25" ht="15.75" customHeight="1" x14ac:dyDescent="0.25">
      <c r="A570" s="2">
        <v>43870</v>
      </c>
      <c r="B570" s="3">
        <v>49134</v>
      </c>
      <c r="C570" s="4" t="s">
        <v>33</v>
      </c>
      <c r="D570" s="4" t="str">
        <f t="shared" si="16"/>
        <v>Sales</v>
      </c>
      <c r="E570" s="4" t="str">
        <f t="shared" si="17"/>
        <v>Executive</v>
      </c>
      <c r="F570" s="13">
        <v>706</v>
      </c>
      <c r="G570" s="13">
        <v>5</v>
      </c>
      <c r="H570" s="13">
        <v>10</v>
      </c>
      <c r="I570" s="2">
        <v>30094</v>
      </c>
      <c r="J570" s="15">
        <v>647064</v>
      </c>
      <c r="K570" s="4" t="s">
        <v>18</v>
      </c>
      <c r="L570" s="27">
        <f t="shared" si="18"/>
        <v>1982</v>
      </c>
      <c r="M570" s="27">
        <f t="shared" si="19"/>
        <v>2</v>
      </c>
      <c r="N570" s="27">
        <f t="shared" ca="1" si="20"/>
        <v>44</v>
      </c>
      <c r="O570" s="27" t="str" cm="1">
        <f t="array" ref="O570">_xlfn.IFS($F570&gt;=750,"Excellent",$F570&gt;=700,"Good",$F570&gt;=650,"Moderate",
$F570&lt;650,"Risky"
)</f>
        <v>Good</v>
      </c>
      <c r="P570" s="27" t="str" cm="1">
        <f t="array" ref="P570">_xlfn.IFS(
AND(F570&gt;=750,H570&lt;=2),"Low Risk",
AND(F570&gt;=700,H570&lt;=5),"Medium Risk",
TRUE,"High Risk"
)</f>
        <v>High Risk</v>
      </c>
      <c r="Q570" s="5"/>
      <c r="R570" s="5"/>
      <c r="S570" s="5"/>
      <c r="T570" s="5"/>
      <c r="U570" s="5"/>
      <c r="V570" s="5"/>
      <c r="W570" s="5"/>
      <c r="X570" s="5"/>
      <c r="Y570" s="5"/>
    </row>
    <row r="571" spans="1:25" ht="15.75" customHeight="1" x14ac:dyDescent="0.25">
      <c r="A571" s="2">
        <v>43913</v>
      </c>
      <c r="B571" s="3">
        <v>58795</v>
      </c>
      <c r="C571" s="4" t="s">
        <v>28</v>
      </c>
      <c r="D571" s="4" t="str">
        <f t="shared" si="16"/>
        <v>Growth</v>
      </c>
      <c r="E571" s="4" t="str">
        <f t="shared" si="17"/>
        <v>Director</v>
      </c>
      <c r="F571" s="13">
        <v>712</v>
      </c>
      <c r="G571" s="13">
        <v>4</v>
      </c>
      <c r="H571" s="13">
        <v>10</v>
      </c>
      <c r="I571" s="2">
        <v>33668</v>
      </c>
      <c r="J571" s="15">
        <v>701101</v>
      </c>
      <c r="K571" s="4" t="s">
        <v>21</v>
      </c>
      <c r="L571" s="27">
        <f t="shared" si="18"/>
        <v>1992</v>
      </c>
      <c r="M571" s="27">
        <f t="shared" si="19"/>
        <v>3</v>
      </c>
      <c r="N571" s="27">
        <f t="shared" ca="1" si="20"/>
        <v>34</v>
      </c>
      <c r="O571" s="27" t="str" cm="1">
        <f t="array" ref="O571">_xlfn.IFS($F571&gt;=750,"Excellent",$F571&gt;=700,"Good",$F571&gt;=650,"Moderate",
$F571&lt;650,"Risky"
)</f>
        <v>Good</v>
      </c>
      <c r="P571" s="27" t="str" cm="1">
        <f t="array" ref="P571">_xlfn.IFS(
AND(F571&gt;=750,H571&lt;=2),"Low Risk",
AND(F571&gt;=700,H571&lt;=5),"Medium Risk",
TRUE,"High Risk"
)</f>
        <v>High Risk</v>
      </c>
      <c r="Q571" s="5"/>
      <c r="R571" s="5"/>
      <c r="S571" s="5"/>
      <c r="T571" s="5"/>
      <c r="U571" s="5"/>
      <c r="V571" s="5"/>
      <c r="W571" s="5"/>
      <c r="X571" s="5"/>
      <c r="Y571" s="5"/>
    </row>
    <row r="572" spans="1:25" ht="15.75" customHeight="1" x14ac:dyDescent="0.25">
      <c r="A572" s="2">
        <v>44098</v>
      </c>
      <c r="B572" s="3">
        <v>76612</v>
      </c>
      <c r="C572" s="4" t="s">
        <v>32</v>
      </c>
      <c r="D572" s="4" t="str">
        <f t="shared" si="16"/>
        <v>Finance</v>
      </c>
      <c r="E572" s="4" t="str">
        <f t="shared" si="17"/>
        <v>Executive</v>
      </c>
      <c r="F572" s="13">
        <v>791</v>
      </c>
      <c r="G572" s="13">
        <v>5</v>
      </c>
      <c r="H572" s="13">
        <v>4</v>
      </c>
      <c r="I572" s="2">
        <v>34251</v>
      </c>
      <c r="J572" s="15">
        <v>539739</v>
      </c>
      <c r="K572" s="4" t="s">
        <v>14</v>
      </c>
      <c r="L572" s="27">
        <f t="shared" si="18"/>
        <v>1993</v>
      </c>
      <c r="M572" s="27">
        <f t="shared" si="19"/>
        <v>9</v>
      </c>
      <c r="N572" s="27">
        <f t="shared" ca="1" si="20"/>
        <v>33</v>
      </c>
      <c r="O572" s="27" t="str" cm="1">
        <f t="array" ref="O572">_xlfn.IFS($F572&gt;=750,"Excellent",$F572&gt;=700,"Good",$F572&gt;=650,"Moderate",
$F572&lt;650,"Risky"
)</f>
        <v>Excellent</v>
      </c>
      <c r="P572" s="27" t="str" cm="1">
        <f t="array" ref="P572">_xlfn.IFS(
AND(F572&gt;=750,H572&lt;=2),"Low Risk",
AND(F572&gt;=700,H572&lt;=5),"Medium Risk",
TRUE,"High Risk"
)</f>
        <v>Medium Risk</v>
      </c>
      <c r="Q572" s="5"/>
      <c r="R572" s="5"/>
      <c r="S572" s="5"/>
      <c r="T572" s="5"/>
      <c r="U572" s="5"/>
      <c r="V572" s="5"/>
      <c r="W572" s="5"/>
      <c r="X572" s="5"/>
      <c r="Y572" s="5"/>
    </row>
    <row r="573" spans="1:25" ht="15.75" customHeight="1" x14ac:dyDescent="0.25">
      <c r="A573" s="2">
        <v>44138</v>
      </c>
      <c r="B573" s="3">
        <v>76168</v>
      </c>
      <c r="C573" s="4" t="s">
        <v>38</v>
      </c>
      <c r="D573" s="4" t="str">
        <f t="shared" si="16"/>
        <v>Finance</v>
      </c>
      <c r="E573" s="4" t="str">
        <f t="shared" si="17"/>
        <v>Manager</v>
      </c>
      <c r="F573" s="13">
        <v>721</v>
      </c>
      <c r="G573" s="13">
        <v>2</v>
      </c>
      <c r="H573" s="13">
        <v>10</v>
      </c>
      <c r="I573" s="2">
        <v>30145</v>
      </c>
      <c r="J573" s="15">
        <v>602910</v>
      </c>
      <c r="K573" s="4" t="s">
        <v>14</v>
      </c>
      <c r="L573" s="27">
        <f t="shared" si="18"/>
        <v>1982</v>
      </c>
      <c r="M573" s="27">
        <f t="shared" si="19"/>
        <v>11</v>
      </c>
      <c r="N573" s="27">
        <f t="shared" ca="1" si="20"/>
        <v>44</v>
      </c>
      <c r="O573" s="27" t="str" cm="1">
        <f t="array" ref="O573">_xlfn.IFS($F573&gt;=750,"Excellent",$F573&gt;=700,"Good",$F573&gt;=650,"Moderate",
$F573&lt;650,"Risky"
)</f>
        <v>Good</v>
      </c>
      <c r="P573" s="27" t="str" cm="1">
        <f t="array" ref="P573">_xlfn.IFS(
AND(F573&gt;=750,H573&lt;=2),"Low Risk",
AND(F573&gt;=700,H573&lt;=5),"Medium Risk",
TRUE,"High Risk"
)</f>
        <v>High Risk</v>
      </c>
      <c r="Q573" s="5"/>
      <c r="R573" s="5"/>
      <c r="S573" s="5"/>
      <c r="T573" s="5"/>
      <c r="U573" s="5"/>
      <c r="V573" s="5"/>
      <c r="W573" s="5"/>
      <c r="X573" s="5"/>
      <c r="Y573" s="5"/>
    </row>
    <row r="574" spans="1:25" ht="15.75" customHeight="1" x14ac:dyDescent="0.25">
      <c r="A574" s="2">
        <v>43844</v>
      </c>
      <c r="B574" s="3">
        <v>87652</v>
      </c>
      <c r="C574" s="4" t="s">
        <v>13</v>
      </c>
      <c r="D574" s="4" t="str">
        <f t="shared" si="16"/>
        <v>Marketing</v>
      </c>
      <c r="E574" s="4" t="str">
        <f t="shared" si="17"/>
        <v>Director</v>
      </c>
      <c r="F574" s="13">
        <v>784</v>
      </c>
      <c r="G574" s="13">
        <v>3</v>
      </c>
      <c r="H574" s="13">
        <v>9</v>
      </c>
      <c r="I574" s="2">
        <v>29645</v>
      </c>
      <c r="J574" s="15">
        <v>757408</v>
      </c>
      <c r="K574" s="4" t="s">
        <v>21</v>
      </c>
      <c r="L574" s="27">
        <f t="shared" si="18"/>
        <v>1981</v>
      </c>
      <c r="M574" s="27">
        <f t="shared" si="19"/>
        <v>1</v>
      </c>
      <c r="N574" s="27">
        <f t="shared" ca="1" si="20"/>
        <v>45</v>
      </c>
      <c r="O574" s="27" t="str" cm="1">
        <f t="array" ref="O574">_xlfn.IFS($F574&gt;=750,"Excellent",$F574&gt;=700,"Good",$F574&gt;=650,"Moderate",
$F574&lt;650,"Risky"
)</f>
        <v>Excellent</v>
      </c>
      <c r="P574" s="27" t="str" cm="1">
        <f t="array" ref="P574">_xlfn.IFS(
AND(F574&gt;=750,H574&lt;=2),"Low Risk",
AND(F574&gt;=700,H574&lt;=5),"Medium Risk",
TRUE,"High Risk"
)</f>
        <v>High Risk</v>
      </c>
      <c r="Q574" s="5"/>
      <c r="R574" s="5"/>
      <c r="S574" s="5"/>
      <c r="T574" s="5"/>
      <c r="U574" s="5"/>
      <c r="V574" s="5"/>
      <c r="W574" s="5"/>
      <c r="X574" s="5"/>
      <c r="Y574" s="5"/>
    </row>
    <row r="575" spans="1:25" ht="15.75" customHeight="1" x14ac:dyDescent="0.25">
      <c r="A575" s="2">
        <v>44022</v>
      </c>
      <c r="B575" s="3">
        <v>99257</v>
      </c>
      <c r="C575" s="4" t="s">
        <v>16</v>
      </c>
      <c r="D575" s="4" t="str">
        <f t="shared" si="16"/>
        <v>Marketing</v>
      </c>
      <c r="E575" s="4" t="str">
        <f t="shared" si="17"/>
        <v>Executive</v>
      </c>
      <c r="F575" s="13">
        <v>793</v>
      </c>
      <c r="G575" s="13">
        <v>5</v>
      </c>
      <c r="H575" s="13">
        <v>1</v>
      </c>
      <c r="I575" s="2">
        <v>31212</v>
      </c>
      <c r="J575" s="15">
        <v>844155</v>
      </c>
      <c r="K575" s="4" t="s">
        <v>14</v>
      </c>
      <c r="L575" s="27">
        <f t="shared" si="18"/>
        <v>1985</v>
      </c>
      <c r="M575" s="27">
        <f t="shared" si="19"/>
        <v>7</v>
      </c>
      <c r="N575" s="27">
        <f t="shared" ca="1" si="20"/>
        <v>41</v>
      </c>
      <c r="O575" s="27" t="str" cm="1">
        <f t="array" ref="O575">_xlfn.IFS($F575&gt;=750,"Excellent",$F575&gt;=700,"Good",$F575&gt;=650,"Moderate",
$F575&lt;650,"Risky"
)</f>
        <v>Excellent</v>
      </c>
      <c r="P575" s="27" t="str" cm="1">
        <f t="array" ref="P575">_xlfn.IFS(
AND(F575&gt;=750,H575&lt;=2),"Low Risk",
AND(F575&gt;=700,H575&lt;=5),"Medium Risk",
TRUE,"High Risk"
)</f>
        <v>Low Risk</v>
      </c>
      <c r="Q575" s="5"/>
      <c r="R575" s="5"/>
      <c r="S575" s="5"/>
      <c r="T575" s="5"/>
      <c r="U575" s="5"/>
      <c r="V575" s="5"/>
      <c r="W575" s="5"/>
      <c r="X575" s="5"/>
      <c r="Y575" s="5"/>
    </row>
    <row r="576" spans="1:25" ht="15.75" customHeight="1" x14ac:dyDescent="0.25">
      <c r="A576" s="2">
        <v>43843</v>
      </c>
      <c r="B576" s="3">
        <v>99595</v>
      </c>
      <c r="C576" s="4" t="s">
        <v>26</v>
      </c>
      <c r="D576" s="4" t="str">
        <f t="shared" si="16"/>
        <v>Strategy</v>
      </c>
      <c r="E576" s="4" t="str">
        <f t="shared" si="17"/>
        <v>Manager</v>
      </c>
      <c r="F576" s="13">
        <v>725</v>
      </c>
      <c r="G576" s="13">
        <v>4</v>
      </c>
      <c r="H576" s="13">
        <v>8</v>
      </c>
      <c r="I576" s="2">
        <v>31295</v>
      </c>
      <c r="J576" s="15">
        <v>824832</v>
      </c>
      <c r="K576" s="4" t="s">
        <v>21</v>
      </c>
      <c r="L576" s="27">
        <f t="shared" si="18"/>
        <v>1985</v>
      </c>
      <c r="M576" s="27">
        <f t="shared" si="19"/>
        <v>1</v>
      </c>
      <c r="N576" s="27">
        <f t="shared" ca="1" si="20"/>
        <v>41</v>
      </c>
      <c r="O576" s="27" t="str" cm="1">
        <f t="array" ref="O576">_xlfn.IFS($F576&gt;=750,"Excellent",$F576&gt;=700,"Good",$F576&gt;=650,"Moderate",
$F576&lt;650,"Risky"
)</f>
        <v>Good</v>
      </c>
      <c r="P576" s="27" t="str" cm="1">
        <f t="array" ref="P576">_xlfn.IFS(
AND(F576&gt;=750,H576&lt;=2),"Low Risk",
AND(F576&gt;=700,H576&lt;=5),"Medium Risk",
TRUE,"High Risk"
)</f>
        <v>High Risk</v>
      </c>
      <c r="Q576" s="5"/>
      <c r="R576" s="5"/>
      <c r="S576" s="5"/>
      <c r="T576" s="5"/>
      <c r="U576" s="5"/>
      <c r="V576" s="5"/>
      <c r="W576" s="5"/>
      <c r="X576" s="5"/>
      <c r="Y576" s="5"/>
    </row>
    <row r="577" spans="1:25" ht="15.75" customHeight="1" x14ac:dyDescent="0.25">
      <c r="A577" s="2">
        <v>43927</v>
      </c>
      <c r="B577" s="3">
        <v>60673</v>
      </c>
      <c r="C577" s="4" t="s">
        <v>20</v>
      </c>
      <c r="D577" s="4" t="str">
        <f t="shared" si="16"/>
        <v>Operation</v>
      </c>
      <c r="E577" s="4" t="str">
        <f t="shared" si="17"/>
        <v>Manager</v>
      </c>
      <c r="F577" s="13">
        <v>781</v>
      </c>
      <c r="G577" s="13">
        <v>4</v>
      </c>
      <c r="H577" s="13">
        <v>10</v>
      </c>
      <c r="I577" s="2">
        <v>30532</v>
      </c>
      <c r="J577" s="15">
        <v>588374</v>
      </c>
      <c r="K577" s="4" t="s">
        <v>14</v>
      </c>
      <c r="L577" s="27">
        <f t="shared" si="18"/>
        <v>1983</v>
      </c>
      <c r="M577" s="27">
        <f t="shared" si="19"/>
        <v>4</v>
      </c>
      <c r="N577" s="27">
        <f t="shared" ca="1" si="20"/>
        <v>43</v>
      </c>
      <c r="O577" s="27" t="str" cm="1">
        <f t="array" ref="O577">_xlfn.IFS($F577&gt;=750,"Excellent",$F577&gt;=700,"Good",$F577&gt;=650,"Moderate",
$F577&lt;650,"Risky"
)</f>
        <v>Excellent</v>
      </c>
      <c r="P577" s="27" t="str" cm="1">
        <f t="array" ref="P577">_xlfn.IFS(
AND(F577&gt;=750,H577&lt;=2),"Low Risk",
AND(F577&gt;=700,H577&lt;=5),"Medium Risk",
TRUE,"High Risk"
)</f>
        <v>High Risk</v>
      </c>
      <c r="Q577" s="5"/>
      <c r="R577" s="5"/>
      <c r="S577" s="5"/>
      <c r="T577" s="5"/>
      <c r="U577" s="5"/>
      <c r="V577" s="5"/>
      <c r="W577" s="5"/>
      <c r="X577" s="5"/>
      <c r="Y577" s="5"/>
    </row>
    <row r="578" spans="1:25" ht="15.75" customHeight="1" x14ac:dyDescent="0.25">
      <c r="A578" s="2">
        <v>43997</v>
      </c>
      <c r="B578" s="3">
        <v>72892</v>
      </c>
      <c r="C578" s="4" t="s">
        <v>29</v>
      </c>
      <c r="D578" s="4" t="str">
        <f t="shared" si="16"/>
        <v>Sales</v>
      </c>
      <c r="E578" s="4" t="str">
        <f t="shared" si="17"/>
        <v>Director</v>
      </c>
      <c r="F578" s="13">
        <v>789</v>
      </c>
      <c r="G578" s="13">
        <v>5</v>
      </c>
      <c r="H578" s="13">
        <v>4</v>
      </c>
      <c r="I578" s="2">
        <v>31416</v>
      </c>
      <c r="J578" s="15">
        <v>704543</v>
      </c>
      <c r="K578" s="4" t="s">
        <v>14</v>
      </c>
      <c r="L578" s="27">
        <f t="shared" si="18"/>
        <v>1986</v>
      </c>
      <c r="M578" s="27">
        <f t="shared" si="19"/>
        <v>6</v>
      </c>
      <c r="N578" s="27">
        <f t="shared" ca="1" si="20"/>
        <v>40</v>
      </c>
      <c r="O578" s="27" t="str" cm="1">
        <f t="array" ref="O578">_xlfn.IFS($F578&gt;=750,"Excellent",$F578&gt;=700,"Good",$F578&gt;=650,"Moderate",
$F578&lt;650,"Risky"
)</f>
        <v>Excellent</v>
      </c>
      <c r="P578" s="27" t="str" cm="1">
        <f t="array" ref="P578">_xlfn.IFS(
AND(F578&gt;=750,H578&lt;=2),"Low Risk",
AND(F578&gt;=700,H578&lt;=5),"Medium Risk",
TRUE,"High Risk"
)</f>
        <v>Medium Risk</v>
      </c>
      <c r="Q578" s="5"/>
      <c r="R578" s="5"/>
      <c r="S578" s="5"/>
      <c r="T578" s="5"/>
      <c r="U578" s="5"/>
      <c r="V578" s="5"/>
      <c r="W578" s="5"/>
      <c r="X578" s="5"/>
      <c r="Y578" s="5"/>
    </row>
    <row r="579" spans="1:25" ht="15.75" customHeight="1" x14ac:dyDescent="0.25">
      <c r="A579" s="2">
        <v>44105</v>
      </c>
      <c r="B579" s="3">
        <v>67365</v>
      </c>
      <c r="C579" s="4" t="s">
        <v>37</v>
      </c>
      <c r="D579" s="4" t="str">
        <f t="shared" si="16"/>
        <v>Strategy</v>
      </c>
      <c r="E579" s="4" t="str">
        <f t="shared" si="17"/>
        <v>Director</v>
      </c>
      <c r="F579" s="13">
        <v>758</v>
      </c>
      <c r="G579" s="13">
        <v>4</v>
      </c>
      <c r="H579" s="13">
        <v>8</v>
      </c>
      <c r="I579" s="2">
        <v>32071</v>
      </c>
      <c r="J579" s="15">
        <v>588396</v>
      </c>
      <c r="K579" s="4" t="s">
        <v>18</v>
      </c>
      <c r="L579" s="27">
        <f t="shared" si="18"/>
        <v>1987</v>
      </c>
      <c r="M579" s="27">
        <f t="shared" si="19"/>
        <v>10</v>
      </c>
      <c r="N579" s="27">
        <f t="shared" ref="N579:N642" ca="1" si="21" xml:space="preserve"> YEAR(TODAY()) - $L579</f>
        <v>39</v>
      </c>
      <c r="O579" s="27" t="str" cm="1">
        <f t="array" ref="O579">_xlfn.IFS($F579&gt;=750,"Excellent",$F579&gt;=700,"Good",$F579&gt;=650,"Moderate",
$F579&lt;650,"Risky"
)</f>
        <v>Excellent</v>
      </c>
      <c r="P579" s="27" t="str" cm="1">
        <f t="array" ref="P579">_xlfn.IFS(
AND(F579&gt;=750,H579&lt;=2),"Low Risk",
AND(F579&gt;=700,H579&lt;=5),"Medium Risk",
TRUE,"High Risk"
)</f>
        <v>High Risk</v>
      </c>
      <c r="Q579" s="5"/>
      <c r="R579" s="5"/>
      <c r="S579" s="5"/>
      <c r="T579" s="5"/>
      <c r="U579" s="5"/>
      <c r="V579" s="5"/>
      <c r="W579" s="5"/>
      <c r="X579" s="5"/>
      <c r="Y579" s="5"/>
    </row>
    <row r="580" spans="1:25" ht="15.75" customHeight="1" x14ac:dyDescent="0.25">
      <c r="A580" s="2">
        <v>44161</v>
      </c>
      <c r="B580" s="3">
        <v>62523</v>
      </c>
      <c r="C580" s="4" t="s">
        <v>22</v>
      </c>
      <c r="D580" s="4" t="str">
        <f t="shared" si="16"/>
        <v>Strategy</v>
      </c>
      <c r="E580" s="4" t="str">
        <f t="shared" si="17"/>
        <v>Executive</v>
      </c>
      <c r="F580" s="13">
        <v>738</v>
      </c>
      <c r="G580" s="13">
        <v>3</v>
      </c>
      <c r="H580" s="13">
        <v>1</v>
      </c>
      <c r="I580" s="2">
        <v>33233</v>
      </c>
      <c r="J580" s="15">
        <v>973676</v>
      </c>
      <c r="K580" s="4" t="s">
        <v>21</v>
      </c>
      <c r="L580" s="27">
        <f t="shared" si="18"/>
        <v>1990</v>
      </c>
      <c r="M580" s="27">
        <f t="shared" si="19"/>
        <v>11</v>
      </c>
      <c r="N580" s="27">
        <f t="shared" ca="1" si="21"/>
        <v>36</v>
      </c>
      <c r="O580" s="27" t="str" cm="1">
        <f t="array" ref="O580">_xlfn.IFS($F580&gt;=750,"Excellent",$F580&gt;=700,"Good",$F580&gt;=650,"Moderate",
$F580&lt;650,"Risky"
)</f>
        <v>Good</v>
      </c>
      <c r="P580" s="27" t="str" cm="1">
        <f t="array" ref="P580">_xlfn.IFS(
AND(F580&gt;=750,H580&lt;=2),"Low Risk",
AND(F580&gt;=700,H580&lt;=5),"Medium Risk",
TRUE,"High Risk"
)</f>
        <v>Medium Risk</v>
      </c>
      <c r="Q580" s="5"/>
      <c r="R580" s="5"/>
      <c r="S580" s="5"/>
      <c r="T580" s="5"/>
      <c r="U580" s="5"/>
      <c r="V580" s="5"/>
      <c r="W580" s="5"/>
      <c r="X580" s="5"/>
      <c r="Y580" s="5"/>
    </row>
    <row r="581" spans="1:25" ht="15.75" customHeight="1" x14ac:dyDescent="0.25">
      <c r="A581" s="2">
        <v>43958</v>
      </c>
      <c r="B581" s="3">
        <v>84606</v>
      </c>
      <c r="C581" s="4" t="s">
        <v>15</v>
      </c>
      <c r="D581" s="4" t="str">
        <f t="shared" si="16"/>
        <v>Operation</v>
      </c>
      <c r="E581" s="4" t="str">
        <f t="shared" si="17"/>
        <v>Executive</v>
      </c>
      <c r="F581" s="13">
        <v>706</v>
      </c>
      <c r="G581" s="13">
        <v>4</v>
      </c>
      <c r="H581" s="13">
        <v>7</v>
      </c>
      <c r="I581" s="2">
        <v>31111</v>
      </c>
      <c r="J581" s="15">
        <v>795220</v>
      </c>
      <c r="K581" s="4" t="s">
        <v>18</v>
      </c>
      <c r="L581" s="27">
        <f t="shared" si="18"/>
        <v>1985</v>
      </c>
      <c r="M581" s="27">
        <f t="shared" si="19"/>
        <v>5</v>
      </c>
      <c r="N581" s="27">
        <f t="shared" ca="1" si="21"/>
        <v>41</v>
      </c>
      <c r="O581" s="27" t="str" cm="1">
        <f t="array" ref="O581">_xlfn.IFS($F581&gt;=750,"Excellent",$F581&gt;=700,"Good",$F581&gt;=650,"Moderate",
$F581&lt;650,"Risky"
)</f>
        <v>Good</v>
      </c>
      <c r="P581" s="27" t="str" cm="1">
        <f t="array" ref="P581">_xlfn.IFS(
AND(F581&gt;=750,H581&lt;=2),"Low Risk",
AND(F581&gt;=700,H581&lt;=5),"Medium Risk",
TRUE,"High Risk"
)</f>
        <v>High Risk</v>
      </c>
      <c r="Q581" s="5"/>
      <c r="R581" s="5"/>
      <c r="S581" s="5"/>
      <c r="T581" s="5"/>
      <c r="U581" s="5"/>
      <c r="V581" s="5"/>
      <c r="W581" s="5"/>
      <c r="X581" s="5"/>
      <c r="Y581" s="5"/>
    </row>
    <row r="582" spans="1:25" ht="15.75" customHeight="1" x14ac:dyDescent="0.25">
      <c r="A582" s="2">
        <v>43902</v>
      </c>
      <c r="B582" s="3">
        <v>68072</v>
      </c>
      <c r="C582" s="4" t="s">
        <v>19</v>
      </c>
      <c r="D582" s="4" t="str">
        <f t="shared" si="16"/>
        <v>Marketing</v>
      </c>
      <c r="E582" s="4" t="str">
        <f t="shared" si="17"/>
        <v>Manager</v>
      </c>
      <c r="F582" s="13">
        <v>783</v>
      </c>
      <c r="G582" s="13">
        <v>3</v>
      </c>
      <c r="H582" s="13">
        <v>1</v>
      </c>
      <c r="I582" s="2">
        <v>30629</v>
      </c>
      <c r="J582" s="15">
        <v>824247</v>
      </c>
      <c r="K582" s="4" t="s">
        <v>21</v>
      </c>
      <c r="L582" s="27">
        <f t="shared" si="18"/>
        <v>1983</v>
      </c>
      <c r="M582" s="27">
        <f t="shared" si="19"/>
        <v>3</v>
      </c>
      <c r="N582" s="27">
        <f t="shared" ca="1" si="21"/>
        <v>43</v>
      </c>
      <c r="O582" s="27" t="str" cm="1">
        <f t="array" ref="O582">_xlfn.IFS($F582&gt;=750,"Excellent",$F582&gt;=700,"Good",$F582&gt;=650,"Moderate",
$F582&lt;650,"Risky"
)</f>
        <v>Excellent</v>
      </c>
      <c r="P582" s="27" t="str" cm="1">
        <f t="array" ref="P582">_xlfn.IFS(
AND(F582&gt;=750,H582&lt;=2),"Low Risk",
AND(F582&gt;=700,H582&lt;=5),"Medium Risk",
TRUE,"High Risk"
)</f>
        <v>Low Risk</v>
      </c>
      <c r="Q582" s="5"/>
      <c r="R582" s="5"/>
      <c r="S582" s="5"/>
      <c r="T582" s="5"/>
      <c r="U582" s="5"/>
      <c r="V582" s="5"/>
      <c r="W582" s="5"/>
      <c r="X582" s="5"/>
      <c r="Y582" s="5"/>
    </row>
    <row r="583" spans="1:25" ht="15.75" customHeight="1" x14ac:dyDescent="0.25">
      <c r="A583" s="2">
        <v>43881</v>
      </c>
      <c r="B583" s="3">
        <v>90908</v>
      </c>
      <c r="C583" s="4" t="s">
        <v>27</v>
      </c>
      <c r="D583" s="4" t="str">
        <f t="shared" si="16"/>
        <v>Operation</v>
      </c>
      <c r="E583" s="4" t="str">
        <f t="shared" si="17"/>
        <v>Intern</v>
      </c>
      <c r="F583" s="13">
        <v>774</v>
      </c>
      <c r="G583" s="13">
        <v>4</v>
      </c>
      <c r="H583" s="13">
        <v>2</v>
      </c>
      <c r="I583" s="2">
        <v>33428</v>
      </c>
      <c r="J583" s="15">
        <v>668860</v>
      </c>
      <c r="K583" s="4" t="s">
        <v>21</v>
      </c>
      <c r="L583" s="27">
        <f t="shared" si="18"/>
        <v>1991</v>
      </c>
      <c r="M583" s="27">
        <f t="shared" si="19"/>
        <v>2</v>
      </c>
      <c r="N583" s="27">
        <f t="shared" ca="1" si="21"/>
        <v>35</v>
      </c>
      <c r="O583" s="27" t="str" cm="1">
        <f t="array" ref="O583">_xlfn.IFS($F583&gt;=750,"Excellent",$F583&gt;=700,"Good",$F583&gt;=650,"Moderate",
$F583&lt;650,"Risky"
)</f>
        <v>Excellent</v>
      </c>
      <c r="P583" s="27" t="str" cm="1">
        <f t="array" ref="P583">_xlfn.IFS(
AND(F583&gt;=750,H583&lt;=2),"Low Risk",
AND(F583&gt;=700,H583&lt;=5),"Medium Risk",
TRUE,"High Risk"
)</f>
        <v>Low Risk</v>
      </c>
      <c r="Q583" s="5"/>
      <c r="R583" s="5"/>
      <c r="S583" s="5"/>
      <c r="T583" s="5"/>
      <c r="U583" s="5"/>
      <c r="V583" s="5"/>
      <c r="W583" s="5"/>
      <c r="X583" s="5"/>
      <c r="Y583" s="5"/>
    </row>
    <row r="584" spans="1:25" ht="15.75" customHeight="1" x14ac:dyDescent="0.25">
      <c r="A584" s="2">
        <v>44092</v>
      </c>
      <c r="B584" s="3">
        <v>93314</v>
      </c>
      <c r="C584" s="4" t="s">
        <v>26</v>
      </c>
      <c r="D584" s="4" t="str">
        <f t="shared" si="16"/>
        <v>Strategy</v>
      </c>
      <c r="E584" s="4" t="str">
        <f t="shared" si="17"/>
        <v>Manager</v>
      </c>
      <c r="F584" s="13">
        <v>709</v>
      </c>
      <c r="G584" s="13">
        <v>3</v>
      </c>
      <c r="H584" s="13">
        <v>7</v>
      </c>
      <c r="I584" s="2">
        <v>30753</v>
      </c>
      <c r="J584" s="15">
        <v>559191</v>
      </c>
      <c r="K584" s="4" t="s">
        <v>14</v>
      </c>
      <c r="L584" s="27">
        <f t="shared" si="18"/>
        <v>1984</v>
      </c>
      <c r="M584" s="27">
        <f t="shared" si="19"/>
        <v>9</v>
      </c>
      <c r="N584" s="27">
        <f t="shared" ca="1" si="21"/>
        <v>42</v>
      </c>
      <c r="O584" s="27" t="str" cm="1">
        <f t="array" ref="O584">_xlfn.IFS($F584&gt;=750,"Excellent",$F584&gt;=700,"Good",$F584&gt;=650,"Moderate",
$F584&lt;650,"Risky"
)</f>
        <v>Good</v>
      </c>
      <c r="P584" s="27" t="str" cm="1">
        <f t="array" ref="P584">_xlfn.IFS(
AND(F584&gt;=750,H584&lt;=2),"Low Risk",
AND(F584&gt;=700,H584&lt;=5),"Medium Risk",
TRUE,"High Risk"
)</f>
        <v>High Risk</v>
      </c>
      <c r="Q584" s="5"/>
      <c r="R584" s="5"/>
      <c r="S584" s="5"/>
      <c r="T584" s="5"/>
      <c r="U584" s="5"/>
      <c r="V584" s="5"/>
      <c r="W584" s="5"/>
      <c r="X584" s="5"/>
      <c r="Y584" s="5"/>
    </row>
    <row r="585" spans="1:25" ht="15.75" customHeight="1" x14ac:dyDescent="0.25">
      <c r="A585" s="2">
        <v>43868</v>
      </c>
      <c r="B585" s="3">
        <v>23446</v>
      </c>
      <c r="C585" s="4" t="s">
        <v>30</v>
      </c>
      <c r="D585" s="4" t="str">
        <f t="shared" si="16"/>
        <v>Operation</v>
      </c>
      <c r="E585" s="4" t="str">
        <f t="shared" si="17"/>
        <v>Director</v>
      </c>
      <c r="F585" s="13">
        <v>728</v>
      </c>
      <c r="G585" s="13">
        <v>2</v>
      </c>
      <c r="H585" s="13">
        <v>6</v>
      </c>
      <c r="I585" s="2">
        <v>32503</v>
      </c>
      <c r="J585" s="15">
        <v>955694</v>
      </c>
      <c r="K585" s="4" t="s">
        <v>21</v>
      </c>
      <c r="L585" s="27">
        <f t="shared" si="18"/>
        <v>1988</v>
      </c>
      <c r="M585" s="27">
        <f t="shared" si="19"/>
        <v>2</v>
      </c>
      <c r="N585" s="27">
        <f t="shared" ca="1" si="21"/>
        <v>38</v>
      </c>
      <c r="O585" s="27" t="str" cm="1">
        <f t="array" ref="O585">_xlfn.IFS($F585&gt;=750,"Excellent",$F585&gt;=700,"Good",$F585&gt;=650,"Moderate",
$F585&lt;650,"Risky"
)</f>
        <v>Good</v>
      </c>
      <c r="P585" s="27" t="str" cm="1">
        <f t="array" ref="P585">_xlfn.IFS(
AND(F585&gt;=750,H585&lt;=2),"Low Risk",
AND(F585&gt;=700,H585&lt;=5),"Medium Risk",
TRUE,"High Risk"
)</f>
        <v>High Risk</v>
      </c>
      <c r="Q585" s="5"/>
      <c r="R585" s="5"/>
      <c r="S585" s="5"/>
      <c r="T585" s="5"/>
      <c r="U585" s="5"/>
      <c r="V585" s="5"/>
      <c r="W585" s="5"/>
      <c r="X585" s="5"/>
      <c r="Y585" s="5"/>
    </row>
    <row r="586" spans="1:25" ht="15.75" customHeight="1" x14ac:dyDescent="0.25">
      <c r="A586" s="2">
        <v>43992</v>
      </c>
      <c r="B586" s="3">
        <v>51340</v>
      </c>
      <c r="C586" s="4" t="s">
        <v>13</v>
      </c>
      <c r="D586" s="4" t="str">
        <f t="shared" si="16"/>
        <v>Marketing</v>
      </c>
      <c r="E586" s="4" t="str">
        <f t="shared" si="17"/>
        <v>Director</v>
      </c>
      <c r="F586" s="13">
        <v>791</v>
      </c>
      <c r="G586" s="13">
        <v>2</v>
      </c>
      <c r="H586" s="13">
        <v>4</v>
      </c>
      <c r="I586" s="2">
        <v>31658</v>
      </c>
      <c r="J586" s="15">
        <v>996288</v>
      </c>
      <c r="K586" s="4" t="s">
        <v>21</v>
      </c>
      <c r="L586" s="27">
        <f t="shared" si="18"/>
        <v>1986</v>
      </c>
      <c r="M586" s="27">
        <f t="shared" si="19"/>
        <v>6</v>
      </c>
      <c r="N586" s="27">
        <f t="shared" ca="1" si="21"/>
        <v>40</v>
      </c>
      <c r="O586" s="27" t="str" cm="1">
        <f t="array" ref="O586">_xlfn.IFS($F586&gt;=750,"Excellent",$F586&gt;=700,"Good",$F586&gt;=650,"Moderate",
$F586&lt;650,"Risky"
)</f>
        <v>Excellent</v>
      </c>
      <c r="P586" s="27" t="str" cm="1">
        <f t="array" ref="P586">_xlfn.IFS(
AND(F586&gt;=750,H586&lt;=2),"Low Risk",
AND(F586&gt;=700,H586&lt;=5),"Medium Risk",
TRUE,"High Risk"
)</f>
        <v>Medium Risk</v>
      </c>
      <c r="Q586" s="5"/>
      <c r="R586" s="5"/>
      <c r="S586" s="5"/>
      <c r="T586" s="5"/>
      <c r="U586" s="5"/>
      <c r="V586" s="5"/>
      <c r="W586" s="5"/>
      <c r="X586" s="5"/>
      <c r="Y586" s="5"/>
    </row>
    <row r="587" spans="1:25" ht="15.75" customHeight="1" x14ac:dyDescent="0.25">
      <c r="A587" s="2">
        <v>44173</v>
      </c>
      <c r="B587" s="3">
        <v>54415</v>
      </c>
      <c r="C587" s="4" t="s">
        <v>24</v>
      </c>
      <c r="D587" s="4" t="str">
        <f t="shared" si="16"/>
        <v>Strategy</v>
      </c>
      <c r="E587" s="4" t="str">
        <f t="shared" si="17"/>
        <v>Intern</v>
      </c>
      <c r="F587" s="13">
        <v>768</v>
      </c>
      <c r="G587" s="13">
        <v>2</v>
      </c>
      <c r="H587" s="13">
        <v>6</v>
      </c>
      <c r="I587" s="2">
        <v>34618</v>
      </c>
      <c r="J587" s="15">
        <v>937051</v>
      </c>
      <c r="K587" s="4" t="s">
        <v>21</v>
      </c>
      <c r="L587" s="27">
        <f t="shared" si="18"/>
        <v>1994</v>
      </c>
      <c r="M587" s="27">
        <f t="shared" si="19"/>
        <v>12</v>
      </c>
      <c r="N587" s="27">
        <f t="shared" ca="1" si="21"/>
        <v>32</v>
      </c>
      <c r="O587" s="27" t="str" cm="1">
        <f t="array" ref="O587">_xlfn.IFS($F587&gt;=750,"Excellent",$F587&gt;=700,"Good",$F587&gt;=650,"Moderate",
$F587&lt;650,"Risky"
)</f>
        <v>Excellent</v>
      </c>
      <c r="P587" s="27" t="str" cm="1">
        <f t="array" ref="P587">_xlfn.IFS(
AND(F587&gt;=750,H587&lt;=2),"Low Risk",
AND(F587&gt;=700,H587&lt;=5),"Medium Risk",
TRUE,"High Risk"
)</f>
        <v>High Risk</v>
      </c>
      <c r="Q587" s="5"/>
      <c r="R587" s="5"/>
      <c r="S587" s="5"/>
      <c r="T587" s="5"/>
      <c r="U587" s="5"/>
      <c r="V587" s="5"/>
      <c r="W587" s="5"/>
      <c r="X587" s="5"/>
      <c r="Y587" s="5"/>
    </row>
    <row r="588" spans="1:25" ht="15.75" customHeight="1" x14ac:dyDescent="0.25">
      <c r="A588" s="2">
        <v>43960</v>
      </c>
      <c r="B588" s="3">
        <v>68804</v>
      </c>
      <c r="C588" s="4" t="s">
        <v>25</v>
      </c>
      <c r="D588" s="4" t="str">
        <f t="shared" si="16"/>
        <v>Sales</v>
      </c>
      <c r="E588" s="4" t="str">
        <f t="shared" si="17"/>
        <v>Manager</v>
      </c>
      <c r="F588" s="13">
        <v>728</v>
      </c>
      <c r="G588" s="13">
        <v>1</v>
      </c>
      <c r="H588" s="13">
        <v>9</v>
      </c>
      <c r="I588" s="2">
        <v>32178</v>
      </c>
      <c r="J588" s="15">
        <v>979646</v>
      </c>
      <c r="K588" s="4" t="s">
        <v>18</v>
      </c>
      <c r="L588" s="27">
        <f t="shared" si="18"/>
        <v>1988</v>
      </c>
      <c r="M588" s="27">
        <f t="shared" si="19"/>
        <v>5</v>
      </c>
      <c r="N588" s="27">
        <f t="shared" ca="1" si="21"/>
        <v>38</v>
      </c>
      <c r="O588" s="27" t="str" cm="1">
        <f t="array" ref="O588">_xlfn.IFS($F588&gt;=750,"Excellent",$F588&gt;=700,"Good",$F588&gt;=650,"Moderate",
$F588&lt;650,"Risky"
)</f>
        <v>Good</v>
      </c>
      <c r="P588" s="27" t="str" cm="1">
        <f t="array" ref="P588">_xlfn.IFS(
AND(F588&gt;=750,H588&lt;=2),"Low Risk",
AND(F588&gt;=700,H588&lt;=5),"Medium Risk",
TRUE,"High Risk"
)</f>
        <v>High Risk</v>
      </c>
      <c r="Q588" s="5"/>
      <c r="R588" s="5"/>
      <c r="S588" s="5"/>
      <c r="T588" s="5"/>
      <c r="U588" s="5"/>
      <c r="V588" s="5"/>
      <c r="W588" s="5"/>
      <c r="X588" s="5"/>
      <c r="Y588" s="5"/>
    </row>
    <row r="589" spans="1:25" ht="15.75" customHeight="1" x14ac:dyDescent="0.25">
      <c r="A589" s="2">
        <v>43968</v>
      </c>
      <c r="B589" s="3">
        <v>73497</v>
      </c>
      <c r="C589" s="4" t="s">
        <v>35</v>
      </c>
      <c r="D589" s="4" t="str">
        <f t="shared" si="16"/>
        <v>Growth</v>
      </c>
      <c r="E589" s="4" t="str">
        <f t="shared" si="17"/>
        <v>Intern</v>
      </c>
      <c r="F589" s="13">
        <v>701</v>
      </c>
      <c r="G589" s="13">
        <v>4</v>
      </c>
      <c r="H589" s="13">
        <v>6</v>
      </c>
      <c r="I589" s="2">
        <v>34413</v>
      </c>
      <c r="J589" s="15">
        <v>502276</v>
      </c>
      <c r="K589" s="4" t="s">
        <v>21</v>
      </c>
      <c r="L589" s="27">
        <f t="shared" si="18"/>
        <v>1994</v>
      </c>
      <c r="M589" s="27">
        <f t="shared" si="19"/>
        <v>5</v>
      </c>
      <c r="N589" s="27">
        <f t="shared" ca="1" si="21"/>
        <v>32</v>
      </c>
      <c r="O589" s="27" t="str" cm="1">
        <f t="array" ref="O589">_xlfn.IFS($F589&gt;=750,"Excellent",$F589&gt;=700,"Good",$F589&gt;=650,"Moderate",
$F589&lt;650,"Risky"
)</f>
        <v>Good</v>
      </c>
      <c r="P589" s="27" t="str" cm="1">
        <f t="array" ref="P589">_xlfn.IFS(
AND(F589&gt;=750,H589&lt;=2),"Low Risk",
AND(F589&gt;=700,H589&lt;=5),"Medium Risk",
TRUE,"High Risk"
)</f>
        <v>High Risk</v>
      </c>
      <c r="Q589" s="5"/>
      <c r="R589" s="5"/>
      <c r="S589" s="5"/>
      <c r="T589" s="5"/>
      <c r="U589" s="5"/>
      <c r="V589" s="5"/>
      <c r="W589" s="5"/>
      <c r="X589" s="5"/>
      <c r="Y589" s="5"/>
    </row>
    <row r="590" spans="1:25" ht="15.75" customHeight="1" x14ac:dyDescent="0.25">
      <c r="A590" s="2">
        <v>44149</v>
      </c>
      <c r="B590" s="3">
        <v>25084</v>
      </c>
      <c r="C590" s="4" t="s">
        <v>36</v>
      </c>
      <c r="D590" s="4" t="str">
        <f t="shared" si="16"/>
        <v>Sales</v>
      </c>
      <c r="E590" s="4" t="str">
        <f t="shared" si="17"/>
        <v>Intern</v>
      </c>
      <c r="F590" s="13">
        <v>710</v>
      </c>
      <c r="G590" s="13">
        <v>4</v>
      </c>
      <c r="H590" s="13">
        <v>8</v>
      </c>
      <c r="I590" s="2">
        <v>30320</v>
      </c>
      <c r="J590" s="15">
        <v>709198</v>
      </c>
      <c r="K590" s="4" t="s">
        <v>21</v>
      </c>
      <c r="L590" s="27">
        <f t="shared" si="18"/>
        <v>1983</v>
      </c>
      <c r="M590" s="27">
        <f t="shared" si="19"/>
        <v>11</v>
      </c>
      <c r="N590" s="27">
        <f t="shared" ca="1" si="21"/>
        <v>43</v>
      </c>
      <c r="O590" s="27" t="str" cm="1">
        <f t="array" ref="O590">_xlfn.IFS($F590&gt;=750,"Excellent",$F590&gt;=700,"Good",$F590&gt;=650,"Moderate",
$F590&lt;650,"Risky"
)</f>
        <v>Good</v>
      </c>
      <c r="P590" s="27" t="str" cm="1">
        <f t="array" ref="P590">_xlfn.IFS(
AND(F590&gt;=750,H590&lt;=2),"Low Risk",
AND(F590&gt;=700,H590&lt;=5),"Medium Risk",
TRUE,"High Risk"
)</f>
        <v>High Risk</v>
      </c>
      <c r="Q590" s="5"/>
      <c r="R590" s="5"/>
      <c r="S590" s="5"/>
      <c r="T590" s="5"/>
      <c r="U590" s="5"/>
      <c r="V590" s="5"/>
      <c r="W590" s="5"/>
      <c r="X590" s="5"/>
      <c r="Y590" s="5"/>
    </row>
    <row r="591" spans="1:25" ht="15.75" customHeight="1" x14ac:dyDescent="0.25">
      <c r="A591" s="2">
        <v>44106</v>
      </c>
      <c r="B591" s="3">
        <v>52248</v>
      </c>
      <c r="C591" s="4" t="s">
        <v>30</v>
      </c>
      <c r="D591" s="4" t="str">
        <f t="shared" si="16"/>
        <v>Operation</v>
      </c>
      <c r="E591" s="4" t="str">
        <f t="shared" si="17"/>
        <v>Director</v>
      </c>
      <c r="F591" s="13">
        <v>718</v>
      </c>
      <c r="G591" s="13">
        <v>4</v>
      </c>
      <c r="H591" s="13">
        <v>10</v>
      </c>
      <c r="I591" s="2">
        <v>34667</v>
      </c>
      <c r="J591" s="15">
        <v>518945</v>
      </c>
      <c r="K591" s="4" t="s">
        <v>21</v>
      </c>
      <c r="L591" s="27">
        <f t="shared" si="18"/>
        <v>1994</v>
      </c>
      <c r="M591" s="27">
        <f t="shared" si="19"/>
        <v>10</v>
      </c>
      <c r="N591" s="27">
        <f t="shared" ca="1" si="21"/>
        <v>32</v>
      </c>
      <c r="O591" s="27" t="str" cm="1">
        <f t="array" ref="O591">_xlfn.IFS($F591&gt;=750,"Excellent",$F591&gt;=700,"Good",$F591&gt;=650,"Moderate",
$F591&lt;650,"Risky"
)</f>
        <v>Good</v>
      </c>
      <c r="P591" s="27" t="str" cm="1">
        <f t="array" ref="P591">_xlfn.IFS(
AND(F591&gt;=750,H591&lt;=2),"Low Risk",
AND(F591&gt;=700,H591&lt;=5),"Medium Risk",
TRUE,"High Risk"
)</f>
        <v>High Risk</v>
      </c>
      <c r="Q591" s="5"/>
      <c r="R591" s="5"/>
      <c r="S591" s="5"/>
      <c r="T591" s="5"/>
      <c r="U591" s="5"/>
      <c r="V591" s="5"/>
      <c r="W591" s="5"/>
      <c r="X591" s="5"/>
      <c r="Y591" s="5"/>
    </row>
    <row r="592" spans="1:25" ht="15.75" customHeight="1" x14ac:dyDescent="0.25">
      <c r="A592" s="2">
        <v>44087</v>
      </c>
      <c r="B592" s="3">
        <v>44776</v>
      </c>
      <c r="C592" s="4" t="s">
        <v>19</v>
      </c>
      <c r="D592" s="4" t="str">
        <f t="shared" si="16"/>
        <v>Marketing</v>
      </c>
      <c r="E592" s="4" t="str">
        <f t="shared" si="17"/>
        <v>Manager</v>
      </c>
      <c r="F592" s="13">
        <v>760</v>
      </c>
      <c r="G592" s="13">
        <v>3</v>
      </c>
      <c r="H592" s="13">
        <v>2</v>
      </c>
      <c r="I592" s="2">
        <v>29326</v>
      </c>
      <c r="J592" s="15">
        <v>992207</v>
      </c>
      <c r="K592" s="4" t="s">
        <v>18</v>
      </c>
      <c r="L592" s="27">
        <f t="shared" si="18"/>
        <v>1980</v>
      </c>
      <c r="M592" s="27">
        <f t="shared" si="19"/>
        <v>9</v>
      </c>
      <c r="N592" s="27">
        <f t="shared" ca="1" si="21"/>
        <v>46</v>
      </c>
      <c r="O592" s="27" t="str" cm="1">
        <f t="array" ref="O592">_xlfn.IFS($F592&gt;=750,"Excellent",$F592&gt;=700,"Good",$F592&gt;=650,"Moderate",
$F592&lt;650,"Risky"
)</f>
        <v>Excellent</v>
      </c>
      <c r="P592" s="27" t="str" cm="1">
        <f t="array" ref="P592">_xlfn.IFS(
AND(F592&gt;=750,H592&lt;=2),"Low Risk",
AND(F592&gt;=700,H592&lt;=5),"Medium Risk",
TRUE,"High Risk"
)</f>
        <v>Low Risk</v>
      </c>
      <c r="Q592" s="5"/>
      <c r="R592" s="5"/>
      <c r="S592" s="5"/>
      <c r="T592" s="5"/>
      <c r="U592" s="5"/>
      <c r="V592" s="5"/>
      <c r="W592" s="5"/>
      <c r="X592" s="5"/>
      <c r="Y592" s="5"/>
    </row>
    <row r="593" spans="1:25" ht="15.75" customHeight="1" x14ac:dyDescent="0.25">
      <c r="A593" s="2">
        <v>44082</v>
      </c>
      <c r="B593" s="3">
        <v>93333</v>
      </c>
      <c r="C593" s="4" t="s">
        <v>13</v>
      </c>
      <c r="D593" s="4" t="str">
        <f t="shared" si="16"/>
        <v>Marketing</v>
      </c>
      <c r="E593" s="4" t="str">
        <f t="shared" si="17"/>
        <v>Director</v>
      </c>
      <c r="F593" s="13">
        <v>724</v>
      </c>
      <c r="G593" s="13">
        <v>4</v>
      </c>
      <c r="H593" s="13">
        <v>2</v>
      </c>
      <c r="I593" s="2">
        <v>30988</v>
      </c>
      <c r="J593" s="15">
        <v>550209</v>
      </c>
      <c r="K593" s="4" t="s">
        <v>18</v>
      </c>
      <c r="L593" s="27">
        <f t="shared" si="18"/>
        <v>1984</v>
      </c>
      <c r="M593" s="27">
        <f t="shared" si="19"/>
        <v>9</v>
      </c>
      <c r="N593" s="27">
        <f t="shared" ca="1" si="21"/>
        <v>42</v>
      </c>
      <c r="O593" s="27" t="str" cm="1">
        <f t="array" ref="O593">_xlfn.IFS($F593&gt;=750,"Excellent",$F593&gt;=700,"Good",$F593&gt;=650,"Moderate",
$F593&lt;650,"Risky"
)</f>
        <v>Good</v>
      </c>
      <c r="P593" s="27" t="str" cm="1">
        <f t="array" ref="P593">_xlfn.IFS(
AND(F593&gt;=750,H593&lt;=2),"Low Risk",
AND(F593&gt;=700,H593&lt;=5),"Medium Risk",
TRUE,"High Risk"
)</f>
        <v>Medium Risk</v>
      </c>
      <c r="Q593" s="5"/>
      <c r="R593" s="5"/>
      <c r="S593" s="5"/>
      <c r="T593" s="5"/>
      <c r="U593" s="5"/>
      <c r="V593" s="5"/>
      <c r="W593" s="5"/>
      <c r="X593" s="5"/>
      <c r="Y593" s="5"/>
    </row>
    <row r="594" spans="1:25" ht="15.75" customHeight="1" x14ac:dyDescent="0.25">
      <c r="A594" s="2">
        <v>43946</v>
      </c>
      <c r="B594" s="3">
        <v>94017</v>
      </c>
      <c r="C594" s="4" t="s">
        <v>13</v>
      </c>
      <c r="D594" s="4" t="str">
        <f t="shared" si="16"/>
        <v>Marketing</v>
      </c>
      <c r="E594" s="4" t="str">
        <f t="shared" si="17"/>
        <v>Director</v>
      </c>
      <c r="F594" s="13">
        <v>772</v>
      </c>
      <c r="G594" s="13">
        <v>4</v>
      </c>
      <c r="H594" s="13">
        <v>1</v>
      </c>
      <c r="I594" s="2">
        <v>30723</v>
      </c>
      <c r="J594" s="15">
        <v>717167</v>
      </c>
      <c r="K594" s="4" t="s">
        <v>14</v>
      </c>
      <c r="L594" s="27">
        <f t="shared" si="18"/>
        <v>1984</v>
      </c>
      <c r="M594" s="27">
        <f t="shared" si="19"/>
        <v>4</v>
      </c>
      <c r="N594" s="27">
        <f t="shared" ca="1" si="21"/>
        <v>42</v>
      </c>
      <c r="O594" s="27" t="str" cm="1">
        <f t="array" ref="O594">_xlfn.IFS($F594&gt;=750,"Excellent",$F594&gt;=700,"Good",$F594&gt;=650,"Moderate",
$F594&lt;650,"Risky"
)</f>
        <v>Excellent</v>
      </c>
      <c r="P594" s="27" t="str" cm="1">
        <f t="array" ref="P594">_xlfn.IFS(
AND(F594&gt;=750,H594&lt;=2),"Low Risk",
AND(F594&gt;=700,H594&lt;=5),"Medium Risk",
TRUE,"High Risk"
)</f>
        <v>Low Risk</v>
      </c>
      <c r="Q594" s="5"/>
      <c r="R594" s="5"/>
      <c r="S594" s="5"/>
      <c r="T594" s="5"/>
      <c r="U594" s="5"/>
      <c r="V594" s="5"/>
      <c r="W594" s="5"/>
      <c r="X594" s="5"/>
      <c r="Y594" s="5"/>
    </row>
    <row r="595" spans="1:25" ht="15.75" customHeight="1" x14ac:dyDescent="0.25">
      <c r="A595" s="2">
        <v>44091</v>
      </c>
      <c r="B595" s="3">
        <v>76777</v>
      </c>
      <c r="C595" s="4" t="s">
        <v>25</v>
      </c>
      <c r="D595" s="4" t="str">
        <f t="shared" si="16"/>
        <v>Sales</v>
      </c>
      <c r="E595" s="4" t="str">
        <f t="shared" si="17"/>
        <v>Manager</v>
      </c>
      <c r="F595" s="13">
        <v>747</v>
      </c>
      <c r="G595" s="13">
        <v>1</v>
      </c>
      <c r="H595" s="13">
        <v>6</v>
      </c>
      <c r="I595" s="2">
        <v>32584</v>
      </c>
      <c r="J595" s="15">
        <v>851702</v>
      </c>
      <c r="K595" s="4" t="s">
        <v>18</v>
      </c>
      <c r="L595" s="27">
        <f t="shared" si="18"/>
        <v>1989</v>
      </c>
      <c r="M595" s="27">
        <f t="shared" si="19"/>
        <v>9</v>
      </c>
      <c r="N595" s="27">
        <f t="shared" ca="1" si="21"/>
        <v>37</v>
      </c>
      <c r="O595" s="27" t="str" cm="1">
        <f t="array" ref="O595">_xlfn.IFS($F595&gt;=750,"Excellent",$F595&gt;=700,"Good",$F595&gt;=650,"Moderate",
$F595&lt;650,"Risky"
)</f>
        <v>Good</v>
      </c>
      <c r="P595" s="27" t="str" cm="1">
        <f t="array" ref="P595">_xlfn.IFS(
AND(F595&gt;=750,H595&lt;=2),"Low Risk",
AND(F595&gt;=700,H595&lt;=5),"Medium Risk",
TRUE,"High Risk"
)</f>
        <v>High Risk</v>
      </c>
      <c r="Q595" s="5"/>
      <c r="R595" s="5"/>
      <c r="S595" s="5"/>
      <c r="T595" s="5"/>
      <c r="U595" s="5"/>
      <c r="V595" s="5"/>
      <c r="W595" s="5"/>
      <c r="X595" s="5"/>
      <c r="Y595" s="5"/>
    </row>
    <row r="596" spans="1:25" ht="15.75" customHeight="1" x14ac:dyDescent="0.25">
      <c r="A596" s="2">
        <v>43886</v>
      </c>
      <c r="B596" s="3">
        <v>13962</v>
      </c>
      <c r="C596" s="4" t="s">
        <v>24</v>
      </c>
      <c r="D596" s="4" t="str">
        <f t="shared" si="16"/>
        <v>Strategy</v>
      </c>
      <c r="E596" s="4" t="str">
        <f t="shared" si="17"/>
        <v>Intern</v>
      </c>
      <c r="F596" s="13">
        <v>728</v>
      </c>
      <c r="G596" s="13">
        <v>3</v>
      </c>
      <c r="H596" s="13">
        <v>1</v>
      </c>
      <c r="I596" s="2">
        <v>32212</v>
      </c>
      <c r="J596" s="15">
        <v>699753</v>
      </c>
      <c r="K596" s="4" t="s">
        <v>18</v>
      </c>
      <c r="L596" s="27">
        <f t="shared" si="18"/>
        <v>1988</v>
      </c>
      <c r="M596" s="27">
        <f t="shared" si="19"/>
        <v>2</v>
      </c>
      <c r="N596" s="27">
        <f t="shared" ca="1" si="21"/>
        <v>38</v>
      </c>
      <c r="O596" s="27" t="str" cm="1">
        <f t="array" ref="O596">_xlfn.IFS($F596&gt;=750,"Excellent",$F596&gt;=700,"Good",$F596&gt;=650,"Moderate",
$F596&lt;650,"Risky"
)</f>
        <v>Good</v>
      </c>
      <c r="P596" s="27" t="str" cm="1">
        <f t="array" ref="P596">_xlfn.IFS(
AND(F596&gt;=750,H596&lt;=2),"Low Risk",
AND(F596&gt;=700,H596&lt;=5),"Medium Risk",
TRUE,"High Risk"
)</f>
        <v>Medium Risk</v>
      </c>
      <c r="Q596" s="5"/>
      <c r="R596" s="5"/>
      <c r="S596" s="5"/>
      <c r="T596" s="5"/>
      <c r="U596" s="5"/>
      <c r="V596" s="5"/>
      <c r="W596" s="5"/>
      <c r="X596" s="5"/>
      <c r="Y596" s="5"/>
    </row>
    <row r="597" spans="1:25" ht="15.75" customHeight="1" x14ac:dyDescent="0.25">
      <c r="A597" s="2">
        <v>44156</v>
      </c>
      <c r="B597" s="3">
        <v>25311</v>
      </c>
      <c r="C597" s="4" t="s">
        <v>15</v>
      </c>
      <c r="D597" s="4" t="str">
        <f t="shared" si="16"/>
        <v>Operation</v>
      </c>
      <c r="E597" s="4" t="str">
        <f t="shared" si="17"/>
        <v>Executive</v>
      </c>
      <c r="F597" s="13">
        <v>748</v>
      </c>
      <c r="G597" s="13">
        <v>4</v>
      </c>
      <c r="H597" s="13">
        <v>3</v>
      </c>
      <c r="I597" s="2">
        <v>33562</v>
      </c>
      <c r="J597" s="15">
        <v>826757</v>
      </c>
      <c r="K597" s="4" t="s">
        <v>18</v>
      </c>
      <c r="L597" s="27">
        <f t="shared" si="18"/>
        <v>1991</v>
      </c>
      <c r="M597" s="27">
        <f t="shared" si="19"/>
        <v>11</v>
      </c>
      <c r="N597" s="27">
        <f t="shared" ca="1" si="21"/>
        <v>35</v>
      </c>
      <c r="O597" s="27" t="str" cm="1">
        <f t="array" ref="O597">_xlfn.IFS($F597&gt;=750,"Excellent",$F597&gt;=700,"Good",$F597&gt;=650,"Moderate",
$F597&lt;650,"Risky"
)</f>
        <v>Good</v>
      </c>
      <c r="P597" s="27" t="str" cm="1">
        <f t="array" ref="P597">_xlfn.IFS(
AND(F597&gt;=750,H597&lt;=2),"Low Risk",
AND(F597&gt;=700,H597&lt;=5),"Medium Risk",
TRUE,"High Risk"
)</f>
        <v>Medium Risk</v>
      </c>
      <c r="Q597" s="5"/>
      <c r="R597" s="5"/>
      <c r="S597" s="5"/>
      <c r="T597" s="5"/>
      <c r="U597" s="5"/>
      <c r="V597" s="5"/>
      <c r="W597" s="5"/>
      <c r="X597" s="5"/>
      <c r="Y597" s="5"/>
    </row>
    <row r="598" spans="1:25" ht="15.75" customHeight="1" x14ac:dyDescent="0.25">
      <c r="A598" s="2">
        <v>44038</v>
      </c>
      <c r="B598" s="3">
        <v>24638</v>
      </c>
      <c r="C598" s="4" t="s">
        <v>34</v>
      </c>
      <c r="D598" s="4" t="str">
        <f t="shared" si="16"/>
        <v>Finance</v>
      </c>
      <c r="E598" s="4" t="str">
        <f t="shared" si="17"/>
        <v>Director</v>
      </c>
      <c r="F598" s="13">
        <v>779</v>
      </c>
      <c r="G598" s="13">
        <v>5</v>
      </c>
      <c r="H598" s="13">
        <v>7</v>
      </c>
      <c r="I598" s="2">
        <v>31765</v>
      </c>
      <c r="J598" s="15">
        <v>701070</v>
      </c>
      <c r="K598" s="4" t="s">
        <v>21</v>
      </c>
      <c r="L598" s="27">
        <f t="shared" si="18"/>
        <v>1986</v>
      </c>
      <c r="M598" s="27">
        <f t="shared" si="19"/>
        <v>7</v>
      </c>
      <c r="N598" s="27">
        <f t="shared" ca="1" si="21"/>
        <v>40</v>
      </c>
      <c r="O598" s="27" t="str" cm="1">
        <f t="array" ref="O598">_xlfn.IFS($F598&gt;=750,"Excellent",$F598&gt;=700,"Good",$F598&gt;=650,"Moderate",
$F598&lt;650,"Risky"
)</f>
        <v>Excellent</v>
      </c>
      <c r="P598" s="27" t="str" cm="1">
        <f t="array" ref="P598">_xlfn.IFS(
AND(F598&gt;=750,H598&lt;=2),"Low Risk",
AND(F598&gt;=700,H598&lt;=5),"Medium Risk",
TRUE,"High Risk"
)</f>
        <v>High Risk</v>
      </c>
      <c r="Q598" s="5"/>
      <c r="R598" s="5"/>
      <c r="S598" s="5"/>
      <c r="T598" s="5"/>
      <c r="U598" s="5"/>
      <c r="V598" s="5"/>
      <c r="W598" s="5"/>
      <c r="X598" s="5"/>
      <c r="Y598" s="5"/>
    </row>
    <row r="599" spans="1:25" ht="15.75" customHeight="1" x14ac:dyDescent="0.25">
      <c r="A599" s="2">
        <v>43990</v>
      </c>
      <c r="B599" s="3">
        <v>24920</v>
      </c>
      <c r="C599" s="4" t="s">
        <v>39</v>
      </c>
      <c r="D599" s="4" t="str">
        <f t="shared" si="16"/>
        <v>Growth</v>
      </c>
      <c r="E599" s="4" t="str">
        <f t="shared" si="17"/>
        <v>Executive</v>
      </c>
      <c r="F599" s="13">
        <v>778</v>
      </c>
      <c r="G599" s="13">
        <v>5</v>
      </c>
      <c r="H599" s="13">
        <v>8</v>
      </c>
      <c r="I599" s="2">
        <v>30912</v>
      </c>
      <c r="J599" s="15">
        <v>901164</v>
      </c>
      <c r="K599" s="4" t="s">
        <v>18</v>
      </c>
      <c r="L599" s="27">
        <f t="shared" si="18"/>
        <v>1984</v>
      </c>
      <c r="M599" s="27">
        <f t="shared" si="19"/>
        <v>6</v>
      </c>
      <c r="N599" s="27">
        <f t="shared" ca="1" si="21"/>
        <v>42</v>
      </c>
      <c r="O599" s="27" t="str" cm="1">
        <f t="array" ref="O599">_xlfn.IFS($F599&gt;=750,"Excellent",$F599&gt;=700,"Good",$F599&gt;=650,"Moderate",
$F599&lt;650,"Risky"
)</f>
        <v>Excellent</v>
      </c>
      <c r="P599" s="27" t="str" cm="1">
        <f t="array" ref="P599">_xlfn.IFS(
AND(F599&gt;=750,H599&lt;=2),"Low Risk",
AND(F599&gt;=700,H599&lt;=5),"Medium Risk",
TRUE,"High Risk"
)</f>
        <v>High Risk</v>
      </c>
      <c r="Q599" s="5"/>
      <c r="R599" s="5"/>
      <c r="S599" s="5"/>
      <c r="T599" s="5"/>
      <c r="U599" s="5"/>
      <c r="V599" s="5"/>
      <c r="W599" s="5"/>
      <c r="X599" s="5"/>
      <c r="Y599" s="5"/>
    </row>
    <row r="600" spans="1:25" ht="15.75" customHeight="1" x14ac:dyDescent="0.25">
      <c r="A600" s="2">
        <v>44172</v>
      </c>
      <c r="B600" s="3">
        <v>18601</v>
      </c>
      <c r="C600" s="4" t="s">
        <v>35</v>
      </c>
      <c r="D600" s="4" t="str">
        <f t="shared" si="16"/>
        <v>Growth</v>
      </c>
      <c r="E600" s="4" t="str">
        <f t="shared" si="17"/>
        <v>Intern</v>
      </c>
      <c r="F600" s="13">
        <v>702</v>
      </c>
      <c r="G600" s="13">
        <v>2</v>
      </c>
      <c r="H600" s="13">
        <v>8</v>
      </c>
      <c r="I600" s="2">
        <v>30827</v>
      </c>
      <c r="J600" s="15">
        <v>701342</v>
      </c>
      <c r="K600" s="4" t="s">
        <v>21</v>
      </c>
      <c r="L600" s="27">
        <f t="shared" si="18"/>
        <v>1984</v>
      </c>
      <c r="M600" s="27">
        <f t="shared" si="19"/>
        <v>12</v>
      </c>
      <c r="N600" s="27">
        <f t="shared" ca="1" si="21"/>
        <v>42</v>
      </c>
      <c r="O600" s="27" t="str" cm="1">
        <f t="array" ref="O600">_xlfn.IFS($F600&gt;=750,"Excellent",$F600&gt;=700,"Good",$F600&gt;=650,"Moderate",
$F600&lt;650,"Risky"
)</f>
        <v>Good</v>
      </c>
      <c r="P600" s="27" t="str" cm="1">
        <f t="array" ref="P600">_xlfn.IFS(
AND(F600&gt;=750,H600&lt;=2),"Low Risk",
AND(F600&gt;=700,H600&lt;=5),"Medium Risk",
TRUE,"High Risk"
)</f>
        <v>High Risk</v>
      </c>
      <c r="Q600" s="5"/>
      <c r="R600" s="5"/>
      <c r="S600" s="5"/>
      <c r="T600" s="5"/>
      <c r="U600" s="5"/>
      <c r="V600" s="5"/>
      <c r="W600" s="5"/>
      <c r="X600" s="5"/>
      <c r="Y600" s="5"/>
    </row>
    <row r="601" spans="1:25" ht="15.75" customHeight="1" x14ac:dyDescent="0.25">
      <c r="A601" s="2">
        <v>43922</v>
      </c>
      <c r="B601" s="3">
        <v>47369</v>
      </c>
      <c r="C601" s="4" t="s">
        <v>33</v>
      </c>
      <c r="D601" s="4" t="str">
        <f t="shared" si="16"/>
        <v>Sales</v>
      </c>
      <c r="E601" s="4" t="str">
        <f t="shared" si="17"/>
        <v>Executive</v>
      </c>
      <c r="F601" s="13">
        <v>748</v>
      </c>
      <c r="G601" s="13">
        <v>5</v>
      </c>
      <c r="H601" s="13">
        <v>9</v>
      </c>
      <c r="I601" s="2">
        <v>29909</v>
      </c>
      <c r="J601" s="15">
        <v>936650</v>
      </c>
      <c r="K601" s="4" t="s">
        <v>14</v>
      </c>
      <c r="L601" s="27">
        <f t="shared" si="18"/>
        <v>1981</v>
      </c>
      <c r="M601" s="27">
        <f t="shared" si="19"/>
        <v>4</v>
      </c>
      <c r="N601" s="27">
        <f t="shared" ca="1" si="21"/>
        <v>45</v>
      </c>
      <c r="O601" s="27" t="str" cm="1">
        <f t="array" ref="O601">_xlfn.IFS($F601&gt;=750,"Excellent",$F601&gt;=700,"Good",$F601&gt;=650,"Moderate",
$F601&lt;650,"Risky"
)</f>
        <v>Good</v>
      </c>
      <c r="P601" s="27" t="str" cm="1">
        <f t="array" ref="P601">_xlfn.IFS(
AND(F601&gt;=750,H601&lt;=2),"Low Risk",
AND(F601&gt;=700,H601&lt;=5),"Medium Risk",
TRUE,"High Risk"
)</f>
        <v>High Risk</v>
      </c>
      <c r="Q601" s="5"/>
      <c r="R601" s="5"/>
      <c r="S601" s="5"/>
      <c r="T601" s="5"/>
      <c r="U601" s="5"/>
      <c r="V601" s="5"/>
      <c r="W601" s="5"/>
      <c r="X601" s="5"/>
      <c r="Y601" s="5"/>
    </row>
    <row r="602" spans="1:25" ht="15.75" customHeight="1" x14ac:dyDescent="0.25">
      <c r="A602" s="2">
        <v>43948</v>
      </c>
      <c r="B602" s="3">
        <v>25737</v>
      </c>
      <c r="C602" s="4" t="s">
        <v>24</v>
      </c>
      <c r="D602" s="4" t="str">
        <f t="shared" si="16"/>
        <v>Strategy</v>
      </c>
      <c r="E602" s="4" t="str">
        <f t="shared" si="17"/>
        <v>Intern</v>
      </c>
      <c r="F602" s="13">
        <v>732</v>
      </c>
      <c r="G602" s="13">
        <v>3</v>
      </c>
      <c r="H602" s="13">
        <v>9</v>
      </c>
      <c r="I602" s="2">
        <v>31564</v>
      </c>
      <c r="J602" s="15">
        <v>805788</v>
      </c>
      <c r="K602" s="4" t="s">
        <v>21</v>
      </c>
      <c r="L602" s="27">
        <f t="shared" si="18"/>
        <v>1986</v>
      </c>
      <c r="M602" s="27">
        <f t="shared" si="19"/>
        <v>4</v>
      </c>
      <c r="N602" s="27">
        <f t="shared" ca="1" si="21"/>
        <v>40</v>
      </c>
      <c r="O602" s="27" t="str" cm="1">
        <f t="array" ref="O602">_xlfn.IFS($F602&gt;=750,"Excellent",$F602&gt;=700,"Good",$F602&gt;=650,"Moderate",
$F602&lt;650,"Risky"
)</f>
        <v>Good</v>
      </c>
      <c r="P602" s="27" t="str" cm="1">
        <f t="array" ref="P602">_xlfn.IFS(
AND(F602&gt;=750,H602&lt;=2),"Low Risk",
AND(F602&gt;=700,H602&lt;=5),"Medium Risk",
TRUE,"High Risk"
)</f>
        <v>High Risk</v>
      </c>
      <c r="Q602" s="5"/>
      <c r="R602" s="5"/>
      <c r="S602" s="5"/>
      <c r="T602" s="5"/>
      <c r="U602" s="5"/>
      <c r="V602" s="5"/>
      <c r="W602" s="5"/>
      <c r="X602" s="5"/>
      <c r="Y602" s="5"/>
    </row>
    <row r="603" spans="1:25" ht="15.75" customHeight="1" x14ac:dyDescent="0.25">
      <c r="A603" s="2">
        <v>44062</v>
      </c>
      <c r="B603" s="3">
        <v>66512</v>
      </c>
      <c r="C603" s="4" t="s">
        <v>19</v>
      </c>
      <c r="D603" s="4" t="str">
        <f t="shared" si="16"/>
        <v>Marketing</v>
      </c>
      <c r="E603" s="4" t="str">
        <f t="shared" si="17"/>
        <v>Manager</v>
      </c>
      <c r="F603" s="13">
        <v>721</v>
      </c>
      <c r="G603" s="13">
        <v>2</v>
      </c>
      <c r="H603" s="13">
        <v>1</v>
      </c>
      <c r="I603" s="2">
        <v>30731</v>
      </c>
      <c r="J603" s="15">
        <v>995024</v>
      </c>
      <c r="K603" s="4" t="s">
        <v>21</v>
      </c>
      <c r="L603" s="27">
        <f t="shared" si="18"/>
        <v>1984</v>
      </c>
      <c r="M603" s="27">
        <f t="shared" si="19"/>
        <v>8</v>
      </c>
      <c r="N603" s="27">
        <f t="shared" ca="1" si="21"/>
        <v>42</v>
      </c>
      <c r="O603" s="27" t="str" cm="1">
        <f t="array" ref="O603">_xlfn.IFS($F603&gt;=750,"Excellent",$F603&gt;=700,"Good",$F603&gt;=650,"Moderate",
$F603&lt;650,"Risky"
)</f>
        <v>Good</v>
      </c>
      <c r="P603" s="27" t="str" cm="1">
        <f t="array" ref="P603">_xlfn.IFS(
AND(F603&gt;=750,H603&lt;=2),"Low Risk",
AND(F603&gt;=700,H603&lt;=5),"Medium Risk",
TRUE,"High Risk"
)</f>
        <v>Medium Risk</v>
      </c>
      <c r="Q603" s="5"/>
      <c r="R603" s="5"/>
      <c r="S603" s="5"/>
      <c r="T603" s="5"/>
      <c r="U603" s="5"/>
      <c r="V603" s="5"/>
      <c r="W603" s="5"/>
      <c r="X603" s="5"/>
      <c r="Y603" s="5"/>
    </row>
    <row r="604" spans="1:25" ht="15.75" customHeight="1" x14ac:dyDescent="0.25">
      <c r="A604" s="2">
        <v>44011</v>
      </c>
      <c r="B604" s="3">
        <v>12037</v>
      </c>
      <c r="C604" s="4" t="s">
        <v>32</v>
      </c>
      <c r="D604" s="4" t="str">
        <f t="shared" si="16"/>
        <v>Finance</v>
      </c>
      <c r="E604" s="4" t="str">
        <f t="shared" si="17"/>
        <v>Executive</v>
      </c>
      <c r="F604" s="13">
        <v>775</v>
      </c>
      <c r="G604" s="13">
        <v>2</v>
      </c>
      <c r="H604" s="13">
        <v>8</v>
      </c>
      <c r="I604" s="2">
        <v>32869</v>
      </c>
      <c r="J604" s="15">
        <v>539159</v>
      </c>
      <c r="K604" s="4" t="s">
        <v>21</v>
      </c>
      <c r="L604" s="27">
        <f t="shared" si="18"/>
        <v>1989</v>
      </c>
      <c r="M604" s="27">
        <f t="shared" si="19"/>
        <v>6</v>
      </c>
      <c r="N604" s="27">
        <f t="shared" ca="1" si="21"/>
        <v>37</v>
      </c>
      <c r="O604" s="27" t="str" cm="1">
        <f t="array" ref="O604">_xlfn.IFS($F604&gt;=750,"Excellent",$F604&gt;=700,"Good",$F604&gt;=650,"Moderate",
$F604&lt;650,"Risky"
)</f>
        <v>Excellent</v>
      </c>
      <c r="P604" s="27" t="str" cm="1">
        <f t="array" ref="P604">_xlfn.IFS(
AND(F604&gt;=750,H604&lt;=2),"Low Risk",
AND(F604&gt;=700,H604&lt;=5),"Medium Risk",
TRUE,"High Risk"
)</f>
        <v>High Risk</v>
      </c>
      <c r="Q604" s="5"/>
      <c r="R604" s="5"/>
      <c r="S604" s="5"/>
      <c r="T604" s="5"/>
      <c r="U604" s="5"/>
      <c r="V604" s="5"/>
      <c r="W604" s="5"/>
      <c r="X604" s="5"/>
      <c r="Y604" s="5"/>
    </row>
    <row r="605" spans="1:25" ht="15.75" customHeight="1" x14ac:dyDescent="0.25">
      <c r="A605" s="2">
        <v>43940</v>
      </c>
      <c r="B605" s="3">
        <v>16734</v>
      </c>
      <c r="C605" s="4" t="s">
        <v>36</v>
      </c>
      <c r="D605" s="4" t="str">
        <f t="shared" si="16"/>
        <v>Sales</v>
      </c>
      <c r="E605" s="4" t="str">
        <f t="shared" si="17"/>
        <v>Intern</v>
      </c>
      <c r="F605" s="13">
        <v>706</v>
      </c>
      <c r="G605" s="13">
        <v>4</v>
      </c>
      <c r="H605" s="13">
        <v>4</v>
      </c>
      <c r="I605" s="2">
        <v>29514</v>
      </c>
      <c r="J605" s="15">
        <v>907385</v>
      </c>
      <c r="K605" s="4" t="s">
        <v>21</v>
      </c>
      <c r="L605" s="27">
        <f t="shared" si="18"/>
        <v>1980</v>
      </c>
      <c r="M605" s="27">
        <f t="shared" si="19"/>
        <v>4</v>
      </c>
      <c r="N605" s="27">
        <f t="shared" ca="1" si="21"/>
        <v>46</v>
      </c>
      <c r="O605" s="27" t="str" cm="1">
        <f t="array" ref="O605">_xlfn.IFS($F605&gt;=750,"Excellent",$F605&gt;=700,"Good",$F605&gt;=650,"Moderate",
$F605&lt;650,"Risky"
)</f>
        <v>Good</v>
      </c>
      <c r="P605" s="27" t="str" cm="1">
        <f t="array" ref="P605">_xlfn.IFS(
AND(F605&gt;=750,H605&lt;=2),"Low Risk",
AND(F605&gt;=700,H605&lt;=5),"Medium Risk",
TRUE,"High Risk"
)</f>
        <v>Medium Risk</v>
      </c>
      <c r="Q605" s="5"/>
      <c r="R605" s="5"/>
      <c r="S605" s="5"/>
      <c r="T605" s="5"/>
      <c r="U605" s="5"/>
      <c r="V605" s="5"/>
      <c r="W605" s="5"/>
      <c r="X605" s="5"/>
      <c r="Y605" s="5"/>
    </row>
    <row r="606" spans="1:25" ht="15.75" customHeight="1" x14ac:dyDescent="0.25">
      <c r="A606" s="2">
        <v>44048</v>
      </c>
      <c r="B606" s="3">
        <v>70828</v>
      </c>
      <c r="C606" s="4" t="s">
        <v>38</v>
      </c>
      <c r="D606" s="4" t="str">
        <f t="shared" si="16"/>
        <v>Finance</v>
      </c>
      <c r="E606" s="4" t="str">
        <f t="shared" si="17"/>
        <v>Manager</v>
      </c>
      <c r="F606" s="13">
        <v>780</v>
      </c>
      <c r="G606" s="13">
        <v>4</v>
      </c>
      <c r="H606" s="13">
        <v>10</v>
      </c>
      <c r="I606" s="2">
        <v>31727</v>
      </c>
      <c r="J606" s="15">
        <v>649264</v>
      </c>
      <c r="K606" s="4" t="s">
        <v>18</v>
      </c>
      <c r="L606" s="27">
        <f t="shared" si="18"/>
        <v>1986</v>
      </c>
      <c r="M606" s="27">
        <f t="shared" si="19"/>
        <v>8</v>
      </c>
      <c r="N606" s="27">
        <f t="shared" ca="1" si="21"/>
        <v>40</v>
      </c>
      <c r="O606" s="27" t="str" cm="1">
        <f t="array" ref="O606">_xlfn.IFS($F606&gt;=750,"Excellent",$F606&gt;=700,"Good",$F606&gt;=650,"Moderate",
$F606&lt;650,"Risky"
)</f>
        <v>Excellent</v>
      </c>
      <c r="P606" s="27" t="str" cm="1">
        <f t="array" ref="P606">_xlfn.IFS(
AND(F606&gt;=750,H606&lt;=2),"Low Risk",
AND(F606&gt;=700,H606&lt;=5),"Medium Risk",
TRUE,"High Risk"
)</f>
        <v>High Risk</v>
      </c>
      <c r="Q606" s="5"/>
      <c r="R606" s="5"/>
      <c r="S606" s="5"/>
      <c r="T606" s="5"/>
      <c r="U606" s="5"/>
      <c r="V606" s="5"/>
      <c r="W606" s="5"/>
      <c r="X606" s="5"/>
      <c r="Y606" s="5"/>
    </row>
    <row r="607" spans="1:25" ht="15.75" customHeight="1" x14ac:dyDescent="0.25">
      <c r="A607" s="2">
        <v>44153</v>
      </c>
      <c r="B607" s="3">
        <v>65304</v>
      </c>
      <c r="C607" s="4" t="s">
        <v>26</v>
      </c>
      <c r="D607" s="4" t="str">
        <f t="shared" si="16"/>
        <v>Strategy</v>
      </c>
      <c r="E607" s="4" t="str">
        <f t="shared" si="17"/>
        <v>Manager</v>
      </c>
      <c r="F607" s="13">
        <v>721</v>
      </c>
      <c r="G607" s="13">
        <v>3</v>
      </c>
      <c r="H607" s="13">
        <v>6</v>
      </c>
      <c r="I607" s="2">
        <v>30461</v>
      </c>
      <c r="J607" s="15">
        <v>858624</v>
      </c>
      <c r="K607" s="4" t="s">
        <v>14</v>
      </c>
      <c r="L607" s="27">
        <f t="shared" si="18"/>
        <v>1983</v>
      </c>
      <c r="M607" s="27">
        <f t="shared" si="19"/>
        <v>11</v>
      </c>
      <c r="N607" s="27">
        <f t="shared" ca="1" si="21"/>
        <v>43</v>
      </c>
      <c r="O607" s="27" t="str" cm="1">
        <f t="array" ref="O607">_xlfn.IFS($F607&gt;=750,"Excellent",$F607&gt;=700,"Good",$F607&gt;=650,"Moderate",
$F607&lt;650,"Risky"
)</f>
        <v>Good</v>
      </c>
      <c r="P607" s="27" t="str" cm="1">
        <f t="array" ref="P607">_xlfn.IFS(
AND(F607&gt;=750,H607&lt;=2),"Low Risk",
AND(F607&gt;=700,H607&lt;=5),"Medium Risk",
TRUE,"High Risk"
)</f>
        <v>High Risk</v>
      </c>
      <c r="Q607" s="5"/>
      <c r="R607" s="5"/>
      <c r="S607" s="5"/>
      <c r="T607" s="5"/>
      <c r="U607" s="5"/>
      <c r="V607" s="5"/>
      <c r="W607" s="5"/>
      <c r="X607" s="5"/>
      <c r="Y607" s="5"/>
    </row>
    <row r="608" spans="1:25" ht="15.75" customHeight="1" x14ac:dyDescent="0.25">
      <c r="A608" s="2">
        <v>43995</v>
      </c>
      <c r="B608" s="3">
        <v>56750</v>
      </c>
      <c r="C608" s="4" t="s">
        <v>25</v>
      </c>
      <c r="D608" s="4" t="str">
        <f t="shared" si="16"/>
        <v>Sales</v>
      </c>
      <c r="E608" s="4" t="str">
        <f t="shared" si="17"/>
        <v>Manager</v>
      </c>
      <c r="F608" s="13">
        <v>717</v>
      </c>
      <c r="G608" s="13">
        <v>2</v>
      </c>
      <c r="H608" s="13">
        <v>1</v>
      </c>
      <c r="I608" s="2">
        <v>34397</v>
      </c>
      <c r="J608" s="15">
        <v>581915</v>
      </c>
      <c r="K608" s="4" t="s">
        <v>21</v>
      </c>
      <c r="L608" s="27">
        <f t="shared" si="18"/>
        <v>1994</v>
      </c>
      <c r="M608" s="27">
        <f t="shared" si="19"/>
        <v>6</v>
      </c>
      <c r="N608" s="27">
        <f t="shared" ca="1" si="21"/>
        <v>32</v>
      </c>
      <c r="O608" s="27" t="str" cm="1">
        <f t="array" ref="O608">_xlfn.IFS($F608&gt;=750,"Excellent",$F608&gt;=700,"Good",$F608&gt;=650,"Moderate",
$F608&lt;650,"Risky"
)</f>
        <v>Good</v>
      </c>
      <c r="P608" s="27" t="str" cm="1">
        <f t="array" ref="P608">_xlfn.IFS(
AND(F608&gt;=750,H608&lt;=2),"Low Risk",
AND(F608&gt;=700,H608&lt;=5),"Medium Risk",
TRUE,"High Risk"
)</f>
        <v>Medium Risk</v>
      </c>
      <c r="Q608" s="5"/>
      <c r="R608" s="5"/>
      <c r="S608" s="5"/>
      <c r="T608" s="5"/>
      <c r="U608" s="5"/>
      <c r="V608" s="5"/>
      <c r="W608" s="5"/>
      <c r="X608" s="5"/>
      <c r="Y608" s="5"/>
    </row>
    <row r="609" spans="1:25" ht="15.75" customHeight="1" x14ac:dyDescent="0.25">
      <c r="A609" s="2">
        <v>43978</v>
      </c>
      <c r="B609" s="3">
        <v>93695</v>
      </c>
      <c r="C609" s="4" t="s">
        <v>34</v>
      </c>
      <c r="D609" s="4" t="str">
        <f t="shared" si="16"/>
        <v>Finance</v>
      </c>
      <c r="E609" s="4" t="str">
        <f t="shared" si="17"/>
        <v>Director</v>
      </c>
      <c r="F609" s="13">
        <v>742</v>
      </c>
      <c r="G609" s="13">
        <v>4</v>
      </c>
      <c r="H609" s="13">
        <v>2</v>
      </c>
      <c r="I609" s="2">
        <v>30237</v>
      </c>
      <c r="J609" s="15">
        <v>920501</v>
      </c>
      <c r="K609" s="4" t="s">
        <v>21</v>
      </c>
      <c r="L609" s="27">
        <f t="shared" si="18"/>
        <v>1982</v>
      </c>
      <c r="M609" s="27">
        <f t="shared" si="19"/>
        <v>5</v>
      </c>
      <c r="N609" s="27">
        <f t="shared" ca="1" si="21"/>
        <v>44</v>
      </c>
      <c r="O609" s="27" t="str" cm="1">
        <f t="array" ref="O609">_xlfn.IFS($F609&gt;=750,"Excellent",$F609&gt;=700,"Good",$F609&gt;=650,"Moderate",
$F609&lt;650,"Risky"
)</f>
        <v>Good</v>
      </c>
      <c r="P609" s="27" t="str" cm="1">
        <f t="array" ref="P609">_xlfn.IFS(
AND(F609&gt;=750,H609&lt;=2),"Low Risk",
AND(F609&gt;=700,H609&lt;=5),"Medium Risk",
TRUE,"High Risk"
)</f>
        <v>Medium Risk</v>
      </c>
      <c r="Q609" s="5"/>
      <c r="R609" s="5"/>
      <c r="S609" s="5"/>
      <c r="T609" s="5"/>
      <c r="U609" s="5"/>
      <c r="V609" s="5"/>
      <c r="W609" s="5"/>
      <c r="X609" s="5"/>
      <c r="Y609" s="5"/>
    </row>
    <row r="610" spans="1:25" ht="15.75" customHeight="1" x14ac:dyDescent="0.25">
      <c r="A610" s="2">
        <v>44151</v>
      </c>
      <c r="B610" s="3">
        <v>50920</v>
      </c>
      <c r="C610" s="4" t="s">
        <v>37</v>
      </c>
      <c r="D610" s="4" t="str">
        <f t="shared" si="16"/>
        <v>Strategy</v>
      </c>
      <c r="E610" s="4" t="str">
        <f t="shared" si="17"/>
        <v>Director</v>
      </c>
      <c r="F610" s="13">
        <v>707</v>
      </c>
      <c r="G610" s="13">
        <v>1</v>
      </c>
      <c r="H610" s="13">
        <v>5</v>
      </c>
      <c r="I610" s="2">
        <v>32811</v>
      </c>
      <c r="J610" s="15">
        <v>577254</v>
      </c>
      <c r="K610" s="4" t="s">
        <v>21</v>
      </c>
      <c r="L610" s="27">
        <f t="shared" si="18"/>
        <v>1989</v>
      </c>
      <c r="M610" s="27">
        <f t="shared" si="19"/>
        <v>11</v>
      </c>
      <c r="N610" s="27">
        <f t="shared" ca="1" si="21"/>
        <v>37</v>
      </c>
      <c r="O610" s="27" t="str" cm="1">
        <f t="array" ref="O610">_xlfn.IFS($F610&gt;=750,"Excellent",$F610&gt;=700,"Good",$F610&gt;=650,"Moderate",
$F610&lt;650,"Risky"
)</f>
        <v>Good</v>
      </c>
      <c r="P610" s="27" t="str" cm="1">
        <f t="array" ref="P610">_xlfn.IFS(
AND(F610&gt;=750,H610&lt;=2),"Low Risk",
AND(F610&gt;=700,H610&lt;=5),"Medium Risk",
TRUE,"High Risk"
)</f>
        <v>Medium Risk</v>
      </c>
      <c r="Q610" s="5"/>
      <c r="R610" s="5"/>
      <c r="S610" s="5"/>
      <c r="T610" s="5"/>
      <c r="U610" s="5"/>
      <c r="V610" s="5"/>
      <c r="W610" s="5"/>
      <c r="X610" s="5"/>
      <c r="Y610" s="5"/>
    </row>
    <row r="611" spans="1:25" ht="15.75" customHeight="1" x14ac:dyDescent="0.25">
      <c r="A611" s="2">
        <v>43956</v>
      </c>
      <c r="B611" s="3">
        <v>75985</v>
      </c>
      <c r="C611" s="4" t="s">
        <v>35</v>
      </c>
      <c r="D611" s="4" t="str">
        <f t="shared" si="16"/>
        <v>Growth</v>
      </c>
      <c r="E611" s="4" t="str">
        <f t="shared" si="17"/>
        <v>Intern</v>
      </c>
      <c r="F611" s="13">
        <v>754</v>
      </c>
      <c r="G611" s="13">
        <v>2</v>
      </c>
      <c r="H611" s="13">
        <v>7</v>
      </c>
      <c r="I611" s="2">
        <v>30947</v>
      </c>
      <c r="J611" s="15">
        <v>658749</v>
      </c>
      <c r="K611" s="4" t="s">
        <v>18</v>
      </c>
      <c r="L611" s="27">
        <f t="shared" si="18"/>
        <v>1984</v>
      </c>
      <c r="M611" s="27">
        <f t="shared" si="19"/>
        <v>5</v>
      </c>
      <c r="N611" s="27">
        <f t="shared" ca="1" si="21"/>
        <v>42</v>
      </c>
      <c r="O611" s="27" t="str" cm="1">
        <f t="array" ref="O611">_xlfn.IFS($F611&gt;=750,"Excellent",$F611&gt;=700,"Good",$F611&gt;=650,"Moderate",
$F611&lt;650,"Risky"
)</f>
        <v>Excellent</v>
      </c>
      <c r="P611" s="27" t="str" cm="1">
        <f t="array" ref="P611">_xlfn.IFS(
AND(F611&gt;=750,H611&lt;=2),"Low Risk",
AND(F611&gt;=700,H611&lt;=5),"Medium Risk",
TRUE,"High Risk"
)</f>
        <v>High Risk</v>
      </c>
      <c r="Q611" s="5"/>
      <c r="R611" s="5"/>
      <c r="S611" s="5"/>
      <c r="T611" s="5"/>
      <c r="U611" s="5"/>
      <c r="V611" s="5"/>
      <c r="W611" s="5"/>
      <c r="X611" s="5"/>
      <c r="Y611" s="5"/>
    </row>
    <row r="612" spans="1:25" ht="15.75" customHeight="1" x14ac:dyDescent="0.25">
      <c r="A612" s="2">
        <v>44171</v>
      </c>
      <c r="B612" s="3">
        <v>47600</v>
      </c>
      <c r="C612" s="4" t="s">
        <v>29</v>
      </c>
      <c r="D612" s="4" t="str">
        <f t="shared" si="16"/>
        <v>Sales</v>
      </c>
      <c r="E612" s="4" t="str">
        <f t="shared" si="17"/>
        <v>Director</v>
      </c>
      <c r="F612" s="13">
        <v>786</v>
      </c>
      <c r="G612" s="13">
        <v>1</v>
      </c>
      <c r="H612" s="13">
        <v>3</v>
      </c>
      <c r="I612" s="2">
        <v>30565</v>
      </c>
      <c r="J612" s="15">
        <v>629181</v>
      </c>
      <c r="K612" s="4" t="s">
        <v>14</v>
      </c>
      <c r="L612" s="27">
        <f t="shared" si="18"/>
        <v>1983</v>
      </c>
      <c r="M612" s="27">
        <f t="shared" si="19"/>
        <v>12</v>
      </c>
      <c r="N612" s="27">
        <f t="shared" ca="1" si="21"/>
        <v>43</v>
      </c>
      <c r="O612" s="27" t="str" cm="1">
        <f t="array" ref="O612">_xlfn.IFS($F612&gt;=750,"Excellent",$F612&gt;=700,"Good",$F612&gt;=650,"Moderate",
$F612&lt;650,"Risky"
)</f>
        <v>Excellent</v>
      </c>
      <c r="P612" s="27" t="str" cm="1">
        <f t="array" ref="P612">_xlfn.IFS(
AND(F612&gt;=750,H612&lt;=2),"Low Risk",
AND(F612&gt;=700,H612&lt;=5),"Medium Risk",
TRUE,"High Risk"
)</f>
        <v>Medium Risk</v>
      </c>
      <c r="Q612" s="5"/>
      <c r="R612" s="5"/>
      <c r="S612" s="5"/>
      <c r="T612" s="5"/>
      <c r="U612" s="5"/>
      <c r="V612" s="5"/>
      <c r="W612" s="5"/>
      <c r="X612" s="5"/>
      <c r="Y612" s="5"/>
    </row>
    <row r="613" spans="1:25" ht="15.75" customHeight="1" x14ac:dyDescent="0.25">
      <c r="A613" s="2">
        <v>43953</v>
      </c>
      <c r="B613" s="3">
        <v>47831</v>
      </c>
      <c r="C613" s="4" t="s">
        <v>27</v>
      </c>
      <c r="D613" s="4" t="str">
        <f t="shared" si="16"/>
        <v>Operation</v>
      </c>
      <c r="E613" s="4" t="str">
        <f t="shared" si="17"/>
        <v>Intern</v>
      </c>
      <c r="F613" s="13">
        <v>701</v>
      </c>
      <c r="G613" s="13">
        <v>5</v>
      </c>
      <c r="H613" s="13">
        <v>5</v>
      </c>
      <c r="I613" s="2">
        <v>33500</v>
      </c>
      <c r="J613" s="15">
        <v>755674</v>
      </c>
      <c r="K613" s="4" t="s">
        <v>14</v>
      </c>
      <c r="L613" s="27">
        <f t="shared" si="18"/>
        <v>1991</v>
      </c>
      <c r="M613" s="27">
        <f t="shared" si="19"/>
        <v>5</v>
      </c>
      <c r="N613" s="27">
        <f t="shared" ca="1" si="21"/>
        <v>35</v>
      </c>
      <c r="O613" s="27" t="str" cm="1">
        <f t="array" ref="O613">_xlfn.IFS($F613&gt;=750,"Excellent",$F613&gt;=700,"Good",$F613&gt;=650,"Moderate",
$F613&lt;650,"Risky"
)</f>
        <v>Good</v>
      </c>
      <c r="P613" s="27" t="str" cm="1">
        <f t="array" ref="P613">_xlfn.IFS(
AND(F613&gt;=750,H613&lt;=2),"Low Risk",
AND(F613&gt;=700,H613&lt;=5),"Medium Risk",
TRUE,"High Risk"
)</f>
        <v>Medium Risk</v>
      </c>
      <c r="Q613" s="5"/>
      <c r="R613" s="5"/>
      <c r="S613" s="5"/>
      <c r="T613" s="5"/>
      <c r="U613" s="5"/>
      <c r="V613" s="5"/>
      <c r="W613" s="5"/>
      <c r="X613" s="5"/>
      <c r="Y613" s="5"/>
    </row>
    <row r="614" spans="1:25" ht="15.75" customHeight="1" x14ac:dyDescent="0.25">
      <c r="A614" s="2">
        <v>43896</v>
      </c>
      <c r="B614" s="3">
        <v>65776</v>
      </c>
      <c r="C614" s="4" t="s">
        <v>33</v>
      </c>
      <c r="D614" s="4" t="str">
        <f t="shared" si="16"/>
        <v>Sales</v>
      </c>
      <c r="E614" s="4" t="str">
        <f t="shared" si="17"/>
        <v>Executive</v>
      </c>
      <c r="F614" s="13">
        <v>777</v>
      </c>
      <c r="G614" s="13">
        <v>5</v>
      </c>
      <c r="H614" s="13">
        <v>5</v>
      </c>
      <c r="I614" s="2">
        <v>31269</v>
      </c>
      <c r="J614" s="15">
        <v>937733</v>
      </c>
      <c r="K614" s="4" t="s">
        <v>18</v>
      </c>
      <c r="L614" s="27">
        <f t="shared" si="18"/>
        <v>1985</v>
      </c>
      <c r="M614" s="27">
        <f t="shared" si="19"/>
        <v>3</v>
      </c>
      <c r="N614" s="27">
        <f t="shared" ca="1" si="21"/>
        <v>41</v>
      </c>
      <c r="O614" s="27" t="str" cm="1">
        <f t="array" ref="O614">_xlfn.IFS($F614&gt;=750,"Excellent",$F614&gt;=700,"Good",$F614&gt;=650,"Moderate",
$F614&lt;650,"Risky"
)</f>
        <v>Excellent</v>
      </c>
      <c r="P614" s="27" t="str" cm="1">
        <f t="array" ref="P614">_xlfn.IFS(
AND(F614&gt;=750,H614&lt;=2),"Low Risk",
AND(F614&gt;=700,H614&lt;=5),"Medium Risk",
TRUE,"High Risk"
)</f>
        <v>Medium Risk</v>
      </c>
      <c r="Q614" s="5"/>
      <c r="R614" s="5"/>
      <c r="S614" s="5"/>
      <c r="T614" s="5"/>
      <c r="U614" s="5"/>
      <c r="V614" s="5"/>
      <c r="W614" s="5"/>
      <c r="X614" s="5"/>
      <c r="Y614" s="5"/>
    </row>
    <row r="615" spans="1:25" ht="15.75" customHeight="1" x14ac:dyDescent="0.25">
      <c r="A615" s="2">
        <v>44004</v>
      </c>
      <c r="B615" s="3">
        <v>45142</v>
      </c>
      <c r="C615" s="4" t="s">
        <v>36</v>
      </c>
      <c r="D615" s="4" t="str">
        <f t="shared" si="16"/>
        <v>Sales</v>
      </c>
      <c r="E615" s="4" t="str">
        <f t="shared" si="17"/>
        <v>Intern</v>
      </c>
      <c r="F615" s="13">
        <v>730</v>
      </c>
      <c r="G615" s="13">
        <v>2</v>
      </c>
      <c r="H615" s="13">
        <v>4</v>
      </c>
      <c r="I615" s="2">
        <v>33986</v>
      </c>
      <c r="J615" s="15">
        <v>790012</v>
      </c>
      <c r="K615" s="4" t="s">
        <v>21</v>
      </c>
      <c r="L615" s="27">
        <f t="shared" si="18"/>
        <v>1993</v>
      </c>
      <c r="M615" s="27">
        <f t="shared" si="19"/>
        <v>6</v>
      </c>
      <c r="N615" s="27">
        <f t="shared" ca="1" si="21"/>
        <v>33</v>
      </c>
      <c r="O615" s="27" t="str" cm="1">
        <f t="array" ref="O615">_xlfn.IFS($F615&gt;=750,"Excellent",$F615&gt;=700,"Good",$F615&gt;=650,"Moderate",
$F615&lt;650,"Risky"
)</f>
        <v>Good</v>
      </c>
      <c r="P615" s="27" t="str" cm="1">
        <f t="array" ref="P615">_xlfn.IFS(
AND(F615&gt;=750,H615&lt;=2),"Low Risk",
AND(F615&gt;=700,H615&lt;=5),"Medium Risk",
TRUE,"High Risk"
)</f>
        <v>Medium Risk</v>
      </c>
      <c r="Q615" s="5"/>
      <c r="R615" s="5"/>
      <c r="S615" s="5"/>
      <c r="T615" s="5"/>
      <c r="U615" s="5"/>
      <c r="V615" s="5"/>
      <c r="W615" s="5"/>
      <c r="X615" s="5"/>
      <c r="Y615" s="5"/>
    </row>
    <row r="616" spans="1:25" ht="15.75" customHeight="1" x14ac:dyDescent="0.25">
      <c r="A616" s="2">
        <v>43980</v>
      </c>
      <c r="B616" s="3">
        <v>31489</v>
      </c>
      <c r="C616" s="4" t="s">
        <v>36</v>
      </c>
      <c r="D616" s="4" t="str">
        <f t="shared" si="16"/>
        <v>Sales</v>
      </c>
      <c r="E616" s="4" t="str">
        <f t="shared" si="17"/>
        <v>Intern</v>
      </c>
      <c r="F616" s="13">
        <v>735</v>
      </c>
      <c r="G616" s="13">
        <v>5</v>
      </c>
      <c r="H616" s="13">
        <v>1</v>
      </c>
      <c r="I616" s="2">
        <v>33605</v>
      </c>
      <c r="J616" s="15">
        <v>675858</v>
      </c>
      <c r="K616" s="4" t="s">
        <v>21</v>
      </c>
      <c r="L616" s="27">
        <f t="shared" si="18"/>
        <v>1992</v>
      </c>
      <c r="M616" s="27">
        <f t="shared" si="19"/>
        <v>5</v>
      </c>
      <c r="N616" s="27">
        <f t="shared" ca="1" si="21"/>
        <v>34</v>
      </c>
      <c r="O616" s="27" t="str" cm="1">
        <f t="array" ref="O616">_xlfn.IFS($F616&gt;=750,"Excellent",$F616&gt;=700,"Good",$F616&gt;=650,"Moderate",
$F616&lt;650,"Risky"
)</f>
        <v>Good</v>
      </c>
      <c r="P616" s="27" t="str" cm="1">
        <f t="array" ref="P616">_xlfn.IFS(
AND(F616&gt;=750,H616&lt;=2),"Low Risk",
AND(F616&gt;=700,H616&lt;=5),"Medium Risk",
TRUE,"High Risk"
)</f>
        <v>Medium Risk</v>
      </c>
      <c r="Q616" s="5"/>
      <c r="R616" s="5"/>
      <c r="S616" s="5"/>
      <c r="T616" s="5"/>
      <c r="U616" s="5"/>
      <c r="V616" s="5"/>
      <c r="W616" s="5"/>
      <c r="X616" s="5"/>
      <c r="Y616" s="5"/>
    </row>
    <row r="617" spans="1:25" ht="15.75" customHeight="1" x14ac:dyDescent="0.25">
      <c r="A617" s="2">
        <v>43974</v>
      </c>
      <c r="B617" s="3">
        <v>63373</v>
      </c>
      <c r="C617" s="4" t="s">
        <v>29</v>
      </c>
      <c r="D617" s="4" t="str">
        <f t="shared" si="16"/>
        <v>Sales</v>
      </c>
      <c r="E617" s="4" t="str">
        <f t="shared" si="17"/>
        <v>Director</v>
      </c>
      <c r="F617" s="13">
        <v>702</v>
      </c>
      <c r="G617" s="13">
        <v>1</v>
      </c>
      <c r="H617" s="13">
        <v>2</v>
      </c>
      <c r="I617" s="2">
        <v>31148</v>
      </c>
      <c r="J617" s="15">
        <v>597273</v>
      </c>
      <c r="K617" s="4" t="s">
        <v>14</v>
      </c>
      <c r="L617" s="27">
        <f t="shared" si="18"/>
        <v>1985</v>
      </c>
      <c r="M617" s="27">
        <f t="shared" si="19"/>
        <v>5</v>
      </c>
      <c r="N617" s="27">
        <f t="shared" ca="1" si="21"/>
        <v>41</v>
      </c>
      <c r="O617" s="27" t="str" cm="1">
        <f t="array" ref="O617">_xlfn.IFS($F617&gt;=750,"Excellent",$F617&gt;=700,"Good",$F617&gt;=650,"Moderate",
$F617&lt;650,"Risky"
)</f>
        <v>Good</v>
      </c>
      <c r="P617" s="27" t="str" cm="1">
        <f t="array" ref="P617">_xlfn.IFS(
AND(F617&gt;=750,H617&lt;=2),"Low Risk",
AND(F617&gt;=700,H617&lt;=5),"Medium Risk",
TRUE,"High Risk"
)</f>
        <v>Medium Risk</v>
      </c>
      <c r="Q617" s="5"/>
      <c r="R617" s="5"/>
      <c r="S617" s="5"/>
      <c r="T617" s="5"/>
      <c r="U617" s="5"/>
      <c r="V617" s="5"/>
      <c r="W617" s="5"/>
      <c r="X617" s="5"/>
      <c r="Y617" s="5"/>
    </row>
    <row r="618" spans="1:25" ht="15.75" customHeight="1" x14ac:dyDescent="0.25">
      <c r="A618" s="2">
        <v>43947</v>
      </c>
      <c r="B618" s="3">
        <v>94111</v>
      </c>
      <c r="C618" s="4" t="s">
        <v>19</v>
      </c>
      <c r="D618" s="4" t="str">
        <f t="shared" si="16"/>
        <v>Marketing</v>
      </c>
      <c r="E618" s="4" t="str">
        <f t="shared" si="17"/>
        <v>Manager</v>
      </c>
      <c r="F618" s="13">
        <v>794</v>
      </c>
      <c r="G618" s="13">
        <v>3</v>
      </c>
      <c r="H618" s="13">
        <v>2</v>
      </c>
      <c r="I618" s="2">
        <v>31152</v>
      </c>
      <c r="J618" s="15">
        <v>675347</v>
      </c>
      <c r="K618" s="4" t="s">
        <v>18</v>
      </c>
      <c r="L618" s="27">
        <f t="shared" si="18"/>
        <v>1985</v>
      </c>
      <c r="M618" s="27">
        <f t="shared" si="19"/>
        <v>4</v>
      </c>
      <c r="N618" s="27">
        <f t="shared" ca="1" si="21"/>
        <v>41</v>
      </c>
      <c r="O618" s="27" t="str" cm="1">
        <f t="array" ref="O618">_xlfn.IFS($F618&gt;=750,"Excellent",$F618&gt;=700,"Good",$F618&gt;=650,"Moderate",
$F618&lt;650,"Risky"
)</f>
        <v>Excellent</v>
      </c>
      <c r="P618" s="27" t="str" cm="1">
        <f t="array" ref="P618">_xlfn.IFS(
AND(F618&gt;=750,H618&lt;=2),"Low Risk",
AND(F618&gt;=700,H618&lt;=5),"Medium Risk",
TRUE,"High Risk"
)</f>
        <v>Low Risk</v>
      </c>
      <c r="Q618" s="5"/>
      <c r="R618" s="5"/>
      <c r="S618" s="5"/>
      <c r="T618" s="5"/>
      <c r="U618" s="5"/>
      <c r="V618" s="5"/>
      <c r="W618" s="5"/>
      <c r="X618" s="5"/>
      <c r="Y618" s="5"/>
    </row>
    <row r="619" spans="1:25" ht="15.75" customHeight="1" x14ac:dyDescent="0.25">
      <c r="A619" s="2">
        <v>43990</v>
      </c>
      <c r="B619" s="3">
        <v>73017</v>
      </c>
      <c r="C619" s="4" t="s">
        <v>25</v>
      </c>
      <c r="D619" s="4" t="str">
        <f t="shared" si="16"/>
        <v>Sales</v>
      </c>
      <c r="E619" s="4" t="str">
        <f t="shared" si="17"/>
        <v>Manager</v>
      </c>
      <c r="F619" s="13">
        <v>702</v>
      </c>
      <c r="G619" s="13">
        <v>3</v>
      </c>
      <c r="H619" s="13">
        <v>6</v>
      </c>
      <c r="I619" s="2">
        <v>30967</v>
      </c>
      <c r="J619" s="15">
        <v>780960</v>
      </c>
      <c r="K619" s="4" t="s">
        <v>18</v>
      </c>
      <c r="L619" s="27">
        <f t="shared" si="18"/>
        <v>1984</v>
      </c>
      <c r="M619" s="27">
        <f t="shared" si="19"/>
        <v>6</v>
      </c>
      <c r="N619" s="27">
        <f t="shared" ca="1" si="21"/>
        <v>42</v>
      </c>
      <c r="O619" s="27" t="str" cm="1">
        <f t="array" ref="O619">_xlfn.IFS($F619&gt;=750,"Excellent",$F619&gt;=700,"Good",$F619&gt;=650,"Moderate",
$F619&lt;650,"Risky"
)</f>
        <v>Good</v>
      </c>
      <c r="P619" s="27" t="str" cm="1">
        <f t="array" ref="P619">_xlfn.IFS(
AND(F619&gt;=750,H619&lt;=2),"Low Risk",
AND(F619&gt;=700,H619&lt;=5),"Medium Risk",
TRUE,"High Risk"
)</f>
        <v>High Risk</v>
      </c>
      <c r="Q619" s="5"/>
      <c r="R619" s="5"/>
      <c r="S619" s="5"/>
      <c r="T619" s="5"/>
      <c r="U619" s="5"/>
      <c r="V619" s="5"/>
      <c r="W619" s="5"/>
      <c r="X619" s="5"/>
      <c r="Y619" s="5"/>
    </row>
    <row r="620" spans="1:25" ht="15.75" customHeight="1" x14ac:dyDescent="0.25">
      <c r="A620" s="2">
        <v>43928</v>
      </c>
      <c r="B620" s="3">
        <v>92852</v>
      </c>
      <c r="C620" s="4" t="s">
        <v>28</v>
      </c>
      <c r="D620" s="4" t="str">
        <f t="shared" si="16"/>
        <v>Growth</v>
      </c>
      <c r="E620" s="4" t="str">
        <f t="shared" si="17"/>
        <v>Director</v>
      </c>
      <c r="F620" s="13">
        <v>701</v>
      </c>
      <c r="G620" s="13">
        <v>4</v>
      </c>
      <c r="H620" s="13">
        <v>1</v>
      </c>
      <c r="I620" s="2">
        <v>32475</v>
      </c>
      <c r="J620" s="15">
        <v>976983</v>
      </c>
      <c r="K620" s="4" t="s">
        <v>21</v>
      </c>
      <c r="L620" s="27">
        <f t="shared" si="18"/>
        <v>1988</v>
      </c>
      <c r="M620" s="27">
        <f t="shared" si="19"/>
        <v>4</v>
      </c>
      <c r="N620" s="27">
        <f t="shared" ca="1" si="21"/>
        <v>38</v>
      </c>
      <c r="O620" s="27" t="str" cm="1">
        <f t="array" ref="O620">_xlfn.IFS($F620&gt;=750,"Excellent",$F620&gt;=700,"Good",$F620&gt;=650,"Moderate",
$F620&lt;650,"Risky"
)</f>
        <v>Good</v>
      </c>
      <c r="P620" s="27" t="str" cm="1">
        <f t="array" ref="P620">_xlfn.IFS(
AND(F620&gt;=750,H620&lt;=2),"Low Risk",
AND(F620&gt;=700,H620&lt;=5),"Medium Risk",
TRUE,"High Risk"
)</f>
        <v>Medium Risk</v>
      </c>
      <c r="Q620" s="5"/>
      <c r="R620" s="5"/>
      <c r="S620" s="5"/>
      <c r="T620" s="5"/>
      <c r="U620" s="5"/>
      <c r="V620" s="5"/>
      <c r="W620" s="5"/>
      <c r="X620" s="5"/>
      <c r="Y620" s="5"/>
    </row>
    <row r="621" spans="1:25" ht="15.75" customHeight="1" x14ac:dyDescent="0.25">
      <c r="A621" s="2">
        <v>44027</v>
      </c>
      <c r="B621" s="3">
        <v>48555</v>
      </c>
      <c r="C621" s="4" t="s">
        <v>36</v>
      </c>
      <c r="D621" s="4" t="str">
        <f t="shared" si="16"/>
        <v>Sales</v>
      </c>
      <c r="E621" s="4" t="str">
        <f t="shared" si="17"/>
        <v>Intern</v>
      </c>
      <c r="F621" s="13">
        <v>727</v>
      </c>
      <c r="G621" s="13">
        <v>1</v>
      </c>
      <c r="H621" s="13">
        <v>1</v>
      </c>
      <c r="I621" s="2">
        <v>30308</v>
      </c>
      <c r="J621" s="15">
        <v>791998</v>
      </c>
      <c r="K621" s="4" t="s">
        <v>14</v>
      </c>
      <c r="L621" s="27">
        <f t="shared" si="18"/>
        <v>1982</v>
      </c>
      <c r="M621" s="27">
        <f t="shared" si="19"/>
        <v>7</v>
      </c>
      <c r="N621" s="27">
        <f t="shared" ca="1" si="21"/>
        <v>44</v>
      </c>
      <c r="O621" s="27" t="str" cm="1">
        <f t="array" ref="O621">_xlfn.IFS($F621&gt;=750,"Excellent",$F621&gt;=700,"Good",$F621&gt;=650,"Moderate",
$F621&lt;650,"Risky"
)</f>
        <v>Good</v>
      </c>
      <c r="P621" s="27" t="str" cm="1">
        <f t="array" ref="P621">_xlfn.IFS(
AND(F621&gt;=750,H621&lt;=2),"Low Risk",
AND(F621&gt;=700,H621&lt;=5),"Medium Risk",
TRUE,"High Risk"
)</f>
        <v>Medium Risk</v>
      </c>
      <c r="Q621" s="5"/>
      <c r="R621" s="5"/>
      <c r="S621" s="5"/>
      <c r="T621" s="5"/>
      <c r="U621" s="5"/>
      <c r="V621" s="5"/>
      <c r="W621" s="5"/>
      <c r="X621" s="5"/>
      <c r="Y621" s="5"/>
    </row>
    <row r="622" spans="1:25" ht="15.75" customHeight="1" x14ac:dyDescent="0.25">
      <c r="A622" s="2">
        <v>43947</v>
      </c>
      <c r="B622" s="3">
        <v>33025</v>
      </c>
      <c r="C622" s="4" t="s">
        <v>19</v>
      </c>
      <c r="D622" s="4" t="str">
        <f t="shared" si="16"/>
        <v>Marketing</v>
      </c>
      <c r="E622" s="4" t="str">
        <f t="shared" si="17"/>
        <v>Manager</v>
      </c>
      <c r="F622" s="13">
        <v>720</v>
      </c>
      <c r="G622" s="13">
        <v>5</v>
      </c>
      <c r="H622" s="13">
        <v>5</v>
      </c>
      <c r="I622" s="2">
        <v>32810</v>
      </c>
      <c r="J622" s="15">
        <v>985846</v>
      </c>
      <c r="K622" s="4" t="s">
        <v>14</v>
      </c>
      <c r="L622" s="27">
        <f t="shared" si="18"/>
        <v>1989</v>
      </c>
      <c r="M622" s="27">
        <f t="shared" si="19"/>
        <v>4</v>
      </c>
      <c r="N622" s="27">
        <f t="shared" ca="1" si="21"/>
        <v>37</v>
      </c>
      <c r="O622" s="27" t="str" cm="1">
        <f t="array" ref="O622">_xlfn.IFS($F622&gt;=750,"Excellent",$F622&gt;=700,"Good",$F622&gt;=650,"Moderate",
$F622&lt;650,"Risky"
)</f>
        <v>Good</v>
      </c>
      <c r="P622" s="27" t="str" cm="1">
        <f t="array" ref="P622">_xlfn.IFS(
AND(F622&gt;=750,H622&lt;=2),"Low Risk",
AND(F622&gt;=700,H622&lt;=5),"Medium Risk",
TRUE,"High Risk"
)</f>
        <v>Medium Risk</v>
      </c>
      <c r="Q622" s="5"/>
      <c r="R622" s="5"/>
      <c r="S622" s="5"/>
      <c r="T622" s="5"/>
      <c r="U622" s="5"/>
      <c r="V622" s="5"/>
      <c r="W622" s="5"/>
      <c r="X622" s="5"/>
      <c r="Y622" s="5"/>
    </row>
    <row r="623" spans="1:25" ht="15.75" customHeight="1" x14ac:dyDescent="0.25">
      <c r="A623" s="2">
        <v>44086</v>
      </c>
      <c r="B623" s="3">
        <v>85377</v>
      </c>
      <c r="C623" s="4" t="s">
        <v>35</v>
      </c>
      <c r="D623" s="4" t="str">
        <f t="shared" si="16"/>
        <v>Growth</v>
      </c>
      <c r="E623" s="4" t="str">
        <f t="shared" si="17"/>
        <v>Intern</v>
      </c>
      <c r="F623" s="13">
        <v>794</v>
      </c>
      <c r="G623" s="13">
        <v>1</v>
      </c>
      <c r="H623" s="13">
        <v>1</v>
      </c>
      <c r="I623" s="2">
        <v>33474</v>
      </c>
      <c r="J623" s="15">
        <v>748644</v>
      </c>
      <c r="K623" s="4" t="s">
        <v>18</v>
      </c>
      <c r="L623" s="27">
        <f t="shared" si="18"/>
        <v>1991</v>
      </c>
      <c r="M623" s="27">
        <f t="shared" si="19"/>
        <v>9</v>
      </c>
      <c r="N623" s="27">
        <f t="shared" ca="1" si="21"/>
        <v>35</v>
      </c>
      <c r="O623" s="27" t="str" cm="1">
        <f t="array" ref="O623">_xlfn.IFS($F623&gt;=750,"Excellent",$F623&gt;=700,"Good",$F623&gt;=650,"Moderate",
$F623&lt;650,"Risky"
)</f>
        <v>Excellent</v>
      </c>
      <c r="P623" s="27" t="str" cm="1">
        <f t="array" ref="P623">_xlfn.IFS(
AND(F623&gt;=750,H623&lt;=2),"Low Risk",
AND(F623&gt;=700,H623&lt;=5),"Medium Risk",
TRUE,"High Risk"
)</f>
        <v>Low Risk</v>
      </c>
      <c r="Q623" s="5"/>
      <c r="R623" s="5"/>
      <c r="S623" s="5"/>
      <c r="T623" s="5"/>
      <c r="U623" s="5"/>
      <c r="V623" s="5"/>
      <c r="W623" s="5"/>
      <c r="X623" s="5"/>
      <c r="Y623" s="5"/>
    </row>
    <row r="624" spans="1:25" ht="15.75" customHeight="1" x14ac:dyDescent="0.25">
      <c r="A624" s="2">
        <v>44098</v>
      </c>
      <c r="B624" s="3">
        <v>32109</v>
      </c>
      <c r="C624" s="4" t="s">
        <v>27</v>
      </c>
      <c r="D624" s="4" t="str">
        <f t="shared" si="16"/>
        <v>Operation</v>
      </c>
      <c r="E624" s="4" t="str">
        <f t="shared" si="17"/>
        <v>Intern</v>
      </c>
      <c r="F624" s="13">
        <v>756</v>
      </c>
      <c r="G624" s="13">
        <v>4</v>
      </c>
      <c r="H624" s="13">
        <v>6</v>
      </c>
      <c r="I624" s="2">
        <v>31233</v>
      </c>
      <c r="J624" s="15">
        <v>988754</v>
      </c>
      <c r="K624" s="4" t="s">
        <v>21</v>
      </c>
      <c r="L624" s="27">
        <f t="shared" si="18"/>
        <v>1985</v>
      </c>
      <c r="M624" s="27">
        <f t="shared" si="19"/>
        <v>9</v>
      </c>
      <c r="N624" s="27">
        <f t="shared" ca="1" si="21"/>
        <v>41</v>
      </c>
      <c r="O624" s="27" t="str" cm="1">
        <f t="array" ref="O624">_xlfn.IFS($F624&gt;=750,"Excellent",$F624&gt;=700,"Good",$F624&gt;=650,"Moderate",
$F624&lt;650,"Risky"
)</f>
        <v>Excellent</v>
      </c>
      <c r="P624" s="27" t="str" cm="1">
        <f t="array" ref="P624">_xlfn.IFS(
AND(F624&gt;=750,H624&lt;=2),"Low Risk",
AND(F624&gt;=700,H624&lt;=5),"Medium Risk",
TRUE,"High Risk"
)</f>
        <v>High Risk</v>
      </c>
      <c r="Q624" s="5"/>
      <c r="R624" s="5"/>
      <c r="S624" s="5"/>
      <c r="T624" s="5"/>
      <c r="U624" s="5"/>
      <c r="V624" s="5"/>
      <c r="W624" s="5"/>
      <c r="X624" s="5"/>
      <c r="Y624" s="5"/>
    </row>
    <row r="625" spans="1:25" ht="15.75" customHeight="1" x14ac:dyDescent="0.25">
      <c r="A625" s="2">
        <v>44115</v>
      </c>
      <c r="B625" s="3">
        <v>33024</v>
      </c>
      <c r="C625" s="4" t="s">
        <v>27</v>
      </c>
      <c r="D625" s="4" t="str">
        <f t="shared" si="16"/>
        <v>Operation</v>
      </c>
      <c r="E625" s="4" t="str">
        <f t="shared" si="17"/>
        <v>Intern</v>
      </c>
      <c r="F625" s="13">
        <v>759</v>
      </c>
      <c r="G625" s="13">
        <v>5</v>
      </c>
      <c r="H625" s="13">
        <v>3</v>
      </c>
      <c r="I625" s="2">
        <v>30948</v>
      </c>
      <c r="J625" s="15">
        <v>774185</v>
      </c>
      <c r="K625" s="4" t="s">
        <v>14</v>
      </c>
      <c r="L625" s="27">
        <f t="shared" si="18"/>
        <v>1984</v>
      </c>
      <c r="M625" s="27">
        <f t="shared" si="19"/>
        <v>10</v>
      </c>
      <c r="N625" s="27">
        <f t="shared" ca="1" si="21"/>
        <v>42</v>
      </c>
      <c r="O625" s="27" t="str" cm="1">
        <f t="array" ref="O625">_xlfn.IFS($F625&gt;=750,"Excellent",$F625&gt;=700,"Good",$F625&gt;=650,"Moderate",
$F625&lt;650,"Risky"
)</f>
        <v>Excellent</v>
      </c>
      <c r="P625" s="27" t="str" cm="1">
        <f t="array" ref="P625">_xlfn.IFS(
AND(F625&gt;=750,H625&lt;=2),"Low Risk",
AND(F625&gt;=700,H625&lt;=5),"Medium Risk",
TRUE,"High Risk"
)</f>
        <v>Medium Risk</v>
      </c>
      <c r="Q625" s="5"/>
      <c r="R625" s="5"/>
      <c r="S625" s="5"/>
      <c r="T625" s="5"/>
      <c r="U625" s="5"/>
      <c r="V625" s="5"/>
      <c r="W625" s="5"/>
      <c r="X625" s="5"/>
      <c r="Y625" s="5"/>
    </row>
    <row r="626" spans="1:25" ht="15.75" customHeight="1" x14ac:dyDescent="0.25">
      <c r="A626" s="2">
        <v>43964</v>
      </c>
      <c r="B626" s="3">
        <v>56492</v>
      </c>
      <c r="C626" s="4" t="s">
        <v>25</v>
      </c>
      <c r="D626" s="4" t="str">
        <f t="shared" si="16"/>
        <v>Sales</v>
      </c>
      <c r="E626" s="4" t="str">
        <f t="shared" si="17"/>
        <v>Manager</v>
      </c>
      <c r="F626" s="13">
        <v>738</v>
      </c>
      <c r="G626" s="13">
        <v>3</v>
      </c>
      <c r="H626" s="13">
        <v>7</v>
      </c>
      <c r="I626" s="2">
        <v>30684</v>
      </c>
      <c r="J626" s="15">
        <v>581204</v>
      </c>
      <c r="K626" s="4" t="s">
        <v>14</v>
      </c>
      <c r="L626" s="27">
        <f t="shared" si="18"/>
        <v>1984</v>
      </c>
      <c r="M626" s="27">
        <f t="shared" si="19"/>
        <v>5</v>
      </c>
      <c r="N626" s="27">
        <f t="shared" ca="1" si="21"/>
        <v>42</v>
      </c>
      <c r="O626" s="27" t="str" cm="1">
        <f t="array" ref="O626">_xlfn.IFS($F626&gt;=750,"Excellent",$F626&gt;=700,"Good",$F626&gt;=650,"Moderate",
$F626&lt;650,"Risky"
)</f>
        <v>Good</v>
      </c>
      <c r="P626" s="27" t="str" cm="1">
        <f t="array" ref="P626">_xlfn.IFS(
AND(F626&gt;=750,H626&lt;=2),"Low Risk",
AND(F626&gt;=700,H626&lt;=5),"Medium Risk",
TRUE,"High Risk"
)</f>
        <v>High Risk</v>
      </c>
      <c r="Q626" s="5"/>
      <c r="R626" s="5"/>
      <c r="S626" s="5"/>
      <c r="T626" s="5"/>
      <c r="U626" s="5"/>
      <c r="V626" s="5"/>
      <c r="W626" s="5"/>
      <c r="X626" s="5"/>
      <c r="Y626" s="5"/>
    </row>
    <row r="627" spans="1:25" ht="15.75" customHeight="1" x14ac:dyDescent="0.25">
      <c r="A627" s="2">
        <v>44082</v>
      </c>
      <c r="B627" s="3">
        <v>26996</v>
      </c>
      <c r="C627" s="4" t="s">
        <v>31</v>
      </c>
      <c r="D627" s="4" t="str">
        <f t="shared" si="16"/>
        <v>Finance</v>
      </c>
      <c r="E627" s="4" t="str">
        <f t="shared" si="17"/>
        <v>Intern</v>
      </c>
      <c r="F627" s="13">
        <v>743</v>
      </c>
      <c r="G627" s="13">
        <v>5</v>
      </c>
      <c r="H627" s="13">
        <v>7</v>
      </c>
      <c r="I627" s="2">
        <v>33264</v>
      </c>
      <c r="J627" s="15">
        <v>730063</v>
      </c>
      <c r="K627" s="4" t="s">
        <v>14</v>
      </c>
      <c r="L627" s="27">
        <f t="shared" si="18"/>
        <v>1991</v>
      </c>
      <c r="M627" s="27">
        <f t="shared" si="19"/>
        <v>9</v>
      </c>
      <c r="N627" s="27">
        <f t="shared" ca="1" si="21"/>
        <v>35</v>
      </c>
      <c r="O627" s="27" t="str" cm="1">
        <f t="array" ref="O627">_xlfn.IFS($F627&gt;=750,"Excellent",$F627&gt;=700,"Good",$F627&gt;=650,"Moderate",
$F627&lt;650,"Risky"
)</f>
        <v>Good</v>
      </c>
      <c r="P627" s="27" t="str" cm="1">
        <f t="array" ref="P627">_xlfn.IFS(
AND(F627&gt;=750,H627&lt;=2),"Low Risk",
AND(F627&gt;=700,H627&lt;=5),"Medium Risk",
TRUE,"High Risk"
)</f>
        <v>High Risk</v>
      </c>
      <c r="Q627" s="5"/>
      <c r="R627" s="5"/>
      <c r="S627" s="5"/>
      <c r="T627" s="5"/>
      <c r="U627" s="5"/>
      <c r="V627" s="5"/>
      <c r="W627" s="5"/>
      <c r="X627" s="5"/>
      <c r="Y627" s="5"/>
    </row>
    <row r="628" spans="1:25" ht="15.75" customHeight="1" x14ac:dyDescent="0.25">
      <c r="A628" s="2">
        <v>44072</v>
      </c>
      <c r="B628" s="3">
        <v>74602</v>
      </c>
      <c r="C628" s="4" t="s">
        <v>20</v>
      </c>
      <c r="D628" s="4" t="str">
        <f t="shared" si="16"/>
        <v>Operation</v>
      </c>
      <c r="E628" s="4" t="str">
        <f t="shared" si="17"/>
        <v>Manager</v>
      </c>
      <c r="F628" s="13">
        <v>749</v>
      </c>
      <c r="G628" s="13">
        <v>1</v>
      </c>
      <c r="H628" s="13">
        <v>8</v>
      </c>
      <c r="I628" s="2">
        <v>33164</v>
      </c>
      <c r="J628" s="15">
        <v>552345</v>
      </c>
      <c r="K628" s="4" t="s">
        <v>14</v>
      </c>
      <c r="L628" s="27">
        <f t="shared" si="18"/>
        <v>1990</v>
      </c>
      <c r="M628" s="27">
        <f t="shared" si="19"/>
        <v>8</v>
      </c>
      <c r="N628" s="27">
        <f t="shared" ca="1" si="21"/>
        <v>36</v>
      </c>
      <c r="O628" s="27" t="str" cm="1">
        <f t="array" ref="O628">_xlfn.IFS($F628&gt;=750,"Excellent",$F628&gt;=700,"Good",$F628&gt;=650,"Moderate",
$F628&lt;650,"Risky"
)</f>
        <v>Good</v>
      </c>
      <c r="P628" s="27" t="str" cm="1">
        <f t="array" ref="P628">_xlfn.IFS(
AND(F628&gt;=750,H628&lt;=2),"Low Risk",
AND(F628&gt;=700,H628&lt;=5),"Medium Risk",
TRUE,"High Risk"
)</f>
        <v>High Risk</v>
      </c>
      <c r="Q628" s="5"/>
      <c r="R628" s="5"/>
      <c r="S628" s="5"/>
      <c r="T628" s="5"/>
      <c r="U628" s="5"/>
      <c r="V628" s="5"/>
      <c r="W628" s="5"/>
      <c r="X628" s="5"/>
      <c r="Y628" s="5"/>
    </row>
    <row r="629" spans="1:25" ht="15.75" customHeight="1" x14ac:dyDescent="0.25">
      <c r="A629" s="2">
        <v>44069</v>
      </c>
      <c r="B629" s="3">
        <v>93694</v>
      </c>
      <c r="C629" s="4" t="s">
        <v>33</v>
      </c>
      <c r="D629" s="4" t="str">
        <f t="shared" si="16"/>
        <v>Sales</v>
      </c>
      <c r="E629" s="4" t="str">
        <f t="shared" si="17"/>
        <v>Executive</v>
      </c>
      <c r="F629" s="13">
        <v>745</v>
      </c>
      <c r="G629" s="13">
        <v>5</v>
      </c>
      <c r="H629" s="13">
        <v>10</v>
      </c>
      <c r="I629" s="2">
        <v>31783</v>
      </c>
      <c r="J629" s="15">
        <v>601147</v>
      </c>
      <c r="K629" s="4" t="s">
        <v>18</v>
      </c>
      <c r="L629" s="27">
        <f t="shared" si="18"/>
        <v>1987</v>
      </c>
      <c r="M629" s="27">
        <f t="shared" si="19"/>
        <v>8</v>
      </c>
      <c r="N629" s="27">
        <f t="shared" ca="1" si="21"/>
        <v>39</v>
      </c>
      <c r="O629" s="27" t="str" cm="1">
        <f t="array" ref="O629">_xlfn.IFS($F629&gt;=750,"Excellent",$F629&gt;=700,"Good",$F629&gt;=650,"Moderate",
$F629&lt;650,"Risky"
)</f>
        <v>Good</v>
      </c>
      <c r="P629" s="27" t="str" cm="1">
        <f t="array" ref="P629">_xlfn.IFS(
AND(F629&gt;=750,H629&lt;=2),"Low Risk",
AND(F629&gt;=700,H629&lt;=5),"Medium Risk",
TRUE,"High Risk"
)</f>
        <v>High Risk</v>
      </c>
      <c r="Q629" s="5"/>
      <c r="R629" s="5"/>
      <c r="S629" s="5"/>
      <c r="T629" s="5"/>
      <c r="U629" s="5"/>
      <c r="V629" s="5"/>
      <c r="W629" s="5"/>
      <c r="X629" s="5"/>
      <c r="Y629" s="5"/>
    </row>
    <row r="630" spans="1:25" ht="15.75" customHeight="1" x14ac:dyDescent="0.25">
      <c r="A630" s="2">
        <v>44121</v>
      </c>
      <c r="B630" s="3">
        <v>73290</v>
      </c>
      <c r="C630" s="4" t="s">
        <v>37</v>
      </c>
      <c r="D630" s="4" t="str">
        <f t="shared" si="16"/>
        <v>Strategy</v>
      </c>
      <c r="E630" s="4" t="str">
        <f t="shared" si="17"/>
        <v>Director</v>
      </c>
      <c r="F630" s="13">
        <v>701</v>
      </c>
      <c r="G630" s="13">
        <v>3</v>
      </c>
      <c r="H630" s="13">
        <v>4</v>
      </c>
      <c r="I630" s="2">
        <v>34005</v>
      </c>
      <c r="J630" s="15">
        <v>799929</v>
      </c>
      <c r="K630" s="4" t="s">
        <v>21</v>
      </c>
      <c r="L630" s="27">
        <f t="shared" si="18"/>
        <v>1993</v>
      </c>
      <c r="M630" s="27">
        <f t="shared" si="19"/>
        <v>10</v>
      </c>
      <c r="N630" s="27">
        <f t="shared" ca="1" si="21"/>
        <v>33</v>
      </c>
      <c r="O630" s="27" t="str" cm="1">
        <f t="array" ref="O630">_xlfn.IFS($F630&gt;=750,"Excellent",$F630&gt;=700,"Good",$F630&gt;=650,"Moderate",
$F630&lt;650,"Risky"
)</f>
        <v>Good</v>
      </c>
      <c r="P630" s="27" t="str" cm="1">
        <f t="array" ref="P630">_xlfn.IFS(
AND(F630&gt;=750,H630&lt;=2),"Low Risk",
AND(F630&gt;=700,H630&lt;=5),"Medium Risk",
TRUE,"High Risk"
)</f>
        <v>Medium Risk</v>
      </c>
      <c r="Q630" s="5"/>
      <c r="R630" s="5"/>
      <c r="S630" s="5"/>
      <c r="T630" s="5"/>
      <c r="U630" s="5"/>
      <c r="V630" s="5"/>
      <c r="W630" s="5"/>
      <c r="X630" s="5"/>
      <c r="Y630" s="5"/>
    </row>
    <row r="631" spans="1:25" ht="15.75" customHeight="1" x14ac:dyDescent="0.25">
      <c r="A631" s="2">
        <v>44107</v>
      </c>
      <c r="B631" s="3">
        <v>21126</v>
      </c>
      <c r="C631" s="4" t="s">
        <v>17</v>
      </c>
      <c r="D631" s="4" t="str">
        <f t="shared" si="16"/>
        <v>Growth</v>
      </c>
      <c r="E631" s="4" t="str">
        <f t="shared" si="17"/>
        <v>Manager</v>
      </c>
      <c r="F631" s="13">
        <v>788</v>
      </c>
      <c r="G631" s="13">
        <v>3</v>
      </c>
      <c r="H631" s="13">
        <v>9</v>
      </c>
      <c r="I631" s="2">
        <v>31485</v>
      </c>
      <c r="J631" s="15">
        <v>660011</v>
      </c>
      <c r="K631" s="4" t="s">
        <v>21</v>
      </c>
      <c r="L631" s="27">
        <f t="shared" si="18"/>
        <v>1986</v>
      </c>
      <c r="M631" s="27">
        <f t="shared" si="19"/>
        <v>10</v>
      </c>
      <c r="N631" s="27">
        <f t="shared" ca="1" si="21"/>
        <v>40</v>
      </c>
      <c r="O631" s="27" t="str" cm="1">
        <f t="array" ref="O631">_xlfn.IFS($F631&gt;=750,"Excellent",$F631&gt;=700,"Good",$F631&gt;=650,"Moderate",
$F631&lt;650,"Risky"
)</f>
        <v>Excellent</v>
      </c>
      <c r="P631" s="27" t="str" cm="1">
        <f t="array" ref="P631">_xlfn.IFS(
AND(F631&gt;=750,H631&lt;=2),"Low Risk",
AND(F631&gt;=700,H631&lt;=5),"Medium Risk",
TRUE,"High Risk"
)</f>
        <v>High Risk</v>
      </c>
      <c r="Q631" s="5"/>
      <c r="R631" s="5"/>
      <c r="S631" s="5"/>
      <c r="T631" s="5"/>
      <c r="U631" s="5"/>
      <c r="V631" s="5"/>
      <c r="W631" s="5"/>
      <c r="X631" s="5"/>
      <c r="Y631" s="5"/>
    </row>
    <row r="632" spans="1:25" ht="15.75" customHeight="1" x14ac:dyDescent="0.25">
      <c r="A632" s="2">
        <v>44004</v>
      </c>
      <c r="B632" s="3">
        <v>52113</v>
      </c>
      <c r="C632" s="4" t="s">
        <v>16</v>
      </c>
      <c r="D632" s="4" t="str">
        <f t="shared" si="16"/>
        <v>Marketing</v>
      </c>
      <c r="E632" s="4" t="str">
        <f t="shared" si="17"/>
        <v>Executive</v>
      </c>
      <c r="F632" s="13">
        <v>797</v>
      </c>
      <c r="G632" s="13">
        <v>5</v>
      </c>
      <c r="H632" s="13">
        <v>3</v>
      </c>
      <c r="I632" s="2">
        <v>31768</v>
      </c>
      <c r="J632" s="15">
        <v>773951</v>
      </c>
      <c r="K632" s="4" t="s">
        <v>21</v>
      </c>
      <c r="L632" s="27">
        <f t="shared" si="18"/>
        <v>1986</v>
      </c>
      <c r="M632" s="27">
        <f t="shared" si="19"/>
        <v>6</v>
      </c>
      <c r="N632" s="27">
        <f t="shared" ca="1" si="21"/>
        <v>40</v>
      </c>
      <c r="O632" s="27" t="str" cm="1">
        <f t="array" ref="O632">_xlfn.IFS($F632&gt;=750,"Excellent",$F632&gt;=700,"Good",$F632&gt;=650,"Moderate",
$F632&lt;650,"Risky"
)</f>
        <v>Excellent</v>
      </c>
      <c r="P632" s="27" t="str" cm="1">
        <f t="array" ref="P632">_xlfn.IFS(
AND(F632&gt;=750,H632&lt;=2),"Low Risk",
AND(F632&gt;=700,H632&lt;=5),"Medium Risk",
TRUE,"High Risk"
)</f>
        <v>Medium Risk</v>
      </c>
      <c r="Q632" s="5"/>
      <c r="R632" s="5"/>
      <c r="S632" s="5"/>
      <c r="T632" s="5"/>
      <c r="U632" s="5"/>
      <c r="V632" s="5"/>
      <c r="W632" s="5"/>
      <c r="X632" s="5"/>
      <c r="Y632" s="5"/>
    </row>
    <row r="633" spans="1:25" ht="15.75" customHeight="1" x14ac:dyDescent="0.25">
      <c r="A633" s="2">
        <v>44111</v>
      </c>
      <c r="B633" s="3">
        <v>85030</v>
      </c>
      <c r="C633" s="4" t="s">
        <v>32</v>
      </c>
      <c r="D633" s="4" t="str">
        <f t="shared" si="16"/>
        <v>Finance</v>
      </c>
      <c r="E633" s="4" t="str">
        <f t="shared" si="17"/>
        <v>Executive</v>
      </c>
      <c r="F633" s="13">
        <v>791</v>
      </c>
      <c r="G633" s="13">
        <v>4</v>
      </c>
      <c r="H633" s="13">
        <v>8</v>
      </c>
      <c r="I633" s="2">
        <v>32462</v>
      </c>
      <c r="J633" s="15">
        <v>514612</v>
      </c>
      <c r="K633" s="4" t="s">
        <v>21</v>
      </c>
      <c r="L633" s="27">
        <f t="shared" si="18"/>
        <v>1988</v>
      </c>
      <c r="M633" s="27">
        <f t="shared" si="19"/>
        <v>10</v>
      </c>
      <c r="N633" s="27">
        <f t="shared" ca="1" si="21"/>
        <v>38</v>
      </c>
      <c r="O633" s="27" t="str" cm="1">
        <f t="array" ref="O633">_xlfn.IFS($F633&gt;=750,"Excellent",$F633&gt;=700,"Good",$F633&gt;=650,"Moderate",
$F633&lt;650,"Risky"
)</f>
        <v>Excellent</v>
      </c>
      <c r="P633" s="27" t="str" cm="1">
        <f t="array" ref="P633">_xlfn.IFS(
AND(F633&gt;=750,H633&lt;=2),"Low Risk",
AND(F633&gt;=700,H633&lt;=5),"Medium Risk",
TRUE,"High Risk"
)</f>
        <v>High Risk</v>
      </c>
      <c r="Q633" s="5"/>
      <c r="R633" s="5"/>
      <c r="S633" s="5"/>
      <c r="T633" s="5"/>
      <c r="U633" s="5"/>
      <c r="V633" s="5"/>
      <c r="W633" s="5"/>
      <c r="X633" s="5"/>
      <c r="Y633" s="5"/>
    </row>
    <row r="634" spans="1:25" ht="15.75" customHeight="1" x14ac:dyDescent="0.25">
      <c r="A634" s="2">
        <v>44113</v>
      </c>
      <c r="B634" s="3">
        <v>37637</v>
      </c>
      <c r="C634" s="4" t="s">
        <v>39</v>
      </c>
      <c r="D634" s="4" t="str">
        <f t="shared" si="16"/>
        <v>Growth</v>
      </c>
      <c r="E634" s="4" t="str">
        <f t="shared" si="17"/>
        <v>Executive</v>
      </c>
      <c r="F634" s="13">
        <v>704</v>
      </c>
      <c r="G634" s="13">
        <v>4</v>
      </c>
      <c r="H634" s="13">
        <v>10</v>
      </c>
      <c r="I634" s="2">
        <v>32077</v>
      </c>
      <c r="J634" s="15">
        <v>693106</v>
      </c>
      <c r="K634" s="4" t="s">
        <v>14</v>
      </c>
      <c r="L634" s="27">
        <f t="shared" si="18"/>
        <v>1987</v>
      </c>
      <c r="M634" s="27">
        <f t="shared" si="19"/>
        <v>10</v>
      </c>
      <c r="N634" s="27">
        <f t="shared" ca="1" si="21"/>
        <v>39</v>
      </c>
      <c r="O634" s="27" t="str" cm="1">
        <f t="array" ref="O634">_xlfn.IFS($F634&gt;=750,"Excellent",$F634&gt;=700,"Good",$F634&gt;=650,"Moderate",
$F634&lt;650,"Risky"
)</f>
        <v>Good</v>
      </c>
      <c r="P634" s="27" t="str" cm="1">
        <f t="array" ref="P634">_xlfn.IFS(
AND(F634&gt;=750,H634&lt;=2),"Low Risk",
AND(F634&gt;=700,H634&lt;=5),"Medium Risk",
TRUE,"High Risk"
)</f>
        <v>High Risk</v>
      </c>
      <c r="Q634" s="5"/>
      <c r="R634" s="5"/>
      <c r="S634" s="5"/>
      <c r="T634" s="5"/>
      <c r="U634" s="5"/>
      <c r="V634" s="5"/>
      <c r="W634" s="5"/>
      <c r="X634" s="5"/>
      <c r="Y634" s="5"/>
    </row>
    <row r="635" spans="1:25" ht="15.75" customHeight="1" x14ac:dyDescent="0.25">
      <c r="A635" s="2">
        <v>44059</v>
      </c>
      <c r="B635" s="3">
        <v>71901</v>
      </c>
      <c r="C635" s="4" t="s">
        <v>31</v>
      </c>
      <c r="D635" s="4" t="str">
        <f t="shared" si="16"/>
        <v>Finance</v>
      </c>
      <c r="E635" s="4" t="str">
        <f t="shared" si="17"/>
        <v>Intern</v>
      </c>
      <c r="F635" s="13">
        <v>786</v>
      </c>
      <c r="G635" s="13">
        <v>4</v>
      </c>
      <c r="H635" s="13">
        <v>6</v>
      </c>
      <c r="I635" s="2">
        <v>32064</v>
      </c>
      <c r="J635" s="15">
        <v>588495</v>
      </c>
      <c r="K635" s="4" t="s">
        <v>21</v>
      </c>
      <c r="L635" s="27">
        <f t="shared" si="18"/>
        <v>1987</v>
      </c>
      <c r="M635" s="27">
        <f t="shared" si="19"/>
        <v>8</v>
      </c>
      <c r="N635" s="27">
        <f t="shared" ca="1" si="21"/>
        <v>39</v>
      </c>
      <c r="O635" s="27" t="str" cm="1">
        <f t="array" ref="O635">_xlfn.IFS($F635&gt;=750,"Excellent",$F635&gt;=700,"Good",$F635&gt;=650,"Moderate",
$F635&lt;650,"Risky"
)</f>
        <v>Excellent</v>
      </c>
      <c r="P635" s="27" t="str" cm="1">
        <f t="array" ref="P635">_xlfn.IFS(
AND(F635&gt;=750,H635&lt;=2),"Low Risk",
AND(F635&gt;=700,H635&lt;=5),"Medium Risk",
TRUE,"High Risk"
)</f>
        <v>High Risk</v>
      </c>
      <c r="Q635" s="5"/>
      <c r="R635" s="5"/>
      <c r="S635" s="5"/>
      <c r="T635" s="5"/>
      <c r="U635" s="5"/>
      <c r="V635" s="5"/>
      <c r="W635" s="5"/>
      <c r="X635" s="5"/>
      <c r="Y635" s="5"/>
    </row>
    <row r="636" spans="1:25" ht="15.75" customHeight="1" x14ac:dyDescent="0.25">
      <c r="A636" s="2">
        <v>43882</v>
      </c>
      <c r="B636" s="3">
        <v>85468</v>
      </c>
      <c r="C636" s="4" t="s">
        <v>15</v>
      </c>
      <c r="D636" s="4" t="str">
        <f t="shared" si="16"/>
        <v>Operation</v>
      </c>
      <c r="E636" s="4" t="str">
        <f t="shared" si="17"/>
        <v>Executive</v>
      </c>
      <c r="F636" s="13">
        <v>749</v>
      </c>
      <c r="G636" s="13">
        <v>5</v>
      </c>
      <c r="H636" s="13">
        <v>6</v>
      </c>
      <c r="I636" s="2">
        <v>29814</v>
      </c>
      <c r="J636" s="15">
        <v>719399</v>
      </c>
      <c r="K636" s="4" t="s">
        <v>18</v>
      </c>
      <c r="L636" s="27">
        <f t="shared" si="18"/>
        <v>1981</v>
      </c>
      <c r="M636" s="27">
        <f t="shared" si="19"/>
        <v>2</v>
      </c>
      <c r="N636" s="27">
        <f t="shared" ca="1" si="21"/>
        <v>45</v>
      </c>
      <c r="O636" s="27" t="str" cm="1">
        <f t="array" ref="O636">_xlfn.IFS($F636&gt;=750,"Excellent",$F636&gt;=700,"Good",$F636&gt;=650,"Moderate",
$F636&lt;650,"Risky"
)</f>
        <v>Good</v>
      </c>
      <c r="P636" s="27" t="str" cm="1">
        <f t="array" ref="P636">_xlfn.IFS(
AND(F636&gt;=750,H636&lt;=2),"Low Risk",
AND(F636&gt;=700,H636&lt;=5),"Medium Risk",
TRUE,"High Risk"
)</f>
        <v>High Risk</v>
      </c>
      <c r="Q636" s="5"/>
      <c r="R636" s="5"/>
      <c r="S636" s="5"/>
      <c r="T636" s="5"/>
      <c r="U636" s="5"/>
      <c r="V636" s="5"/>
      <c r="W636" s="5"/>
      <c r="X636" s="5"/>
      <c r="Y636" s="5"/>
    </row>
    <row r="637" spans="1:25" ht="15.75" customHeight="1" x14ac:dyDescent="0.25">
      <c r="A637" s="2">
        <v>43877</v>
      </c>
      <c r="B637" s="3">
        <v>57336</v>
      </c>
      <c r="C637" s="4" t="s">
        <v>15</v>
      </c>
      <c r="D637" s="4" t="str">
        <f t="shared" si="16"/>
        <v>Operation</v>
      </c>
      <c r="E637" s="4" t="str">
        <f t="shared" si="17"/>
        <v>Executive</v>
      </c>
      <c r="F637" s="13">
        <v>779</v>
      </c>
      <c r="G637" s="13">
        <v>5</v>
      </c>
      <c r="H637" s="13">
        <v>10</v>
      </c>
      <c r="I637" s="2">
        <v>30184</v>
      </c>
      <c r="J637" s="15">
        <v>560702</v>
      </c>
      <c r="K637" s="4" t="s">
        <v>14</v>
      </c>
      <c r="L637" s="27">
        <f t="shared" si="18"/>
        <v>1982</v>
      </c>
      <c r="M637" s="27">
        <f t="shared" si="19"/>
        <v>2</v>
      </c>
      <c r="N637" s="27">
        <f t="shared" ca="1" si="21"/>
        <v>44</v>
      </c>
      <c r="O637" s="27" t="str" cm="1">
        <f t="array" ref="O637">_xlfn.IFS($F637&gt;=750,"Excellent",$F637&gt;=700,"Good",$F637&gt;=650,"Moderate",
$F637&lt;650,"Risky"
)</f>
        <v>Excellent</v>
      </c>
      <c r="P637" s="27" t="str" cm="1">
        <f t="array" ref="P637">_xlfn.IFS(
AND(F637&gt;=750,H637&lt;=2),"Low Risk",
AND(F637&gt;=700,H637&lt;=5),"Medium Risk",
TRUE,"High Risk"
)</f>
        <v>High Risk</v>
      </c>
      <c r="Q637" s="5"/>
      <c r="R637" s="5"/>
      <c r="S637" s="5"/>
      <c r="T637" s="5"/>
      <c r="U637" s="5"/>
      <c r="V637" s="5"/>
      <c r="W637" s="5"/>
      <c r="X637" s="5"/>
      <c r="Y637" s="5"/>
    </row>
    <row r="638" spans="1:25" ht="15.75" customHeight="1" x14ac:dyDescent="0.25">
      <c r="A638" s="2">
        <v>43912</v>
      </c>
      <c r="B638" s="3">
        <v>27308</v>
      </c>
      <c r="C638" s="4" t="s">
        <v>24</v>
      </c>
      <c r="D638" s="4" t="str">
        <f t="shared" si="16"/>
        <v>Strategy</v>
      </c>
      <c r="E638" s="4" t="str">
        <f t="shared" si="17"/>
        <v>Intern</v>
      </c>
      <c r="F638" s="13">
        <v>752</v>
      </c>
      <c r="G638" s="13">
        <v>2</v>
      </c>
      <c r="H638" s="13">
        <v>5</v>
      </c>
      <c r="I638" s="2">
        <v>31426</v>
      </c>
      <c r="J638" s="15">
        <v>560996</v>
      </c>
      <c r="K638" s="4" t="s">
        <v>14</v>
      </c>
      <c r="L638" s="27">
        <f t="shared" si="18"/>
        <v>1986</v>
      </c>
      <c r="M638" s="27">
        <f t="shared" si="19"/>
        <v>3</v>
      </c>
      <c r="N638" s="27">
        <f t="shared" ca="1" si="21"/>
        <v>40</v>
      </c>
      <c r="O638" s="27" t="str" cm="1">
        <f t="array" ref="O638">_xlfn.IFS($F638&gt;=750,"Excellent",$F638&gt;=700,"Good",$F638&gt;=650,"Moderate",
$F638&lt;650,"Risky"
)</f>
        <v>Excellent</v>
      </c>
      <c r="P638" s="27" t="str" cm="1">
        <f t="array" ref="P638">_xlfn.IFS(
AND(F638&gt;=750,H638&lt;=2),"Low Risk",
AND(F638&gt;=700,H638&lt;=5),"Medium Risk",
TRUE,"High Risk"
)</f>
        <v>Medium Risk</v>
      </c>
      <c r="Q638" s="5"/>
      <c r="R638" s="5"/>
      <c r="S638" s="5"/>
      <c r="T638" s="5"/>
      <c r="U638" s="5"/>
      <c r="V638" s="5"/>
      <c r="W638" s="5"/>
      <c r="X638" s="5"/>
      <c r="Y638" s="5"/>
    </row>
    <row r="639" spans="1:25" ht="15.75" customHeight="1" x14ac:dyDescent="0.25">
      <c r="A639" s="2">
        <v>43988</v>
      </c>
      <c r="B639" s="3">
        <v>77929</v>
      </c>
      <c r="C639" s="4" t="s">
        <v>31</v>
      </c>
      <c r="D639" s="4" t="str">
        <f t="shared" si="16"/>
        <v>Finance</v>
      </c>
      <c r="E639" s="4" t="str">
        <f t="shared" si="17"/>
        <v>Intern</v>
      </c>
      <c r="F639" s="13">
        <v>721</v>
      </c>
      <c r="G639" s="13">
        <v>5</v>
      </c>
      <c r="H639" s="13">
        <v>3</v>
      </c>
      <c r="I639" s="2">
        <v>32041</v>
      </c>
      <c r="J639" s="15">
        <v>896645</v>
      </c>
      <c r="K639" s="4" t="s">
        <v>21</v>
      </c>
      <c r="L639" s="27">
        <f t="shared" si="18"/>
        <v>1987</v>
      </c>
      <c r="M639" s="27">
        <f t="shared" si="19"/>
        <v>6</v>
      </c>
      <c r="N639" s="27">
        <f t="shared" ca="1" si="21"/>
        <v>39</v>
      </c>
      <c r="O639" s="27" t="str" cm="1">
        <f t="array" ref="O639">_xlfn.IFS($F639&gt;=750,"Excellent",$F639&gt;=700,"Good",$F639&gt;=650,"Moderate",
$F639&lt;650,"Risky"
)</f>
        <v>Good</v>
      </c>
      <c r="P639" s="27" t="str" cm="1">
        <f t="array" ref="P639">_xlfn.IFS(
AND(F639&gt;=750,H639&lt;=2),"Low Risk",
AND(F639&gt;=700,H639&lt;=5),"Medium Risk",
TRUE,"High Risk"
)</f>
        <v>Medium Risk</v>
      </c>
      <c r="Q639" s="5"/>
      <c r="R639" s="5"/>
      <c r="S639" s="5"/>
      <c r="T639" s="5"/>
      <c r="U639" s="5"/>
      <c r="V639" s="5"/>
      <c r="W639" s="5"/>
      <c r="X639" s="5"/>
      <c r="Y639" s="5"/>
    </row>
    <row r="640" spans="1:25" ht="15.75" customHeight="1" x14ac:dyDescent="0.25">
      <c r="A640" s="2">
        <v>44137</v>
      </c>
      <c r="B640" s="3">
        <v>17824</v>
      </c>
      <c r="C640" s="4" t="s">
        <v>35</v>
      </c>
      <c r="D640" s="4" t="str">
        <f t="shared" si="16"/>
        <v>Growth</v>
      </c>
      <c r="E640" s="4" t="str">
        <f t="shared" si="17"/>
        <v>Intern</v>
      </c>
      <c r="F640" s="13">
        <v>781</v>
      </c>
      <c r="G640" s="13">
        <v>5</v>
      </c>
      <c r="H640" s="13">
        <v>4</v>
      </c>
      <c r="I640" s="2">
        <v>30462</v>
      </c>
      <c r="J640" s="15">
        <v>745179</v>
      </c>
      <c r="K640" s="4" t="s">
        <v>21</v>
      </c>
      <c r="L640" s="27">
        <f t="shared" si="18"/>
        <v>1983</v>
      </c>
      <c r="M640" s="27">
        <f t="shared" si="19"/>
        <v>11</v>
      </c>
      <c r="N640" s="27">
        <f t="shared" ca="1" si="21"/>
        <v>43</v>
      </c>
      <c r="O640" s="27" t="str" cm="1">
        <f t="array" ref="O640">_xlfn.IFS($F640&gt;=750,"Excellent",$F640&gt;=700,"Good",$F640&gt;=650,"Moderate",
$F640&lt;650,"Risky"
)</f>
        <v>Excellent</v>
      </c>
      <c r="P640" s="27" t="str" cm="1">
        <f t="array" ref="P640">_xlfn.IFS(
AND(F640&gt;=750,H640&lt;=2),"Low Risk",
AND(F640&gt;=700,H640&lt;=5),"Medium Risk",
TRUE,"High Risk"
)</f>
        <v>Medium Risk</v>
      </c>
      <c r="Q640" s="5"/>
      <c r="R640" s="5"/>
      <c r="S640" s="5"/>
      <c r="T640" s="5"/>
      <c r="U640" s="5"/>
      <c r="V640" s="5"/>
      <c r="W640" s="5"/>
      <c r="X640" s="5"/>
      <c r="Y640" s="5"/>
    </row>
    <row r="641" spans="1:25" ht="15.75" customHeight="1" x14ac:dyDescent="0.25">
      <c r="A641" s="2">
        <v>43922</v>
      </c>
      <c r="B641" s="3">
        <v>16626</v>
      </c>
      <c r="C641" s="4" t="s">
        <v>38</v>
      </c>
      <c r="D641" s="4" t="str">
        <f t="shared" si="16"/>
        <v>Finance</v>
      </c>
      <c r="E641" s="4" t="str">
        <f t="shared" si="17"/>
        <v>Manager</v>
      </c>
      <c r="F641" s="13">
        <v>711</v>
      </c>
      <c r="G641" s="13">
        <v>3</v>
      </c>
      <c r="H641" s="13">
        <v>4</v>
      </c>
      <c r="I641" s="2">
        <v>31321</v>
      </c>
      <c r="J641" s="15">
        <v>566242</v>
      </c>
      <c r="K641" s="4" t="s">
        <v>18</v>
      </c>
      <c r="L641" s="27">
        <f t="shared" si="18"/>
        <v>1985</v>
      </c>
      <c r="M641" s="27">
        <f t="shared" si="19"/>
        <v>4</v>
      </c>
      <c r="N641" s="27">
        <f t="shared" ca="1" si="21"/>
        <v>41</v>
      </c>
      <c r="O641" s="27" t="str" cm="1">
        <f t="array" ref="O641">_xlfn.IFS($F641&gt;=750,"Excellent",$F641&gt;=700,"Good",$F641&gt;=650,"Moderate",
$F641&lt;650,"Risky"
)</f>
        <v>Good</v>
      </c>
      <c r="P641" s="27" t="str" cm="1">
        <f t="array" ref="P641">_xlfn.IFS(
AND(F641&gt;=750,H641&lt;=2),"Low Risk",
AND(F641&gt;=700,H641&lt;=5),"Medium Risk",
TRUE,"High Risk"
)</f>
        <v>Medium Risk</v>
      </c>
      <c r="Q641" s="5"/>
      <c r="R641" s="5"/>
      <c r="S641" s="5"/>
      <c r="T641" s="5"/>
      <c r="U641" s="5"/>
      <c r="V641" s="5"/>
      <c r="W641" s="5"/>
      <c r="X641" s="5"/>
      <c r="Y641" s="5"/>
    </row>
    <row r="642" spans="1:25" ht="15.75" customHeight="1" x14ac:dyDescent="0.25">
      <c r="A642" s="2">
        <v>44141</v>
      </c>
      <c r="B642" s="3">
        <v>23341</v>
      </c>
      <c r="C642" s="4" t="s">
        <v>37</v>
      </c>
      <c r="D642" s="4" t="str">
        <f t="shared" si="16"/>
        <v>Strategy</v>
      </c>
      <c r="E642" s="4" t="str">
        <f t="shared" si="17"/>
        <v>Director</v>
      </c>
      <c r="F642" s="13">
        <v>723</v>
      </c>
      <c r="G642" s="13">
        <v>5</v>
      </c>
      <c r="H642" s="13">
        <v>7</v>
      </c>
      <c r="I642" s="2">
        <v>31268</v>
      </c>
      <c r="J642" s="15">
        <v>566764</v>
      </c>
      <c r="K642" s="4" t="s">
        <v>18</v>
      </c>
      <c r="L642" s="27">
        <f t="shared" si="18"/>
        <v>1985</v>
      </c>
      <c r="M642" s="27">
        <f t="shared" si="19"/>
        <v>11</v>
      </c>
      <c r="N642" s="27">
        <f t="shared" ca="1" si="21"/>
        <v>41</v>
      </c>
      <c r="O642" s="27" t="str" cm="1">
        <f t="array" ref="O642">_xlfn.IFS($F642&gt;=750,"Excellent",$F642&gt;=700,"Good",$F642&gt;=650,"Moderate",
$F642&lt;650,"Risky"
)</f>
        <v>Good</v>
      </c>
      <c r="P642" s="27" t="str" cm="1">
        <f t="array" ref="P642">_xlfn.IFS(
AND(F642&gt;=750,H642&lt;=2),"Low Risk",
AND(F642&gt;=700,H642&lt;=5),"Medium Risk",
TRUE,"High Risk"
)</f>
        <v>High Risk</v>
      </c>
      <c r="Q642" s="5"/>
      <c r="R642" s="5"/>
      <c r="S642" s="5"/>
      <c r="T642" s="5"/>
      <c r="U642" s="5"/>
      <c r="V642" s="5"/>
      <c r="W642" s="5"/>
      <c r="X642" s="5"/>
      <c r="Y642" s="5"/>
    </row>
    <row r="643" spans="1:25" ht="15.75" customHeight="1" x14ac:dyDescent="0.25">
      <c r="A643" s="2">
        <v>44050</v>
      </c>
      <c r="B643" s="3">
        <v>65397</v>
      </c>
      <c r="C643" s="4" t="s">
        <v>13</v>
      </c>
      <c r="D643" s="4" t="str">
        <f t="shared" si="16"/>
        <v>Marketing</v>
      </c>
      <c r="E643" s="4" t="str">
        <f t="shared" si="17"/>
        <v>Director</v>
      </c>
      <c r="F643" s="13">
        <v>767</v>
      </c>
      <c r="G643" s="13">
        <v>4</v>
      </c>
      <c r="H643" s="13">
        <v>1</v>
      </c>
      <c r="I643" s="2">
        <v>30148</v>
      </c>
      <c r="J643" s="15">
        <v>975822</v>
      </c>
      <c r="K643" s="4" t="s">
        <v>14</v>
      </c>
      <c r="L643" s="27">
        <f t="shared" si="18"/>
        <v>1982</v>
      </c>
      <c r="M643" s="27">
        <f t="shared" si="19"/>
        <v>8</v>
      </c>
      <c r="N643" s="27">
        <f t="shared" ref="N643:N706" ca="1" si="22" xml:space="preserve"> YEAR(TODAY()) - $L643</f>
        <v>44</v>
      </c>
      <c r="O643" s="27" t="str" cm="1">
        <f t="array" ref="O643">_xlfn.IFS($F643&gt;=750,"Excellent",$F643&gt;=700,"Good",$F643&gt;=650,"Moderate",
$F643&lt;650,"Risky"
)</f>
        <v>Excellent</v>
      </c>
      <c r="P643" s="27" t="str" cm="1">
        <f t="array" ref="P643">_xlfn.IFS(
AND(F643&gt;=750,H643&lt;=2),"Low Risk",
AND(F643&gt;=700,H643&lt;=5),"Medium Risk",
TRUE,"High Risk"
)</f>
        <v>Low Risk</v>
      </c>
      <c r="Q643" s="5"/>
      <c r="R643" s="5"/>
      <c r="S643" s="5"/>
      <c r="T643" s="5"/>
      <c r="U643" s="5"/>
      <c r="V643" s="5"/>
      <c r="W643" s="5"/>
      <c r="X643" s="5"/>
      <c r="Y643" s="5"/>
    </row>
    <row r="644" spans="1:25" ht="15.75" customHeight="1" x14ac:dyDescent="0.25">
      <c r="A644" s="2">
        <v>44143</v>
      </c>
      <c r="B644" s="3">
        <v>54400</v>
      </c>
      <c r="C644" s="4" t="s">
        <v>13</v>
      </c>
      <c r="D644" s="4" t="str">
        <f t="shared" si="16"/>
        <v>Marketing</v>
      </c>
      <c r="E644" s="4" t="str">
        <f t="shared" si="17"/>
        <v>Director</v>
      </c>
      <c r="F644" s="13">
        <v>754</v>
      </c>
      <c r="G644" s="13">
        <v>1</v>
      </c>
      <c r="H644" s="13">
        <v>10</v>
      </c>
      <c r="I644" s="2">
        <v>30780</v>
      </c>
      <c r="J644" s="15">
        <v>675139</v>
      </c>
      <c r="K644" s="4" t="s">
        <v>21</v>
      </c>
      <c r="L644" s="27">
        <f t="shared" si="18"/>
        <v>1984</v>
      </c>
      <c r="M644" s="27">
        <f t="shared" si="19"/>
        <v>11</v>
      </c>
      <c r="N644" s="27">
        <f t="shared" ca="1" si="22"/>
        <v>42</v>
      </c>
      <c r="O644" s="27" t="str" cm="1">
        <f t="array" ref="O644">_xlfn.IFS($F644&gt;=750,"Excellent",$F644&gt;=700,"Good",$F644&gt;=650,"Moderate",
$F644&lt;650,"Risky"
)</f>
        <v>Excellent</v>
      </c>
      <c r="P644" s="27" t="str" cm="1">
        <f t="array" ref="P644">_xlfn.IFS(
AND(F644&gt;=750,H644&lt;=2),"Low Risk",
AND(F644&gt;=700,H644&lt;=5),"Medium Risk",
TRUE,"High Risk"
)</f>
        <v>High Risk</v>
      </c>
      <c r="Q644" s="5"/>
      <c r="R644" s="5"/>
      <c r="S644" s="5"/>
      <c r="T644" s="5"/>
      <c r="U644" s="5"/>
      <c r="V644" s="5"/>
      <c r="W644" s="5"/>
      <c r="X644" s="5"/>
      <c r="Y644" s="5"/>
    </row>
    <row r="645" spans="1:25" ht="15.75" customHeight="1" x14ac:dyDescent="0.25">
      <c r="A645" s="2">
        <v>43949</v>
      </c>
      <c r="B645" s="3">
        <v>88756</v>
      </c>
      <c r="C645" s="4" t="s">
        <v>39</v>
      </c>
      <c r="D645" s="4" t="str">
        <f t="shared" si="16"/>
        <v>Growth</v>
      </c>
      <c r="E645" s="4" t="str">
        <f t="shared" si="17"/>
        <v>Executive</v>
      </c>
      <c r="F645" s="13">
        <v>782</v>
      </c>
      <c r="G645" s="13">
        <v>1</v>
      </c>
      <c r="H645" s="13">
        <v>5</v>
      </c>
      <c r="I645" s="2">
        <v>34231</v>
      </c>
      <c r="J645" s="15">
        <v>812143</v>
      </c>
      <c r="K645" s="4" t="s">
        <v>18</v>
      </c>
      <c r="L645" s="27">
        <f t="shared" si="18"/>
        <v>1993</v>
      </c>
      <c r="M645" s="27">
        <f t="shared" si="19"/>
        <v>4</v>
      </c>
      <c r="N645" s="27">
        <f t="shared" ca="1" si="22"/>
        <v>33</v>
      </c>
      <c r="O645" s="27" t="str" cm="1">
        <f t="array" ref="O645">_xlfn.IFS($F645&gt;=750,"Excellent",$F645&gt;=700,"Good",$F645&gt;=650,"Moderate",
$F645&lt;650,"Risky"
)</f>
        <v>Excellent</v>
      </c>
      <c r="P645" s="27" t="str" cm="1">
        <f t="array" ref="P645">_xlfn.IFS(
AND(F645&gt;=750,H645&lt;=2),"Low Risk",
AND(F645&gt;=700,H645&lt;=5),"Medium Risk",
TRUE,"High Risk"
)</f>
        <v>Medium Risk</v>
      </c>
      <c r="Q645" s="5"/>
      <c r="R645" s="5"/>
      <c r="S645" s="5"/>
      <c r="T645" s="5"/>
      <c r="U645" s="5"/>
      <c r="V645" s="5"/>
      <c r="W645" s="5"/>
      <c r="X645" s="5"/>
      <c r="Y645" s="5"/>
    </row>
    <row r="646" spans="1:25" ht="15.75" customHeight="1" x14ac:dyDescent="0.25">
      <c r="A646" s="2">
        <v>44150</v>
      </c>
      <c r="B646" s="3">
        <v>13872</v>
      </c>
      <c r="C646" s="4" t="s">
        <v>26</v>
      </c>
      <c r="D646" s="4" t="str">
        <f t="shared" si="16"/>
        <v>Strategy</v>
      </c>
      <c r="E646" s="4" t="str">
        <f t="shared" si="17"/>
        <v>Manager</v>
      </c>
      <c r="F646" s="13">
        <v>749</v>
      </c>
      <c r="G646" s="13">
        <v>4</v>
      </c>
      <c r="H646" s="13">
        <v>9</v>
      </c>
      <c r="I646" s="2">
        <v>29633</v>
      </c>
      <c r="J646" s="15">
        <v>513168</v>
      </c>
      <c r="K646" s="4" t="s">
        <v>18</v>
      </c>
      <c r="L646" s="27">
        <f t="shared" si="18"/>
        <v>1981</v>
      </c>
      <c r="M646" s="27">
        <f t="shared" si="19"/>
        <v>11</v>
      </c>
      <c r="N646" s="27">
        <f t="shared" ca="1" si="22"/>
        <v>45</v>
      </c>
      <c r="O646" s="27" t="str" cm="1">
        <f t="array" ref="O646">_xlfn.IFS($F646&gt;=750,"Excellent",$F646&gt;=700,"Good",$F646&gt;=650,"Moderate",
$F646&lt;650,"Risky"
)</f>
        <v>Good</v>
      </c>
      <c r="P646" s="27" t="str" cm="1">
        <f t="array" ref="P646">_xlfn.IFS(
AND(F646&gt;=750,H646&lt;=2),"Low Risk",
AND(F646&gt;=700,H646&lt;=5),"Medium Risk",
TRUE,"High Risk"
)</f>
        <v>High Risk</v>
      </c>
      <c r="Q646" s="5"/>
      <c r="R646" s="5"/>
      <c r="S646" s="5"/>
      <c r="T646" s="5"/>
      <c r="U646" s="5"/>
      <c r="V646" s="5"/>
      <c r="W646" s="5"/>
      <c r="X646" s="5"/>
      <c r="Y646" s="5"/>
    </row>
    <row r="647" spans="1:25" ht="15.75" customHeight="1" x14ac:dyDescent="0.25">
      <c r="A647" s="2">
        <v>43887</v>
      </c>
      <c r="B647" s="3">
        <v>67423</v>
      </c>
      <c r="C647" s="4" t="s">
        <v>36</v>
      </c>
      <c r="D647" s="4" t="str">
        <f t="shared" si="16"/>
        <v>Sales</v>
      </c>
      <c r="E647" s="4" t="str">
        <f t="shared" si="17"/>
        <v>Intern</v>
      </c>
      <c r="F647" s="13">
        <v>707</v>
      </c>
      <c r="G647" s="13">
        <v>2</v>
      </c>
      <c r="H647" s="13">
        <v>6</v>
      </c>
      <c r="I647" s="2">
        <v>34551</v>
      </c>
      <c r="J647" s="15">
        <v>651523</v>
      </c>
      <c r="K647" s="4" t="s">
        <v>14</v>
      </c>
      <c r="L647" s="27">
        <f t="shared" si="18"/>
        <v>1994</v>
      </c>
      <c r="M647" s="27">
        <f t="shared" si="19"/>
        <v>2</v>
      </c>
      <c r="N647" s="27">
        <f t="shared" ca="1" si="22"/>
        <v>32</v>
      </c>
      <c r="O647" s="27" t="str" cm="1">
        <f t="array" ref="O647">_xlfn.IFS($F647&gt;=750,"Excellent",$F647&gt;=700,"Good",$F647&gt;=650,"Moderate",
$F647&lt;650,"Risky"
)</f>
        <v>Good</v>
      </c>
      <c r="P647" s="27" t="str" cm="1">
        <f t="array" ref="P647">_xlfn.IFS(
AND(F647&gt;=750,H647&lt;=2),"Low Risk",
AND(F647&gt;=700,H647&lt;=5),"Medium Risk",
TRUE,"High Risk"
)</f>
        <v>High Risk</v>
      </c>
      <c r="Q647" s="5"/>
      <c r="R647" s="5"/>
      <c r="S647" s="5"/>
      <c r="T647" s="5"/>
      <c r="U647" s="5"/>
      <c r="V647" s="5"/>
      <c r="W647" s="5"/>
      <c r="X647" s="5"/>
      <c r="Y647" s="5"/>
    </row>
    <row r="648" spans="1:25" ht="15.75" customHeight="1" x14ac:dyDescent="0.25">
      <c r="A648" s="2">
        <v>43925</v>
      </c>
      <c r="B648" s="3">
        <v>22986</v>
      </c>
      <c r="C648" s="4" t="s">
        <v>35</v>
      </c>
      <c r="D648" s="4" t="str">
        <f t="shared" si="16"/>
        <v>Growth</v>
      </c>
      <c r="E648" s="4" t="str">
        <f t="shared" si="17"/>
        <v>Intern</v>
      </c>
      <c r="F648" s="13">
        <v>773</v>
      </c>
      <c r="G648" s="13">
        <v>1</v>
      </c>
      <c r="H648" s="13">
        <v>6</v>
      </c>
      <c r="I648" s="2">
        <v>33059</v>
      </c>
      <c r="J648" s="15">
        <v>958742</v>
      </c>
      <c r="K648" s="4" t="s">
        <v>18</v>
      </c>
      <c r="L648" s="27">
        <f t="shared" si="18"/>
        <v>1990</v>
      </c>
      <c r="M648" s="27">
        <f t="shared" si="19"/>
        <v>4</v>
      </c>
      <c r="N648" s="27">
        <f t="shared" ca="1" si="22"/>
        <v>36</v>
      </c>
      <c r="O648" s="27" t="str" cm="1">
        <f t="array" ref="O648">_xlfn.IFS($F648&gt;=750,"Excellent",$F648&gt;=700,"Good",$F648&gt;=650,"Moderate",
$F648&lt;650,"Risky"
)</f>
        <v>Excellent</v>
      </c>
      <c r="P648" s="27" t="str" cm="1">
        <f t="array" ref="P648">_xlfn.IFS(
AND(F648&gt;=750,H648&lt;=2),"Low Risk",
AND(F648&gt;=700,H648&lt;=5),"Medium Risk",
TRUE,"High Risk"
)</f>
        <v>High Risk</v>
      </c>
      <c r="Q648" s="5"/>
      <c r="R648" s="5"/>
      <c r="S648" s="5"/>
      <c r="T648" s="5"/>
      <c r="U648" s="5"/>
      <c r="V648" s="5"/>
      <c r="W648" s="5"/>
      <c r="X648" s="5"/>
      <c r="Y648" s="5"/>
    </row>
    <row r="649" spans="1:25" ht="15.75" customHeight="1" x14ac:dyDescent="0.25">
      <c r="A649" s="2">
        <v>43834</v>
      </c>
      <c r="B649" s="3">
        <v>93329</v>
      </c>
      <c r="C649" s="4" t="s">
        <v>24</v>
      </c>
      <c r="D649" s="4" t="str">
        <f t="shared" si="16"/>
        <v>Strategy</v>
      </c>
      <c r="E649" s="4" t="str">
        <f t="shared" si="17"/>
        <v>Intern</v>
      </c>
      <c r="F649" s="13">
        <v>780</v>
      </c>
      <c r="G649" s="13">
        <v>5</v>
      </c>
      <c r="H649" s="13">
        <v>2</v>
      </c>
      <c r="I649" s="2">
        <v>29374</v>
      </c>
      <c r="J649" s="15">
        <v>501611</v>
      </c>
      <c r="K649" s="4" t="s">
        <v>14</v>
      </c>
      <c r="L649" s="27">
        <f t="shared" si="18"/>
        <v>1980</v>
      </c>
      <c r="M649" s="27">
        <f t="shared" si="19"/>
        <v>1</v>
      </c>
      <c r="N649" s="27">
        <f t="shared" ca="1" si="22"/>
        <v>46</v>
      </c>
      <c r="O649" s="27" t="str" cm="1">
        <f t="array" ref="O649">_xlfn.IFS($F649&gt;=750,"Excellent",$F649&gt;=700,"Good",$F649&gt;=650,"Moderate",
$F649&lt;650,"Risky"
)</f>
        <v>Excellent</v>
      </c>
      <c r="P649" s="27" t="str" cm="1">
        <f t="array" ref="P649">_xlfn.IFS(
AND(F649&gt;=750,H649&lt;=2),"Low Risk",
AND(F649&gt;=700,H649&lt;=5),"Medium Risk",
TRUE,"High Risk"
)</f>
        <v>Low Risk</v>
      </c>
      <c r="Q649" s="5"/>
      <c r="R649" s="5"/>
      <c r="S649" s="5"/>
      <c r="T649" s="5"/>
      <c r="U649" s="5"/>
      <c r="V649" s="5"/>
      <c r="W649" s="5"/>
      <c r="X649" s="5"/>
      <c r="Y649" s="5"/>
    </row>
    <row r="650" spans="1:25" ht="15.75" customHeight="1" x14ac:dyDescent="0.25">
      <c r="A650" s="2">
        <v>43975</v>
      </c>
      <c r="B650" s="3">
        <v>32818</v>
      </c>
      <c r="C650" s="4" t="s">
        <v>17</v>
      </c>
      <c r="D650" s="4" t="str">
        <f t="shared" si="16"/>
        <v>Growth</v>
      </c>
      <c r="E650" s="4" t="str">
        <f t="shared" si="17"/>
        <v>Manager</v>
      </c>
      <c r="F650" s="13">
        <v>721</v>
      </c>
      <c r="G650" s="13">
        <v>4</v>
      </c>
      <c r="H650" s="13">
        <v>8</v>
      </c>
      <c r="I650" s="2">
        <v>33236</v>
      </c>
      <c r="J650" s="15">
        <v>913989</v>
      </c>
      <c r="K650" s="4" t="s">
        <v>14</v>
      </c>
      <c r="L650" s="27">
        <f t="shared" si="18"/>
        <v>1990</v>
      </c>
      <c r="M650" s="27">
        <f t="shared" si="19"/>
        <v>5</v>
      </c>
      <c r="N650" s="27">
        <f t="shared" ca="1" si="22"/>
        <v>36</v>
      </c>
      <c r="O650" s="27" t="str" cm="1">
        <f t="array" ref="O650">_xlfn.IFS($F650&gt;=750,"Excellent",$F650&gt;=700,"Good",$F650&gt;=650,"Moderate",
$F650&lt;650,"Risky"
)</f>
        <v>Good</v>
      </c>
      <c r="P650" s="27" t="str" cm="1">
        <f t="array" ref="P650">_xlfn.IFS(
AND(F650&gt;=750,H650&lt;=2),"Low Risk",
AND(F650&gt;=700,H650&lt;=5),"Medium Risk",
TRUE,"High Risk"
)</f>
        <v>High Risk</v>
      </c>
      <c r="Q650" s="5"/>
      <c r="R650" s="5"/>
      <c r="S650" s="5"/>
      <c r="T650" s="5"/>
      <c r="U650" s="5"/>
      <c r="V650" s="5"/>
      <c r="W650" s="5"/>
      <c r="X650" s="5"/>
      <c r="Y650" s="5"/>
    </row>
    <row r="651" spans="1:25" ht="15.75" customHeight="1" x14ac:dyDescent="0.25">
      <c r="A651" s="2">
        <v>44076</v>
      </c>
      <c r="B651" s="3">
        <v>68286</v>
      </c>
      <c r="C651" s="4" t="s">
        <v>34</v>
      </c>
      <c r="D651" s="4" t="str">
        <f t="shared" si="16"/>
        <v>Finance</v>
      </c>
      <c r="E651" s="4" t="str">
        <f t="shared" si="17"/>
        <v>Director</v>
      </c>
      <c r="F651" s="13">
        <v>782</v>
      </c>
      <c r="G651" s="13">
        <v>5</v>
      </c>
      <c r="H651" s="13">
        <v>9</v>
      </c>
      <c r="I651" s="2">
        <v>30003</v>
      </c>
      <c r="J651" s="15">
        <v>860088</v>
      </c>
      <c r="K651" s="4" t="s">
        <v>14</v>
      </c>
      <c r="L651" s="27">
        <f t="shared" si="18"/>
        <v>1982</v>
      </c>
      <c r="M651" s="27">
        <f t="shared" si="19"/>
        <v>9</v>
      </c>
      <c r="N651" s="27">
        <f t="shared" ca="1" si="22"/>
        <v>44</v>
      </c>
      <c r="O651" s="27" t="str" cm="1">
        <f t="array" ref="O651">_xlfn.IFS($F651&gt;=750,"Excellent",$F651&gt;=700,"Good",$F651&gt;=650,"Moderate",
$F651&lt;650,"Risky"
)</f>
        <v>Excellent</v>
      </c>
      <c r="P651" s="27" t="str" cm="1">
        <f t="array" ref="P651">_xlfn.IFS(
AND(F651&gt;=750,H651&lt;=2),"Low Risk",
AND(F651&gt;=700,H651&lt;=5),"Medium Risk",
TRUE,"High Risk"
)</f>
        <v>High Risk</v>
      </c>
      <c r="Q651" s="5"/>
      <c r="R651" s="5"/>
      <c r="S651" s="5"/>
      <c r="T651" s="5"/>
      <c r="U651" s="5"/>
      <c r="V651" s="5"/>
      <c r="W651" s="5"/>
      <c r="X651" s="5"/>
      <c r="Y651" s="5"/>
    </row>
    <row r="652" spans="1:25" ht="15.75" customHeight="1" x14ac:dyDescent="0.25">
      <c r="A652" s="2">
        <v>43831</v>
      </c>
      <c r="B652" s="3">
        <v>81971</v>
      </c>
      <c r="C652" s="4" t="s">
        <v>36</v>
      </c>
      <c r="D652" s="4" t="str">
        <f t="shared" si="16"/>
        <v>Sales</v>
      </c>
      <c r="E652" s="4" t="str">
        <f t="shared" si="17"/>
        <v>Intern</v>
      </c>
      <c r="F652" s="13">
        <v>737</v>
      </c>
      <c r="G652" s="13">
        <v>2</v>
      </c>
      <c r="H652" s="13">
        <v>8</v>
      </c>
      <c r="I652" s="2">
        <v>31607</v>
      </c>
      <c r="J652" s="15">
        <v>949805</v>
      </c>
      <c r="K652" s="4" t="s">
        <v>18</v>
      </c>
      <c r="L652" s="27">
        <f t="shared" si="18"/>
        <v>1986</v>
      </c>
      <c r="M652" s="27">
        <f t="shared" si="19"/>
        <v>1</v>
      </c>
      <c r="N652" s="27">
        <f t="shared" ca="1" si="22"/>
        <v>40</v>
      </c>
      <c r="O652" s="27" t="str" cm="1">
        <f t="array" ref="O652">_xlfn.IFS($F652&gt;=750,"Excellent",$F652&gt;=700,"Good",$F652&gt;=650,"Moderate",
$F652&lt;650,"Risky"
)</f>
        <v>Good</v>
      </c>
      <c r="P652" s="27" t="str" cm="1">
        <f t="array" ref="P652">_xlfn.IFS(
AND(F652&gt;=750,H652&lt;=2),"Low Risk",
AND(F652&gt;=700,H652&lt;=5),"Medium Risk",
TRUE,"High Risk"
)</f>
        <v>High Risk</v>
      </c>
      <c r="Q652" s="5"/>
      <c r="R652" s="5"/>
      <c r="S652" s="5"/>
      <c r="T652" s="5"/>
      <c r="U652" s="5"/>
      <c r="V652" s="5"/>
      <c r="W652" s="5"/>
      <c r="X652" s="5"/>
      <c r="Y652" s="5"/>
    </row>
    <row r="653" spans="1:25" ht="15.75" customHeight="1" x14ac:dyDescent="0.25">
      <c r="A653" s="2">
        <v>43911</v>
      </c>
      <c r="B653" s="3">
        <v>20146</v>
      </c>
      <c r="C653" s="4" t="s">
        <v>28</v>
      </c>
      <c r="D653" s="4" t="str">
        <f t="shared" si="16"/>
        <v>Growth</v>
      </c>
      <c r="E653" s="4" t="str">
        <f t="shared" si="17"/>
        <v>Director</v>
      </c>
      <c r="F653" s="13">
        <v>775</v>
      </c>
      <c r="G653" s="13">
        <v>4</v>
      </c>
      <c r="H653" s="13">
        <v>7</v>
      </c>
      <c r="I653" s="2">
        <v>31063</v>
      </c>
      <c r="J653" s="15">
        <v>956480</v>
      </c>
      <c r="K653" s="4" t="s">
        <v>18</v>
      </c>
      <c r="L653" s="27">
        <f t="shared" si="18"/>
        <v>1985</v>
      </c>
      <c r="M653" s="27">
        <f t="shared" si="19"/>
        <v>3</v>
      </c>
      <c r="N653" s="27">
        <f t="shared" ca="1" si="22"/>
        <v>41</v>
      </c>
      <c r="O653" s="27" t="str" cm="1">
        <f t="array" ref="O653">_xlfn.IFS($F653&gt;=750,"Excellent",$F653&gt;=700,"Good",$F653&gt;=650,"Moderate",
$F653&lt;650,"Risky"
)</f>
        <v>Excellent</v>
      </c>
      <c r="P653" s="27" t="str" cm="1">
        <f t="array" ref="P653">_xlfn.IFS(
AND(F653&gt;=750,H653&lt;=2),"Low Risk",
AND(F653&gt;=700,H653&lt;=5),"Medium Risk",
TRUE,"High Risk"
)</f>
        <v>High Risk</v>
      </c>
      <c r="Q653" s="5"/>
      <c r="R653" s="5"/>
      <c r="S653" s="5"/>
      <c r="T653" s="5"/>
      <c r="U653" s="5"/>
      <c r="V653" s="5"/>
      <c r="W653" s="5"/>
      <c r="X653" s="5"/>
      <c r="Y653" s="5"/>
    </row>
    <row r="654" spans="1:25" ht="15.75" customHeight="1" x14ac:dyDescent="0.25">
      <c r="A654" s="2">
        <v>43953</v>
      </c>
      <c r="B654" s="3">
        <v>63506</v>
      </c>
      <c r="C654" s="4" t="s">
        <v>33</v>
      </c>
      <c r="D654" s="4" t="str">
        <f t="shared" si="16"/>
        <v>Sales</v>
      </c>
      <c r="E654" s="4" t="str">
        <f t="shared" si="17"/>
        <v>Executive</v>
      </c>
      <c r="F654" s="13">
        <v>705</v>
      </c>
      <c r="G654" s="13">
        <v>4</v>
      </c>
      <c r="H654" s="13">
        <v>9</v>
      </c>
      <c r="I654" s="2">
        <v>31972</v>
      </c>
      <c r="J654" s="15">
        <v>981173</v>
      </c>
      <c r="K654" s="4" t="s">
        <v>21</v>
      </c>
      <c r="L654" s="27">
        <f t="shared" si="18"/>
        <v>1987</v>
      </c>
      <c r="M654" s="27">
        <f t="shared" si="19"/>
        <v>5</v>
      </c>
      <c r="N654" s="27">
        <f t="shared" ca="1" si="22"/>
        <v>39</v>
      </c>
      <c r="O654" s="27" t="str" cm="1">
        <f t="array" ref="O654">_xlfn.IFS($F654&gt;=750,"Excellent",$F654&gt;=700,"Good",$F654&gt;=650,"Moderate",
$F654&lt;650,"Risky"
)</f>
        <v>Good</v>
      </c>
      <c r="P654" s="27" t="str" cm="1">
        <f t="array" ref="P654">_xlfn.IFS(
AND(F654&gt;=750,H654&lt;=2),"Low Risk",
AND(F654&gt;=700,H654&lt;=5),"Medium Risk",
TRUE,"High Risk"
)</f>
        <v>High Risk</v>
      </c>
      <c r="Q654" s="5"/>
      <c r="R654" s="5"/>
      <c r="S654" s="5"/>
      <c r="T654" s="5"/>
      <c r="U654" s="5"/>
      <c r="V654" s="5"/>
      <c r="W654" s="5"/>
      <c r="X654" s="5"/>
      <c r="Y654" s="5"/>
    </row>
    <row r="655" spans="1:25" ht="15.75" customHeight="1" x14ac:dyDescent="0.25">
      <c r="A655" s="2">
        <v>43852</v>
      </c>
      <c r="B655" s="3">
        <v>45428</v>
      </c>
      <c r="C655" s="4" t="s">
        <v>39</v>
      </c>
      <c r="D655" s="4" t="str">
        <f t="shared" si="16"/>
        <v>Growth</v>
      </c>
      <c r="E655" s="4" t="str">
        <f t="shared" si="17"/>
        <v>Executive</v>
      </c>
      <c r="F655" s="13">
        <v>782</v>
      </c>
      <c r="G655" s="13">
        <v>5</v>
      </c>
      <c r="H655" s="13">
        <v>3</v>
      </c>
      <c r="I655" s="2">
        <v>30056</v>
      </c>
      <c r="J655" s="15">
        <v>616349</v>
      </c>
      <c r="K655" s="4" t="s">
        <v>14</v>
      </c>
      <c r="L655" s="27">
        <f t="shared" si="18"/>
        <v>1982</v>
      </c>
      <c r="M655" s="27">
        <f t="shared" si="19"/>
        <v>1</v>
      </c>
      <c r="N655" s="27">
        <f t="shared" ca="1" si="22"/>
        <v>44</v>
      </c>
      <c r="O655" s="27" t="str" cm="1">
        <f t="array" ref="O655">_xlfn.IFS($F655&gt;=750,"Excellent",$F655&gt;=700,"Good",$F655&gt;=650,"Moderate",
$F655&lt;650,"Risky"
)</f>
        <v>Excellent</v>
      </c>
      <c r="P655" s="27" t="str" cm="1">
        <f t="array" ref="P655">_xlfn.IFS(
AND(F655&gt;=750,H655&lt;=2),"Low Risk",
AND(F655&gt;=700,H655&lt;=5),"Medium Risk",
TRUE,"High Risk"
)</f>
        <v>Medium Risk</v>
      </c>
      <c r="Q655" s="5"/>
      <c r="R655" s="5"/>
      <c r="S655" s="5"/>
      <c r="T655" s="5"/>
      <c r="U655" s="5"/>
      <c r="V655" s="5"/>
      <c r="W655" s="5"/>
      <c r="X655" s="5"/>
      <c r="Y655" s="5"/>
    </row>
    <row r="656" spans="1:25" ht="15.75" customHeight="1" x14ac:dyDescent="0.25">
      <c r="A656" s="2">
        <v>44060</v>
      </c>
      <c r="B656" s="3">
        <v>86462</v>
      </c>
      <c r="C656" s="4" t="s">
        <v>25</v>
      </c>
      <c r="D656" s="4" t="str">
        <f t="shared" si="16"/>
        <v>Sales</v>
      </c>
      <c r="E656" s="4" t="str">
        <f t="shared" si="17"/>
        <v>Manager</v>
      </c>
      <c r="F656" s="13">
        <v>701</v>
      </c>
      <c r="G656" s="13">
        <v>1</v>
      </c>
      <c r="H656" s="13">
        <v>8</v>
      </c>
      <c r="I656" s="2">
        <v>31979</v>
      </c>
      <c r="J656" s="15">
        <v>916244</v>
      </c>
      <c r="K656" s="4" t="s">
        <v>18</v>
      </c>
      <c r="L656" s="27">
        <f t="shared" si="18"/>
        <v>1987</v>
      </c>
      <c r="M656" s="27">
        <f t="shared" si="19"/>
        <v>8</v>
      </c>
      <c r="N656" s="27">
        <f t="shared" ca="1" si="22"/>
        <v>39</v>
      </c>
      <c r="O656" s="27" t="str" cm="1">
        <f t="array" ref="O656">_xlfn.IFS($F656&gt;=750,"Excellent",$F656&gt;=700,"Good",$F656&gt;=650,"Moderate",
$F656&lt;650,"Risky"
)</f>
        <v>Good</v>
      </c>
      <c r="P656" s="27" t="str" cm="1">
        <f t="array" ref="P656">_xlfn.IFS(
AND(F656&gt;=750,H656&lt;=2),"Low Risk",
AND(F656&gt;=700,H656&lt;=5),"Medium Risk",
TRUE,"High Risk"
)</f>
        <v>High Risk</v>
      </c>
      <c r="Q656" s="5"/>
      <c r="R656" s="5"/>
      <c r="S656" s="5"/>
      <c r="T656" s="5"/>
      <c r="U656" s="5"/>
      <c r="V656" s="5"/>
      <c r="W656" s="5"/>
      <c r="X656" s="5"/>
      <c r="Y656" s="5"/>
    </row>
    <row r="657" spans="1:25" ht="15.75" customHeight="1" x14ac:dyDescent="0.25">
      <c r="A657" s="2">
        <v>43910</v>
      </c>
      <c r="B657" s="3">
        <v>30763</v>
      </c>
      <c r="C657" s="4" t="s">
        <v>20</v>
      </c>
      <c r="D657" s="4" t="str">
        <f t="shared" si="16"/>
        <v>Operation</v>
      </c>
      <c r="E657" s="4" t="str">
        <f t="shared" si="17"/>
        <v>Manager</v>
      </c>
      <c r="F657" s="13">
        <v>747</v>
      </c>
      <c r="G657" s="13">
        <v>2</v>
      </c>
      <c r="H657" s="13">
        <v>2</v>
      </c>
      <c r="I657" s="2">
        <v>34082</v>
      </c>
      <c r="J657" s="15">
        <v>865981</v>
      </c>
      <c r="K657" s="4" t="s">
        <v>14</v>
      </c>
      <c r="L657" s="27">
        <f t="shared" si="18"/>
        <v>1993</v>
      </c>
      <c r="M657" s="27">
        <f t="shared" si="19"/>
        <v>3</v>
      </c>
      <c r="N657" s="27">
        <f t="shared" ca="1" si="22"/>
        <v>33</v>
      </c>
      <c r="O657" s="27" t="str" cm="1">
        <f t="array" ref="O657">_xlfn.IFS($F657&gt;=750,"Excellent",$F657&gt;=700,"Good",$F657&gt;=650,"Moderate",
$F657&lt;650,"Risky"
)</f>
        <v>Good</v>
      </c>
      <c r="P657" s="27" t="str" cm="1">
        <f t="array" ref="P657">_xlfn.IFS(
AND(F657&gt;=750,H657&lt;=2),"Low Risk",
AND(F657&gt;=700,H657&lt;=5),"Medium Risk",
TRUE,"High Risk"
)</f>
        <v>Medium Risk</v>
      </c>
      <c r="Q657" s="5"/>
      <c r="R657" s="5"/>
      <c r="S657" s="5"/>
      <c r="T657" s="5"/>
      <c r="U657" s="5"/>
      <c r="V657" s="5"/>
      <c r="W657" s="5"/>
      <c r="X657" s="5"/>
      <c r="Y657" s="5"/>
    </row>
    <row r="658" spans="1:25" ht="15.75" customHeight="1" x14ac:dyDescent="0.25">
      <c r="A658" s="2">
        <v>44147</v>
      </c>
      <c r="B658" s="3">
        <v>10594</v>
      </c>
      <c r="C658" s="4" t="s">
        <v>20</v>
      </c>
      <c r="D658" s="4" t="str">
        <f t="shared" si="16"/>
        <v>Operation</v>
      </c>
      <c r="E658" s="4" t="str">
        <f t="shared" si="17"/>
        <v>Manager</v>
      </c>
      <c r="F658" s="13">
        <v>764</v>
      </c>
      <c r="G658" s="13">
        <v>4</v>
      </c>
      <c r="H658" s="13">
        <v>10</v>
      </c>
      <c r="I658" s="2">
        <v>31129</v>
      </c>
      <c r="J658" s="15">
        <v>605195</v>
      </c>
      <c r="K658" s="4" t="s">
        <v>18</v>
      </c>
      <c r="L658" s="27">
        <f t="shared" si="18"/>
        <v>1985</v>
      </c>
      <c r="M658" s="27">
        <f t="shared" si="19"/>
        <v>11</v>
      </c>
      <c r="N658" s="27">
        <f t="shared" ca="1" si="22"/>
        <v>41</v>
      </c>
      <c r="O658" s="27" t="str" cm="1">
        <f t="array" ref="O658">_xlfn.IFS($F658&gt;=750,"Excellent",$F658&gt;=700,"Good",$F658&gt;=650,"Moderate",
$F658&lt;650,"Risky"
)</f>
        <v>Excellent</v>
      </c>
      <c r="P658" s="27" t="str" cm="1">
        <f t="array" ref="P658">_xlfn.IFS(
AND(F658&gt;=750,H658&lt;=2),"Low Risk",
AND(F658&gt;=700,H658&lt;=5),"Medium Risk",
TRUE,"High Risk"
)</f>
        <v>High Risk</v>
      </c>
      <c r="Q658" s="5"/>
      <c r="R658" s="5"/>
      <c r="S658" s="5"/>
      <c r="T658" s="5"/>
      <c r="U658" s="5"/>
      <c r="V658" s="5"/>
      <c r="W658" s="5"/>
      <c r="X658" s="5"/>
      <c r="Y658" s="5"/>
    </row>
    <row r="659" spans="1:25" ht="15.75" customHeight="1" x14ac:dyDescent="0.25">
      <c r="A659" s="2">
        <v>43953</v>
      </c>
      <c r="B659" s="3">
        <v>37893</v>
      </c>
      <c r="C659" s="4" t="s">
        <v>35</v>
      </c>
      <c r="D659" s="4" t="str">
        <f t="shared" si="16"/>
        <v>Growth</v>
      </c>
      <c r="E659" s="4" t="str">
        <f t="shared" si="17"/>
        <v>Intern</v>
      </c>
      <c r="F659" s="13">
        <v>780</v>
      </c>
      <c r="G659" s="13">
        <v>5</v>
      </c>
      <c r="H659" s="13">
        <v>9</v>
      </c>
      <c r="I659" s="2">
        <v>34290</v>
      </c>
      <c r="J659" s="15">
        <v>544939</v>
      </c>
      <c r="K659" s="4" t="s">
        <v>21</v>
      </c>
      <c r="L659" s="27">
        <f t="shared" si="18"/>
        <v>1993</v>
      </c>
      <c r="M659" s="27">
        <f t="shared" si="19"/>
        <v>5</v>
      </c>
      <c r="N659" s="27">
        <f t="shared" ca="1" si="22"/>
        <v>33</v>
      </c>
      <c r="O659" s="27" t="str" cm="1">
        <f t="array" ref="O659">_xlfn.IFS($F659&gt;=750,"Excellent",$F659&gt;=700,"Good",$F659&gt;=650,"Moderate",
$F659&lt;650,"Risky"
)</f>
        <v>Excellent</v>
      </c>
      <c r="P659" s="27" t="str" cm="1">
        <f t="array" ref="P659">_xlfn.IFS(
AND(F659&gt;=750,H659&lt;=2),"Low Risk",
AND(F659&gt;=700,H659&lt;=5),"Medium Risk",
TRUE,"High Risk"
)</f>
        <v>High Risk</v>
      </c>
      <c r="Q659" s="5"/>
      <c r="R659" s="5"/>
      <c r="S659" s="5"/>
      <c r="T659" s="5"/>
      <c r="U659" s="5"/>
      <c r="V659" s="5"/>
      <c r="W659" s="5"/>
      <c r="X659" s="5"/>
      <c r="Y659" s="5"/>
    </row>
    <row r="660" spans="1:25" ht="15.75" customHeight="1" x14ac:dyDescent="0.25">
      <c r="A660" s="2">
        <v>43842</v>
      </c>
      <c r="B660" s="3">
        <v>35349</v>
      </c>
      <c r="C660" s="4" t="s">
        <v>37</v>
      </c>
      <c r="D660" s="4" t="str">
        <f t="shared" si="16"/>
        <v>Strategy</v>
      </c>
      <c r="E660" s="4" t="str">
        <f t="shared" si="17"/>
        <v>Director</v>
      </c>
      <c r="F660" s="13">
        <v>785</v>
      </c>
      <c r="G660" s="13">
        <v>1</v>
      </c>
      <c r="H660" s="13">
        <v>5</v>
      </c>
      <c r="I660" s="2">
        <v>31091</v>
      </c>
      <c r="J660" s="15">
        <v>908893</v>
      </c>
      <c r="K660" s="4" t="s">
        <v>21</v>
      </c>
      <c r="L660" s="27">
        <f t="shared" si="18"/>
        <v>1985</v>
      </c>
      <c r="M660" s="27">
        <f t="shared" si="19"/>
        <v>1</v>
      </c>
      <c r="N660" s="27">
        <f t="shared" ca="1" si="22"/>
        <v>41</v>
      </c>
      <c r="O660" s="27" t="str" cm="1">
        <f t="array" ref="O660">_xlfn.IFS($F660&gt;=750,"Excellent",$F660&gt;=700,"Good",$F660&gt;=650,"Moderate",
$F660&lt;650,"Risky"
)</f>
        <v>Excellent</v>
      </c>
      <c r="P660" s="27" t="str" cm="1">
        <f t="array" ref="P660">_xlfn.IFS(
AND(F660&gt;=750,H660&lt;=2),"Low Risk",
AND(F660&gt;=700,H660&lt;=5),"Medium Risk",
TRUE,"High Risk"
)</f>
        <v>Medium Risk</v>
      </c>
      <c r="Q660" s="5"/>
      <c r="R660" s="5"/>
      <c r="S660" s="5"/>
      <c r="T660" s="5"/>
      <c r="U660" s="5"/>
      <c r="V660" s="5"/>
      <c r="W660" s="5"/>
      <c r="X660" s="5"/>
      <c r="Y660" s="5"/>
    </row>
    <row r="661" spans="1:25" ht="15.75" customHeight="1" x14ac:dyDescent="0.25">
      <c r="A661" s="2">
        <v>43965</v>
      </c>
      <c r="B661" s="3">
        <v>50662</v>
      </c>
      <c r="C661" s="4" t="s">
        <v>17</v>
      </c>
      <c r="D661" s="4" t="str">
        <f t="shared" si="16"/>
        <v>Growth</v>
      </c>
      <c r="E661" s="4" t="str">
        <f t="shared" si="17"/>
        <v>Manager</v>
      </c>
      <c r="F661" s="13">
        <v>756</v>
      </c>
      <c r="G661" s="13">
        <v>4</v>
      </c>
      <c r="H661" s="13">
        <v>5</v>
      </c>
      <c r="I661" s="2">
        <v>33784</v>
      </c>
      <c r="J661" s="15">
        <v>727711</v>
      </c>
      <c r="K661" s="4" t="s">
        <v>18</v>
      </c>
      <c r="L661" s="27">
        <f t="shared" si="18"/>
        <v>1992</v>
      </c>
      <c r="M661" s="27">
        <f t="shared" si="19"/>
        <v>5</v>
      </c>
      <c r="N661" s="27">
        <f t="shared" ca="1" si="22"/>
        <v>34</v>
      </c>
      <c r="O661" s="27" t="str" cm="1">
        <f t="array" ref="O661">_xlfn.IFS($F661&gt;=750,"Excellent",$F661&gt;=700,"Good",$F661&gt;=650,"Moderate",
$F661&lt;650,"Risky"
)</f>
        <v>Excellent</v>
      </c>
      <c r="P661" s="27" t="str" cm="1">
        <f t="array" ref="P661">_xlfn.IFS(
AND(F661&gt;=750,H661&lt;=2),"Low Risk",
AND(F661&gt;=700,H661&lt;=5),"Medium Risk",
TRUE,"High Risk"
)</f>
        <v>Medium Risk</v>
      </c>
      <c r="Q661" s="5"/>
      <c r="R661" s="5"/>
      <c r="S661" s="5"/>
      <c r="T661" s="5"/>
      <c r="U661" s="5"/>
      <c r="V661" s="5"/>
      <c r="W661" s="5"/>
      <c r="X661" s="5"/>
      <c r="Y661" s="5"/>
    </row>
    <row r="662" spans="1:25" ht="15.75" customHeight="1" x14ac:dyDescent="0.25">
      <c r="A662" s="2">
        <v>44020</v>
      </c>
      <c r="B662" s="3">
        <v>60718</v>
      </c>
      <c r="C662" s="4" t="s">
        <v>33</v>
      </c>
      <c r="D662" s="4" t="str">
        <f t="shared" si="16"/>
        <v>Sales</v>
      </c>
      <c r="E662" s="4" t="str">
        <f t="shared" si="17"/>
        <v>Executive</v>
      </c>
      <c r="F662" s="13">
        <v>704</v>
      </c>
      <c r="G662" s="13">
        <v>2</v>
      </c>
      <c r="H662" s="13">
        <v>3</v>
      </c>
      <c r="I662" s="2">
        <v>34493</v>
      </c>
      <c r="J662" s="15">
        <v>742117</v>
      </c>
      <c r="K662" s="4" t="s">
        <v>14</v>
      </c>
      <c r="L662" s="27">
        <f t="shared" si="18"/>
        <v>1994</v>
      </c>
      <c r="M662" s="27">
        <f t="shared" si="19"/>
        <v>7</v>
      </c>
      <c r="N662" s="27">
        <f t="shared" ca="1" si="22"/>
        <v>32</v>
      </c>
      <c r="O662" s="27" t="str" cm="1">
        <f t="array" ref="O662">_xlfn.IFS($F662&gt;=750,"Excellent",$F662&gt;=700,"Good",$F662&gt;=650,"Moderate",
$F662&lt;650,"Risky"
)</f>
        <v>Good</v>
      </c>
      <c r="P662" s="27" t="str" cm="1">
        <f t="array" ref="P662">_xlfn.IFS(
AND(F662&gt;=750,H662&lt;=2),"Low Risk",
AND(F662&gt;=700,H662&lt;=5),"Medium Risk",
TRUE,"High Risk"
)</f>
        <v>Medium Risk</v>
      </c>
      <c r="Q662" s="5"/>
      <c r="R662" s="5"/>
      <c r="S662" s="5"/>
      <c r="T662" s="5"/>
      <c r="U662" s="5"/>
      <c r="V662" s="5"/>
      <c r="W662" s="5"/>
      <c r="X662" s="5"/>
      <c r="Y662" s="5"/>
    </row>
    <row r="663" spans="1:25" ht="15.75" customHeight="1" x14ac:dyDescent="0.25">
      <c r="A663" s="2">
        <v>44010</v>
      </c>
      <c r="B663" s="3">
        <v>94341</v>
      </c>
      <c r="C663" s="4" t="s">
        <v>29</v>
      </c>
      <c r="D663" s="4" t="str">
        <f t="shared" si="16"/>
        <v>Sales</v>
      </c>
      <c r="E663" s="4" t="str">
        <f t="shared" si="17"/>
        <v>Director</v>
      </c>
      <c r="F663" s="13">
        <v>747</v>
      </c>
      <c r="G663" s="13">
        <v>2</v>
      </c>
      <c r="H663" s="13">
        <v>10</v>
      </c>
      <c r="I663" s="2">
        <v>29738</v>
      </c>
      <c r="J663" s="15">
        <v>980054</v>
      </c>
      <c r="K663" s="4" t="s">
        <v>21</v>
      </c>
      <c r="L663" s="27">
        <f t="shared" si="18"/>
        <v>1981</v>
      </c>
      <c r="M663" s="27">
        <f t="shared" si="19"/>
        <v>6</v>
      </c>
      <c r="N663" s="27">
        <f t="shared" ca="1" si="22"/>
        <v>45</v>
      </c>
      <c r="O663" s="27" t="str" cm="1">
        <f t="array" ref="O663">_xlfn.IFS($F663&gt;=750,"Excellent",$F663&gt;=700,"Good",$F663&gt;=650,"Moderate",
$F663&lt;650,"Risky"
)</f>
        <v>Good</v>
      </c>
      <c r="P663" s="27" t="str" cm="1">
        <f t="array" ref="P663">_xlfn.IFS(
AND(F663&gt;=750,H663&lt;=2),"Low Risk",
AND(F663&gt;=700,H663&lt;=5),"Medium Risk",
TRUE,"High Risk"
)</f>
        <v>High Risk</v>
      </c>
      <c r="Q663" s="5"/>
      <c r="R663" s="5"/>
      <c r="S663" s="5"/>
      <c r="T663" s="5"/>
      <c r="U663" s="5"/>
      <c r="V663" s="5"/>
      <c r="W663" s="5"/>
      <c r="X663" s="5"/>
      <c r="Y663" s="5"/>
    </row>
    <row r="664" spans="1:25" ht="15.75" customHeight="1" x14ac:dyDescent="0.25">
      <c r="A664" s="2">
        <v>43904</v>
      </c>
      <c r="B664" s="3">
        <v>69843</v>
      </c>
      <c r="C664" s="4" t="s">
        <v>26</v>
      </c>
      <c r="D664" s="4" t="str">
        <f t="shared" si="16"/>
        <v>Strategy</v>
      </c>
      <c r="E664" s="4" t="str">
        <f t="shared" si="17"/>
        <v>Manager</v>
      </c>
      <c r="F664" s="13">
        <v>704</v>
      </c>
      <c r="G664" s="13">
        <v>2</v>
      </c>
      <c r="H664" s="13">
        <v>1</v>
      </c>
      <c r="I664" s="2">
        <v>30485</v>
      </c>
      <c r="J664" s="15">
        <v>564431</v>
      </c>
      <c r="K664" s="4" t="s">
        <v>14</v>
      </c>
      <c r="L664" s="27">
        <f t="shared" si="18"/>
        <v>1983</v>
      </c>
      <c r="M664" s="27">
        <f t="shared" si="19"/>
        <v>3</v>
      </c>
      <c r="N664" s="27">
        <f t="shared" ca="1" si="22"/>
        <v>43</v>
      </c>
      <c r="O664" s="27" t="str" cm="1">
        <f t="array" ref="O664">_xlfn.IFS($F664&gt;=750,"Excellent",$F664&gt;=700,"Good",$F664&gt;=650,"Moderate",
$F664&lt;650,"Risky"
)</f>
        <v>Good</v>
      </c>
      <c r="P664" s="27" t="str" cm="1">
        <f t="array" ref="P664">_xlfn.IFS(
AND(F664&gt;=750,H664&lt;=2),"Low Risk",
AND(F664&gt;=700,H664&lt;=5),"Medium Risk",
TRUE,"High Risk"
)</f>
        <v>Medium Risk</v>
      </c>
      <c r="Q664" s="5"/>
      <c r="R664" s="5"/>
      <c r="S664" s="5"/>
      <c r="T664" s="5"/>
      <c r="U664" s="5"/>
      <c r="V664" s="5"/>
      <c r="W664" s="5"/>
      <c r="X664" s="5"/>
      <c r="Y664" s="5"/>
    </row>
    <row r="665" spans="1:25" ht="15.75" customHeight="1" x14ac:dyDescent="0.25">
      <c r="A665" s="2">
        <v>43934</v>
      </c>
      <c r="B665" s="3">
        <v>16301</v>
      </c>
      <c r="C665" s="4" t="s">
        <v>22</v>
      </c>
      <c r="D665" s="4" t="str">
        <f t="shared" si="16"/>
        <v>Strategy</v>
      </c>
      <c r="E665" s="4" t="str">
        <f t="shared" si="17"/>
        <v>Executive</v>
      </c>
      <c r="F665" s="13">
        <v>754</v>
      </c>
      <c r="G665" s="13">
        <v>2</v>
      </c>
      <c r="H665" s="13">
        <v>10</v>
      </c>
      <c r="I665" s="2">
        <v>31004</v>
      </c>
      <c r="J665" s="15">
        <v>510077</v>
      </c>
      <c r="K665" s="4" t="s">
        <v>18</v>
      </c>
      <c r="L665" s="27">
        <f t="shared" si="18"/>
        <v>1984</v>
      </c>
      <c r="M665" s="27">
        <f t="shared" si="19"/>
        <v>4</v>
      </c>
      <c r="N665" s="27">
        <f t="shared" ca="1" si="22"/>
        <v>42</v>
      </c>
      <c r="O665" s="27" t="str" cm="1">
        <f t="array" ref="O665">_xlfn.IFS($F665&gt;=750,"Excellent",$F665&gt;=700,"Good",$F665&gt;=650,"Moderate",
$F665&lt;650,"Risky"
)</f>
        <v>Excellent</v>
      </c>
      <c r="P665" s="27" t="str" cm="1">
        <f t="array" ref="P665">_xlfn.IFS(
AND(F665&gt;=750,H665&lt;=2),"Low Risk",
AND(F665&gt;=700,H665&lt;=5),"Medium Risk",
TRUE,"High Risk"
)</f>
        <v>High Risk</v>
      </c>
      <c r="Q665" s="5"/>
      <c r="R665" s="5"/>
      <c r="S665" s="5"/>
      <c r="T665" s="5"/>
      <c r="U665" s="5"/>
      <c r="V665" s="5"/>
      <c r="W665" s="5"/>
      <c r="X665" s="5"/>
      <c r="Y665" s="5"/>
    </row>
    <row r="666" spans="1:25" ht="15.75" customHeight="1" x14ac:dyDescent="0.25">
      <c r="A666" s="2">
        <v>44110</v>
      </c>
      <c r="B666" s="3">
        <v>36271</v>
      </c>
      <c r="C666" s="4" t="s">
        <v>29</v>
      </c>
      <c r="D666" s="4" t="str">
        <f t="shared" si="16"/>
        <v>Sales</v>
      </c>
      <c r="E666" s="4" t="str">
        <f t="shared" si="17"/>
        <v>Director</v>
      </c>
      <c r="F666" s="13">
        <v>783</v>
      </c>
      <c r="G666" s="13">
        <v>3</v>
      </c>
      <c r="H666" s="13">
        <v>1</v>
      </c>
      <c r="I666" s="2">
        <v>32140</v>
      </c>
      <c r="J666" s="15">
        <v>763053</v>
      </c>
      <c r="K666" s="4" t="s">
        <v>14</v>
      </c>
      <c r="L666" s="27">
        <f t="shared" si="18"/>
        <v>1987</v>
      </c>
      <c r="M666" s="27">
        <f t="shared" si="19"/>
        <v>10</v>
      </c>
      <c r="N666" s="27">
        <f t="shared" ca="1" si="22"/>
        <v>39</v>
      </c>
      <c r="O666" s="27" t="str" cm="1">
        <f t="array" ref="O666">_xlfn.IFS($F666&gt;=750,"Excellent",$F666&gt;=700,"Good",$F666&gt;=650,"Moderate",
$F666&lt;650,"Risky"
)</f>
        <v>Excellent</v>
      </c>
      <c r="P666" s="27" t="str" cm="1">
        <f t="array" ref="P666">_xlfn.IFS(
AND(F666&gt;=750,H666&lt;=2),"Low Risk",
AND(F666&gt;=700,H666&lt;=5),"Medium Risk",
TRUE,"High Risk"
)</f>
        <v>Low Risk</v>
      </c>
      <c r="Q666" s="5"/>
      <c r="R666" s="5"/>
      <c r="S666" s="5"/>
      <c r="T666" s="5"/>
      <c r="U666" s="5"/>
      <c r="V666" s="5"/>
      <c r="W666" s="5"/>
      <c r="X666" s="5"/>
      <c r="Y666" s="5"/>
    </row>
    <row r="667" spans="1:25" ht="15.75" customHeight="1" x14ac:dyDescent="0.25">
      <c r="A667" s="2">
        <v>43965</v>
      </c>
      <c r="B667" s="3">
        <v>52014</v>
      </c>
      <c r="C667" s="4" t="s">
        <v>13</v>
      </c>
      <c r="D667" s="4" t="str">
        <f t="shared" si="16"/>
        <v>Marketing</v>
      </c>
      <c r="E667" s="4" t="str">
        <f t="shared" si="17"/>
        <v>Director</v>
      </c>
      <c r="F667" s="13">
        <v>769</v>
      </c>
      <c r="G667" s="13">
        <v>2</v>
      </c>
      <c r="H667" s="13">
        <v>8</v>
      </c>
      <c r="I667" s="2">
        <v>32920</v>
      </c>
      <c r="J667" s="15">
        <v>697289</v>
      </c>
      <c r="K667" s="4" t="s">
        <v>21</v>
      </c>
      <c r="L667" s="27">
        <f t="shared" si="18"/>
        <v>1990</v>
      </c>
      <c r="M667" s="27">
        <f t="shared" si="19"/>
        <v>5</v>
      </c>
      <c r="N667" s="27">
        <f t="shared" ca="1" si="22"/>
        <v>36</v>
      </c>
      <c r="O667" s="27" t="str" cm="1">
        <f t="array" ref="O667">_xlfn.IFS($F667&gt;=750,"Excellent",$F667&gt;=700,"Good",$F667&gt;=650,"Moderate",
$F667&lt;650,"Risky"
)</f>
        <v>Excellent</v>
      </c>
      <c r="P667" s="27" t="str" cm="1">
        <f t="array" ref="P667">_xlfn.IFS(
AND(F667&gt;=750,H667&lt;=2),"Low Risk",
AND(F667&gt;=700,H667&lt;=5),"Medium Risk",
TRUE,"High Risk"
)</f>
        <v>High Risk</v>
      </c>
      <c r="Q667" s="5"/>
      <c r="R667" s="5"/>
      <c r="S667" s="5"/>
      <c r="T667" s="5"/>
      <c r="U667" s="5"/>
      <c r="V667" s="5"/>
      <c r="W667" s="5"/>
      <c r="X667" s="5"/>
      <c r="Y667" s="5"/>
    </row>
    <row r="668" spans="1:25" ht="15.75" customHeight="1" x14ac:dyDescent="0.25">
      <c r="A668" s="2">
        <v>44033</v>
      </c>
      <c r="B668" s="3">
        <v>40231</v>
      </c>
      <c r="C668" s="4" t="s">
        <v>34</v>
      </c>
      <c r="D668" s="4" t="str">
        <f t="shared" si="16"/>
        <v>Finance</v>
      </c>
      <c r="E668" s="4" t="str">
        <f t="shared" si="17"/>
        <v>Director</v>
      </c>
      <c r="F668" s="13">
        <v>727</v>
      </c>
      <c r="G668" s="13">
        <v>1</v>
      </c>
      <c r="H668" s="13">
        <v>2</v>
      </c>
      <c r="I668" s="2">
        <v>30549</v>
      </c>
      <c r="J668" s="15">
        <v>926458</v>
      </c>
      <c r="K668" s="4" t="s">
        <v>14</v>
      </c>
      <c r="L668" s="27">
        <f t="shared" si="18"/>
        <v>1983</v>
      </c>
      <c r="M668" s="27">
        <f t="shared" si="19"/>
        <v>7</v>
      </c>
      <c r="N668" s="27">
        <f t="shared" ca="1" si="22"/>
        <v>43</v>
      </c>
      <c r="O668" s="27" t="str" cm="1">
        <f t="array" ref="O668">_xlfn.IFS($F668&gt;=750,"Excellent",$F668&gt;=700,"Good",$F668&gt;=650,"Moderate",
$F668&lt;650,"Risky"
)</f>
        <v>Good</v>
      </c>
      <c r="P668" s="27" t="str" cm="1">
        <f t="array" ref="P668">_xlfn.IFS(
AND(F668&gt;=750,H668&lt;=2),"Low Risk",
AND(F668&gt;=700,H668&lt;=5),"Medium Risk",
TRUE,"High Risk"
)</f>
        <v>Medium Risk</v>
      </c>
      <c r="Q668" s="5"/>
      <c r="R668" s="5"/>
      <c r="S668" s="5"/>
      <c r="T668" s="5"/>
      <c r="U668" s="5"/>
      <c r="V668" s="5"/>
      <c r="W668" s="5"/>
      <c r="X668" s="5"/>
      <c r="Y668" s="5"/>
    </row>
    <row r="669" spans="1:25" ht="15.75" customHeight="1" x14ac:dyDescent="0.25">
      <c r="A669" s="2">
        <v>44130</v>
      </c>
      <c r="B669" s="3">
        <v>90401</v>
      </c>
      <c r="C669" s="4" t="s">
        <v>32</v>
      </c>
      <c r="D669" s="4" t="str">
        <f t="shared" si="16"/>
        <v>Finance</v>
      </c>
      <c r="E669" s="4" t="str">
        <f t="shared" si="17"/>
        <v>Executive</v>
      </c>
      <c r="F669" s="13">
        <v>788</v>
      </c>
      <c r="G669" s="13">
        <v>4</v>
      </c>
      <c r="H669" s="13">
        <v>4</v>
      </c>
      <c r="I669" s="2">
        <v>34111</v>
      </c>
      <c r="J669" s="15">
        <v>541072</v>
      </c>
      <c r="K669" s="4" t="s">
        <v>18</v>
      </c>
      <c r="L669" s="27">
        <f t="shared" si="18"/>
        <v>1993</v>
      </c>
      <c r="M669" s="27">
        <f t="shared" si="19"/>
        <v>10</v>
      </c>
      <c r="N669" s="27">
        <f t="shared" ca="1" si="22"/>
        <v>33</v>
      </c>
      <c r="O669" s="27" t="str" cm="1">
        <f t="array" ref="O669">_xlfn.IFS($F669&gt;=750,"Excellent",$F669&gt;=700,"Good",$F669&gt;=650,"Moderate",
$F669&lt;650,"Risky"
)</f>
        <v>Excellent</v>
      </c>
      <c r="P669" s="27" t="str" cm="1">
        <f t="array" ref="P669">_xlfn.IFS(
AND(F669&gt;=750,H669&lt;=2),"Low Risk",
AND(F669&gt;=700,H669&lt;=5),"Medium Risk",
TRUE,"High Risk"
)</f>
        <v>Medium Risk</v>
      </c>
      <c r="Q669" s="5"/>
      <c r="R669" s="5"/>
      <c r="S669" s="5"/>
      <c r="T669" s="5"/>
      <c r="U669" s="5"/>
      <c r="V669" s="5"/>
      <c r="W669" s="5"/>
      <c r="X669" s="5"/>
      <c r="Y669" s="5"/>
    </row>
    <row r="670" spans="1:25" ht="15.75" customHeight="1" x14ac:dyDescent="0.25">
      <c r="A670" s="2">
        <v>43899</v>
      </c>
      <c r="B670" s="3">
        <v>45815</v>
      </c>
      <c r="C670" s="4" t="s">
        <v>30</v>
      </c>
      <c r="D670" s="4" t="str">
        <f t="shared" si="16"/>
        <v>Operation</v>
      </c>
      <c r="E670" s="4" t="str">
        <f t="shared" si="17"/>
        <v>Director</v>
      </c>
      <c r="F670" s="13">
        <v>766</v>
      </c>
      <c r="G670" s="13">
        <v>4</v>
      </c>
      <c r="H670" s="13">
        <v>3</v>
      </c>
      <c r="I670" s="2">
        <v>31747</v>
      </c>
      <c r="J670" s="15">
        <v>929726</v>
      </c>
      <c r="K670" s="4" t="s">
        <v>21</v>
      </c>
      <c r="L670" s="27">
        <f t="shared" si="18"/>
        <v>1986</v>
      </c>
      <c r="M670" s="27">
        <f t="shared" si="19"/>
        <v>3</v>
      </c>
      <c r="N670" s="27">
        <f t="shared" ca="1" si="22"/>
        <v>40</v>
      </c>
      <c r="O670" s="27" t="str" cm="1">
        <f t="array" ref="O670">_xlfn.IFS($F670&gt;=750,"Excellent",$F670&gt;=700,"Good",$F670&gt;=650,"Moderate",
$F670&lt;650,"Risky"
)</f>
        <v>Excellent</v>
      </c>
      <c r="P670" s="27" t="str" cm="1">
        <f t="array" ref="P670">_xlfn.IFS(
AND(F670&gt;=750,H670&lt;=2),"Low Risk",
AND(F670&gt;=700,H670&lt;=5),"Medium Risk",
TRUE,"High Risk"
)</f>
        <v>Medium Risk</v>
      </c>
      <c r="Q670" s="5"/>
      <c r="R670" s="5"/>
      <c r="S670" s="5"/>
      <c r="T670" s="5"/>
      <c r="U670" s="5"/>
      <c r="V670" s="5"/>
      <c r="W670" s="5"/>
      <c r="X670" s="5"/>
      <c r="Y670" s="5"/>
    </row>
    <row r="671" spans="1:25" ht="15.75" customHeight="1" x14ac:dyDescent="0.25">
      <c r="A671" s="2">
        <v>44035</v>
      </c>
      <c r="B671" s="3">
        <v>98390</v>
      </c>
      <c r="C671" s="4" t="s">
        <v>24</v>
      </c>
      <c r="D671" s="4" t="str">
        <f t="shared" si="16"/>
        <v>Strategy</v>
      </c>
      <c r="E671" s="4" t="str">
        <f t="shared" si="17"/>
        <v>Intern</v>
      </c>
      <c r="F671" s="13">
        <v>752</v>
      </c>
      <c r="G671" s="13">
        <v>2</v>
      </c>
      <c r="H671" s="13">
        <v>5</v>
      </c>
      <c r="I671" s="2">
        <v>29835</v>
      </c>
      <c r="J671" s="15">
        <v>570686</v>
      </c>
      <c r="K671" s="4" t="s">
        <v>21</v>
      </c>
      <c r="L671" s="27">
        <f t="shared" si="18"/>
        <v>1981</v>
      </c>
      <c r="M671" s="27">
        <f t="shared" si="19"/>
        <v>7</v>
      </c>
      <c r="N671" s="27">
        <f t="shared" ca="1" si="22"/>
        <v>45</v>
      </c>
      <c r="O671" s="27" t="str" cm="1">
        <f t="array" ref="O671">_xlfn.IFS($F671&gt;=750,"Excellent",$F671&gt;=700,"Good",$F671&gt;=650,"Moderate",
$F671&lt;650,"Risky"
)</f>
        <v>Excellent</v>
      </c>
      <c r="P671" s="27" t="str" cm="1">
        <f t="array" ref="P671">_xlfn.IFS(
AND(F671&gt;=750,H671&lt;=2),"Low Risk",
AND(F671&gt;=700,H671&lt;=5),"Medium Risk",
TRUE,"High Risk"
)</f>
        <v>Medium Risk</v>
      </c>
      <c r="Q671" s="5"/>
      <c r="R671" s="5"/>
      <c r="S671" s="5"/>
      <c r="T671" s="5"/>
      <c r="U671" s="5"/>
      <c r="V671" s="5"/>
      <c r="W671" s="5"/>
      <c r="X671" s="5"/>
      <c r="Y671" s="5"/>
    </row>
    <row r="672" spans="1:25" ht="15.75" customHeight="1" x14ac:dyDescent="0.25">
      <c r="A672" s="2">
        <v>43864</v>
      </c>
      <c r="B672" s="3">
        <v>19699</v>
      </c>
      <c r="C672" s="4" t="s">
        <v>37</v>
      </c>
      <c r="D672" s="4" t="str">
        <f t="shared" si="16"/>
        <v>Strategy</v>
      </c>
      <c r="E672" s="4" t="str">
        <f t="shared" si="17"/>
        <v>Director</v>
      </c>
      <c r="F672" s="13">
        <v>728</v>
      </c>
      <c r="G672" s="13">
        <v>3</v>
      </c>
      <c r="H672" s="13">
        <v>8</v>
      </c>
      <c r="I672" s="2">
        <v>31568</v>
      </c>
      <c r="J672" s="15">
        <v>725775</v>
      </c>
      <c r="K672" s="4" t="s">
        <v>21</v>
      </c>
      <c r="L672" s="27">
        <f t="shared" si="18"/>
        <v>1986</v>
      </c>
      <c r="M672" s="27">
        <f t="shared" si="19"/>
        <v>2</v>
      </c>
      <c r="N672" s="27">
        <f t="shared" ca="1" si="22"/>
        <v>40</v>
      </c>
      <c r="O672" s="27" t="str" cm="1">
        <f t="array" ref="O672">_xlfn.IFS($F672&gt;=750,"Excellent",$F672&gt;=700,"Good",$F672&gt;=650,"Moderate",
$F672&lt;650,"Risky"
)</f>
        <v>Good</v>
      </c>
      <c r="P672" s="27" t="str" cm="1">
        <f t="array" ref="P672">_xlfn.IFS(
AND(F672&gt;=750,H672&lt;=2),"Low Risk",
AND(F672&gt;=700,H672&lt;=5),"Medium Risk",
TRUE,"High Risk"
)</f>
        <v>High Risk</v>
      </c>
      <c r="Q672" s="5"/>
      <c r="R672" s="5"/>
      <c r="S672" s="5"/>
      <c r="T672" s="5"/>
      <c r="U672" s="5"/>
      <c r="V672" s="5"/>
      <c r="W672" s="5"/>
      <c r="X672" s="5"/>
      <c r="Y672" s="5"/>
    </row>
    <row r="673" spans="1:25" ht="15.75" customHeight="1" x14ac:dyDescent="0.25">
      <c r="A673" s="2">
        <v>43873</v>
      </c>
      <c r="B673" s="3">
        <v>55935</v>
      </c>
      <c r="C673" s="4" t="s">
        <v>31</v>
      </c>
      <c r="D673" s="4" t="str">
        <f t="shared" si="16"/>
        <v>Finance</v>
      </c>
      <c r="E673" s="4" t="str">
        <f t="shared" si="17"/>
        <v>Intern</v>
      </c>
      <c r="F673" s="13">
        <v>746</v>
      </c>
      <c r="G673" s="13">
        <v>1</v>
      </c>
      <c r="H673" s="13">
        <v>9</v>
      </c>
      <c r="I673" s="2">
        <v>32979</v>
      </c>
      <c r="J673" s="15">
        <v>508324</v>
      </c>
      <c r="K673" s="4" t="s">
        <v>21</v>
      </c>
      <c r="L673" s="27">
        <f t="shared" si="18"/>
        <v>1990</v>
      </c>
      <c r="M673" s="27">
        <f t="shared" si="19"/>
        <v>2</v>
      </c>
      <c r="N673" s="27">
        <f t="shared" ca="1" si="22"/>
        <v>36</v>
      </c>
      <c r="O673" s="27" t="str" cm="1">
        <f t="array" ref="O673">_xlfn.IFS($F673&gt;=750,"Excellent",$F673&gt;=700,"Good",$F673&gt;=650,"Moderate",
$F673&lt;650,"Risky"
)</f>
        <v>Good</v>
      </c>
      <c r="P673" s="27" t="str" cm="1">
        <f t="array" ref="P673">_xlfn.IFS(
AND(F673&gt;=750,H673&lt;=2),"Low Risk",
AND(F673&gt;=700,H673&lt;=5),"Medium Risk",
TRUE,"High Risk"
)</f>
        <v>High Risk</v>
      </c>
      <c r="Q673" s="5"/>
      <c r="R673" s="5"/>
      <c r="S673" s="5"/>
      <c r="T673" s="5"/>
      <c r="U673" s="5"/>
      <c r="V673" s="5"/>
      <c r="W673" s="5"/>
      <c r="X673" s="5"/>
      <c r="Y673" s="5"/>
    </row>
    <row r="674" spans="1:25" ht="15.75" customHeight="1" x14ac:dyDescent="0.25">
      <c r="A674" s="2">
        <v>43861</v>
      </c>
      <c r="B674" s="3">
        <v>29979</v>
      </c>
      <c r="C674" s="4" t="s">
        <v>16</v>
      </c>
      <c r="D674" s="4" t="str">
        <f t="shared" si="16"/>
        <v>Marketing</v>
      </c>
      <c r="E674" s="4" t="str">
        <f t="shared" si="17"/>
        <v>Executive</v>
      </c>
      <c r="F674" s="13">
        <v>759</v>
      </c>
      <c r="G674" s="13">
        <v>4</v>
      </c>
      <c r="H674" s="13">
        <v>9</v>
      </c>
      <c r="I674" s="2">
        <v>30818</v>
      </c>
      <c r="J674" s="15">
        <v>721137</v>
      </c>
      <c r="K674" s="4" t="s">
        <v>14</v>
      </c>
      <c r="L674" s="27">
        <f t="shared" si="18"/>
        <v>1984</v>
      </c>
      <c r="M674" s="27">
        <f t="shared" si="19"/>
        <v>1</v>
      </c>
      <c r="N674" s="27">
        <f t="shared" ca="1" si="22"/>
        <v>42</v>
      </c>
      <c r="O674" s="27" t="str" cm="1">
        <f t="array" ref="O674">_xlfn.IFS($F674&gt;=750,"Excellent",$F674&gt;=700,"Good",$F674&gt;=650,"Moderate",
$F674&lt;650,"Risky"
)</f>
        <v>Excellent</v>
      </c>
      <c r="P674" s="27" t="str" cm="1">
        <f t="array" ref="P674">_xlfn.IFS(
AND(F674&gt;=750,H674&lt;=2),"Low Risk",
AND(F674&gt;=700,H674&lt;=5),"Medium Risk",
TRUE,"High Risk"
)</f>
        <v>High Risk</v>
      </c>
      <c r="Q674" s="5"/>
      <c r="R674" s="5"/>
      <c r="S674" s="5"/>
      <c r="T674" s="5"/>
      <c r="U674" s="5"/>
      <c r="V674" s="5"/>
      <c r="W674" s="5"/>
      <c r="X674" s="5"/>
      <c r="Y674" s="5"/>
    </row>
    <row r="675" spans="1:25" ht="15.75" customHeight="1" x14ac:dyDescent="0.25">
      <c r="A675" s="2">
        <v>44058</v>
      </c>
      <c r="B675" s="3">
        <v>14973</v>
      </c>
      <c r="C675" s="4" t="s">
        <v>33</v>
      </c>
      <c r="D675" s="4" t="str">
        <f t="shared" si="16"/>
        <v>Sales</v>
      </c>
      <c r="E675" s="4" t="str">
        <f t="shared" si="17"/>
        <v>Executive</v>
      </c>
      <c r="F675" s="13">
        <v>747</v>
      </c>
      <c r="G675" s="13">
        <v>3</v>
      </c>
      <c r="H675" s="13">
        <v>1</v>
      </c>
      <c r="I675" s="2">
        <v>29254</v>
      </c>
      <c r="J675" s="15">
        <v>668710</v>
      </c>
      <c r="K675" s="4" t="s">
        <v>18</v>
      </c>
      <c r="L675" s="27">
        <f t="shared" si="18"/>
        <v>1980</v>
      </c>
      <c r="M675" s="27">
        <f t="shared" si="19"/>
        <v>8</v>
      </c>
      <c r="N675" s="27">
        <f t="shared" ca="1" si="22"/>
        <v>46</v>
      </c>
      <c r="O675" s="27" t="str" cm="1">
        <f t="array" ref="O675">_xlfn.IFS($F675&gt;=750,"Excellent",$F675&gt;=700,"Good",$F675&gt;=650,"Moderate",
$F675&lt;650,"Risky"
)</f>
        <v>Good</v>
      </c>
      <c r="P675" s="27" t="str" cm="1">
        <f t="array" ref="P675">_xlfn.IFS(
AND(F675&gt;=750,H675&lt;=2),"Low Risk",
AND(F675&gt;=700,H675&lt;=5),"Medium Risk",
TRUE,"High Risk"
)</f>
        <v>Medium Risk</v>
      </c>
      <c r="Q675" s="5"/>
      <c r="R675" s="5"/>
      <c r="S675" s="5"/>
      <c r="T675" s="5"/>
      <c r="U675" s="5"/>
      <c r="V675" s="5"/>
      <c r="W675" s="5"/>
      <c r="X675" s="5"/>
      <c r="Y675" s="5"/>
    </row>
    <row r="676" spans="1:25" ht="15.75" customHeight="1" x14ac:dyDescent="0.25">
      <c r="A676" s="2">
        <v>44094</v>
      </c>
      <c r="B676" s="3">
        <v>17959</v>
      </c>
      <c r="C676" s="4" t="s">
        <v>20</v>
      </c>
      <c r="D676" s="4" t="str">
        <f t="shared" si="16"/>
        <v>Operation</v>
      </c>
      <c r="E676" s="4" t="str">
        <f t="shared" si="17"/>
        <v>Manager</v>
      </c>
      <c r="F676" s="13">
        <v>766</v>
      </c>
      <c r="G676" s="13">
        <v>3</v>
      </c>
      <c r="H676" s="13">
        <v>2</v>
      </c>
      <c r="I676" s="2">
        <v>31315</v>
      </c>
      <c r="J676" s="15">
        <v>670428</v>
      </c>
      <c r="K676" s="4" t="s">
        <v>14</v>
      </c>
      <c r="L676" s="27">
        <f t="shared" si="18"/>
        <v>1985</v>
      </c>
      <c r="M676" s="27">
        <f t="shared" si="19"/>
        <v>9</v>
      </c>
      <c r="N676" s="27">
        <f t="shared" ca="1" si="22"/>
        <v>41</v>
      </c>
      <c r="O676" s="27" t="str" cm="1">
        <f t="array" ref="O676">_xlfn.IFS($F676&gt;=750,"Excellent",$F676&gt;=700,"Good",$F676&gt;=650,"Moderate",
$F676&lt;650,"Risky"
)</f>
        <v>Excellent</v>
      </c>
      <c r="P676" s="27" t="str" cm="1">
        <f t="array" ref="P676">_xlfn.IFS(
AND(F676&gt;=750,H676&lt;=2),"Low Risk",
AND(F676&gt;=700,H676&lt;=5),"Medium Risk",
TRUE,"High Risk"
)</f>
        <v>Low Risk</v>
      </c>
      <c r="Q676" s="5"/>
      <c r="R676" s="5"/>
      <c r="S676" s="5"/>
      <c r="T676" s="5"/>
      <c r="U676" s="5"/>
      <c r="V676" s="5"/>
      <c r="W676" s="5"/>
      <c r="X676" s="5"/>
      <c r="Y676" s="5"/>
    </row>
    <row r="677" spans="1:25" ht="15.75" customHeight="1" x14ac:dyDescent="0.25">
      <c r="A677" s="2">
        <v>44147</v>
      </c>
      <c r="B677" s="3">
        <v>17983</v>
      </c>
      <c r="C677" s="4" t="s">
        <v>34</v>
      </c>
      <c r="D677" s="4" t="str">
        <f t="shared" si="16"/>
        <v>Finance</v>
      </c>
      <c r="E677" s="4" t="str">
        <f t="shared" si="17"/>
        <v>Director</v>
      </c>
      <c r="F677" s="13">
        <v>758</v>
      </c>
      <c r="G677" s="13">
        <v>2</v>
      </c>
      <c r="H677" s="13">
        <v>7</v>
      </c>
      <c r="I677" s="2">
        <v>31525</v>
      </c>
      <c r="J677" s="15">
        <v>847229</v>
      </c>
      <c r="K677" s="4" t="s">
        <v>18</v>
      </c>
      <c r="L677" s="27">
        <f t="shared" si="18"/>
        <v>1986</v>
      </c>
      <c r="M677" s="27">
        <f t="shared" si="19"/>
        <v>11</v>
      </c>
      <c r="N677" s="27">
        <f t="shared" ca="1" si="22"/>
        <v>40</v>
      </c>
      <c r="O677" s="27" t="str" cm="1">
        <f t="array" ref="O677">_xlfn.IFS($F677&gt;=750,"Excellent",$F677&gt;=700,"Good",$F677&gt;=650,"Moderate",
$F677&lt;650,"Risky"
)</f>
        <v>Excellent</v>
      </c>
      <c r="P677" s="27" t="str" cm="1">
        <f t="array" ref="P677">_xlfn.IFS(
AND(F677&gt;=750,H677&lt;=2),"Low Risk",
AND(F677&gt;=700,H677&lt;=5),"Medium Risk",
TRUE,"High Risk"
)</f>
        <v>High Risk</v>
      </c>
      <c r="Q677" s="5"/>
      <c r="R677" s="5"/>
      <c r="S677" s="5"/>
      <c r="T677" s="5"/>
      <c r="U677" s="5"/>
      <c r="V677" s="5"/>
      <c r="W677" s="5"/>
      <c r="X677" s="5"/>
      <c r="Y677" s="5"/>
    </row>
    <row r="678" spans="1:25" ht="15.75" customHeight="1" x14ac:dyDescent="0.25">
      <c r="A678" s="2">
        <v>43875</v>
      </c>
      <c r="B678" s="3">
        <v>29633</v>
      </c>
      <c r="C678" s="4" t="s">
        <v>27</v>
      </c>
      <c r="D678" s="4" t="str">
        <f t="shared" si="16"/>
        <v>Operation</v>
      </c>
      <c r="E678" s="4" t="str">
        <f t="shared" si="17"/>
        <v>Intern</v>
      </c>
      <c r="F678" s="13">
        <v>771</v>
      </c>
      <c r="G678" s="13">
        <v>5</v>
      </c>
      <c r="H678" s="13">
        <v>2</v>
      </c>
      <c r="I678" s="2">
        <v>32920</v>
      </c>
      <c r="J678" s="15">
        <v>669917</v>
      </c>
      <c r="K678" s="4" t="s">
        <v>21</v>
      </c>
      <c r="L678" s="27">
        <f t="shared" si="18"/>
        <v>1990</v>
      </c>
      <c r="M678" s="27">
        <f t="shared" si="19"/>
        <v>2</v>
      </c>
      <c r="N678" s="27">
        <f t="shared" ca="1" si="22"/>
        <v>36</v>
      </c>
      <c r="O678" s="27" t="str" cm="1">
        <f t="array" ref="O678">_xlfn.IFS($F678&gt;=750,"Excellent",$F678&gt;=700,"Good",$F678&gt;=650,"Moderate",
$F678&lt;650,"Risky"
)</f>
        <v>Excellent</v>
      </c>
      <c r="P678" s="27" t="str" cm="1">
        <f t="array" ref="P678">_xlfn.IFS(
AND(F678&gt;=750,H678&lt;=2),"Low Risk",
AND(F678&gt;=700,H678&lt;=5),"Medium Risk",
TRUE,"High Risk"
)</f>
        <v>Low Risk</v>
      </c>
      <c r="Q678" s="5"/>
      <c r="R678" s="5"/>
      <c r="S678" s="5"/>
      <c r="T678" s="5"/>
      <c r="U678" s="5"/>
      <c r="V678" s="5"/>
      <c r="W678" s="5"/>
      <c r="X678" s="5"/>
      <c r="Y678" s="5"/>
    </row>
    <row r="679" spans="1:25" ht="15.75" customHeight="1" x14ac:dyDescent="0.25">
      <c r="A679" s="2">
        <v>44077</v>
      </c>
      <c r="B679" s="3">
        <v>75456</v>
      </c>
      <c r="C679" s="4" t="s">
        <v>23</v>
      </c>
      <c r="D679" s="4" t="str">
        <f t="shared" si="16"/>
        <v>Marketing</v>
      </c>
      <c r="E679" s="4" t="str">
        <f t="shared" si="17"/>
        <v>Intern</v>
      </c>
      <c r="F679" s="13">
        <v>774</v>
      </c>
      <c r="G679" s="13">
        <v>4</v>
      </c>
      <c r="H679" s="13">
        <v>3</v>
      </c>
      <c r="I679" s="2">
        <v>30558</v>
      </c>
      <c r="J679" s="15">
        <v>990091</v>
      </c>
      <c r="K679" s="4" t="s">
        <v>18</v>
      </c>
      <c r="L679" s="27">
        <f t="shared" si="18"/>
        <v>1983</v>
      </c>
      <c r="M679" s="27">
        <f t="shared" si="19"/>
        <v>9</v>
      </c>
      <c r="N679" s="27">
        <f t="shared" ca="1" si="22"/>
        <v>43</v>
      </c>
      <c r="O679" s="27" t="str" cm="1">
        <f t="array" ref="O679">_xlfn.IFS($F679&gt;=750,"Excellent",$F679&gt;=700,"Good",$F679&gt;=650,"Moderate",
$F679&lt;650,"Risky"
)</f>
        <v>Excellent</v>
      </c>
      <c r="P679" s="27" t="str" cm="1">
        <f t="array" ref="P679">_xlfn.IFS(
AND(F679&gt;=750,H679&lt;=2),"Low Risk",
AND(F679&gt;=700,H679&lt;=5),"Medium Risk",
TRUE,"High Risk"
)</f>
        <v>Medium Risk</v>
      </c>
      <c r="Q679" s="5"/>
      <c r="R679" s="5"/>
      <c r="S679" s="5"/>
      <c r="T679" s="5"/>
      <c r="U679" s="5"/>
      <c r="V679" s="5"/>
      <c r="W679" s="5"/>
      <c r="X679" s="5"/>
      <c r="Y679" s="5"/>
    </row>
    <row r="680" spans="1:25" ht="15.75" customHeight="1" x14ac:dyDescent="0.25">
      <c r="A680" s="2">
        <v>43968</v>
      </c>
      <c r="B680" s="3">
        <v>61438</v>
      </c>
      <c r="C680" s="4" t="s">
        <v>34</v>
      </c>
      <c r="D680" s="4" t="str">
        <f t="shared" si="16"/>
        <v>Finance</v>
      </c>
      <c r="E680" s="4" t="str">
        <f t="shared" si="17"/>
        <v>Director</v>
      </c>
      <c r="F680" s="13">
        <v>704</v>
      </c>
      <c r="G680" s="13">
        <v>4</v>
      </c>
      <c r="H680" s="13">
        <v>6</v>
      </c>
      <c r="I680" s="2">
        <v>30851</v>
      </c>
      <c r="J680" s="15">
        <v>632671</v>
      </c>
      <c r="K680" s="4" t="s">
        <v>14</v>
      </c>
      <c r="L680" s="27">
        <f t="shared" si="18"/>
        <v>1984</v>
      </c>
      <c r="M680" s="27">
        <f t="shared" si="19"/>
        <v>5</v>
      </c>
      <c r="N680" s="27">
        <f t="shared" ca="1" si="22"/>
        <v>42</v>
      </c>
      <c r="O680" s="27" t="str" cm="1">
        <f t="array" ref="O680">_xlfn.IFS($F680&gt;=750,"Excellent",$F680&gt;=700,"Good",$F680&gt;=650,"Moderate",
$F680&lt;650,"Risky"
)</f>
        <v>Good</v>
      </c>
      <c r="P680" s="27" t="str" cm="1">
        <f t="array" ref="P680">_xlfn.IFS(
AND(F680&gt;=750,H680&lt;=2),"Low Risk",
AND(F680&gt;=700,H680&lt;=5),"Medium Risk",
TRUE,"High Risk"
)</f>
        <v>High Risk</v>
      </c>
      <c r="Q680" s="5"/>
      <c r="R680" s="5"/>
      <c r="S680" s="5"/>
      <c r="T680" s="5"/>
      <c r="U680" s="5"/>
      <c r="V680" s="5"/>
      <c r="W680" s="5"/>
      <c r="X680" s="5"/>
      <c r="Y680" s="5"/>
    </row>
    <row r="681" spans="1:25" ht="15.75" customHeight="1" x14ac:dyDescent="0.25">
      <c r="A681" s="2">
        <v>43933</v>
      </c>
      <c r="B681" s="3">
        <v>54730</v>
      </c>
      <c r="C681" s="4" t="s">
        <v>19</v>
      </c>
      <c r="D681" s="4" t="str">
        <f t="shared" si="16"/>
        <v>Marketing</v>
      </c>
      <c r="E681" s="4" t="str">
        <f t="shared" si="17"/>
        <v>Manager</v>
      </c>
      <c r="F681" s="13">
        <v>726</v>
      </c>
      <c r="G681" s="13">
        <v>1</v>
      </c>
      <c r="H681" s="13">
        <v>1</v>
      </c>
      <c r="I681" s="2">
        <v>30920</v>
      </c>
      <c r="J681" s="15">
        <v>694525</v>
      </c>
      <c r="K681" s="4" t="s">
        <v>14</v>
      </c>
      <c r="L681" s="27">
        <f t="shared" si="18"/>
        <v>1984</v>
      </c>
      <c r="M681" s="27">
        <f t="shared" si="19"/>
        <v>4</v>
      </c>
      <c r="N681" s="27">
        <f t="shared" ca="1" si="22"/>
        <v>42</v>
      </c>
      <c r="O681" s="27" t="str" cm="1">
        <f t="array" ref="O681">_xlfn.IFS($F681&gt;=750,"Excellent",$F681&gt;=700,"Good",$F681&gt;=650,"Moderate",
$F681&lt;650,"Risky"
)</f>
        <v>Good</v>
      </c>
      <c r="P681" s="27" t="str" cm="1">
        <f t="array" ref="P681">_xlfn.IFS(
AND(F681&gt;=750,H681&lt;=2),"Low Risk",
AND(F681&gt;=700,H681&lt;=5),"Medium Risk",
TRUE,"High Risk"
)</f>
        <v>Medium Risk</v>
      </c>
      <c r="Q681" s="5"/>
      <c r="R681" s="5"/>
      <c r="S681" s="5"/>
      <c r="T681" s="5"/>
      <c r="U681" s="5"/>
      <c r="V681" s="5"/>
      <c r="W681" s="5"/>
      <c r="X681" s="5"/>
      <c r="Y681" s="5"/>
    </row>
    <row r="682" spans="1:25" ht="15.75" customHeight="1" x14ac:dyDescent="0.25">
      <c r="A682" s="2">
        <v>43998</v>
      </c>
      <c r="B682" s="3">
        <v>22403</v>
      </c>
      <c r="C682" s="4" t="s">
        <v>22</v>
      </c>
      <c r="D682" s="4" t="str">
        <f t="shared" si="16"/>
        <v>Strategy</v>
      </c>
      <c r="E682" s="4" t="str">
        <f t="shared" si="17"/>
        <v>Executive</v>
      </c>
      <c r="F682" s="13">
        <v>774</v>
      </c>
      <c r="G682" s="13">
        <v>4</v>
      </c>
      <c r="H682" s="13">
        <v>9</v>
      </c>
      <c r="I682" s="2">
        <v>30304</v>
      </c>
      <c r="J682" s="15">
        <v>945314</v>
      </c>
      <c r="K682" s="4" t="s">
        <v>18</v>
      </c>
      <c r="L682" s="27">
        <f t="shared" si="18"/>
        <v>1982</v>
      </c>
      <c r="M682" s="27">
        <f t="shared" si="19"/>
        <v>6</v>
      </c>
      <c r="N682" s="27">
        <f t="shared" ca="1" si="22"/>
        <v>44</v>
      </c>
      <c r="O682" s="27" t="str" cm="1">
        <f t="array" ref="O682">_xlfn.IFS($F682&gt;=750,"Excellent",$F682&gt;=700,"Good",$F682&gt;=650,"Moderate",
$F682&lt;650,"Risky"
)</f>
        <v>Excellent</v>
      </c>
      <c r="P682" s="27" t="str" cm="1">
        <f t="array" ref="P682">_xlfn.IFS(
AND(F682&gt;=750,H682&lt;=2),"Low Risk",
AND(F682&gt;=700,H682&lt;=5),"Medium Risk",
TRUE,"High Risk"
)</f>
        <v>High Risk</v>
      </c>
      <c r="Q682" s="5"/>
      <c r="R682" s="5"/>
      <c r="S682" s="5"/>
      <c r="T682" s="5"/>
      <c r="U682" s="5"/>
      <c r="V682" s="5"/>
      <c r="W682" s="5"/>
      <c r="X682" s="5"/>
      <c r="Y682" s="5"/>
    </row>
    <row r="683" spans="1:25" ht="15.75" customHeight="1" x14ac:dyDescent="0.25">
      <c r="A683" s="2">
        <v>43874</v>
      </c>
      <c r="B683" s="3">
        <v>24460</v>
      </c>
      <c r="C683" s="4" t="s">
        <v>30</v>
      </c>
      <c r="D683" s="4" t="str">
        <f t="shared" si="16"/>
        <v>Operation</v>
      </c>
      <c r="E683" s="4" t="str">
        <f t="shared" si="17"/>
        <v>Director</v>
      </c>
      <c r="F683" s="13">
        <v>731</v>
      </c>
      <c r="G683" s="13">
        <v>5</v>
      </c>
      <c r="H683" s="13">
        <v>2</v>
      </c>
      <c r="I683" s="2">
        <v>33975</v>
      </c>
      <c r="J683" s="15">
        <v>929077</v>
      </c>
      <c r="K683" s="4" t="s">
        <v>14</v>
      </c>
      <c r="L683" s="27">
        <f t="shared" si="18"/>
        <v>1993</v>
      </c>
      <c r="M683" s="27">
        <f t="shared" si="19"/>
        <v>2</v>
      </c>
      <c r="N683" s="27">
        <f t="shared" ca="1" si="22"/>
        <v>33</v>
      </c>
      <c r="O683" s="27" t="str" cm="1">
        <f t="array" ref="O683">_xlfn.IFS($F683&gt;=750,"Excellent",$F683&gt;=700,"Good",$F683&gt;=650,"Moderate",
$F683&lt;650,"Risky"
)</f>
        <v>Good</v>
      </c>
      <c r="P683" s="27" t="str" cm="1">
        <f t="array" ref="P683">_xlfn.IFS(
AND(F683&gt;=750,H683&lt;=2),"Low Risk",
AND(F683&gt;=700,H683&lt;=5),"Medium Risk",
TRUE,"High Risk"
)</f>
        <v>Medium Risk</v>
      </c>
      <c r="Q683" s="5"/>
      <c r="R683" s="5"/>
      <c r="S683" s="5"/>
      <c r="T683" s="5"/>
      <c r="U683" s="5"/>
      <c r="V683" s="5"/>
      <c r="W683" s="5"/>
      <c r="X683" s="5"/>
      <c r="Y683" s="5"/>
    </row>
    <row r="684" spans="1:25" ht="15.75" customHeight="1" x14ac:dyDescent="0.25">
      <c r="A684" s="2">
        <v>43937</v>
      </c>
      <c r="B684" s="3">
        <v>15555</v>
      </c>
      <c r="C684" s="4" t="s">
        <v>29</v>
      </c>
      <c r="D684" s="4" t="str">
        <f t="shared" si="16"/>
        <v>Sales</v>
      </c>
      <c r="E684" s="4" t="str">
        <f t="shared" si="17"/>
        <v>Director</v>
      </c>
      <c r="F684" s="13">
        <v>761</v>
      </c>
      <c r="G684" s="13">
        <v>5</v>
      </c>
      <c r="H684" s="13">
        <v>1</v>
      </c>
      <c r="I684" s="2">
        <v>32538</v>
      </c>
      <c r="J684" s="15">
        <v>641971</v>
      </c>
      <c r="K684" s="4" t="s">
        <v>21</v>
      </c>
      <c r="L684" s="27">
        <f t="shared" si="18"/>
        <v>1989</v>
      </c>
      <c r="M684" s="27">
        <f t="shared" si="19"/>
        <v>4</v>
      </c>
      <c r="N684" s="27">
        <f t="shared" ca="1" si="22"/>
        <v>37</v>
      </c>
      <c r="O684" s="27" t="str" cm="1">
        <f t="array" ref="O684">_xlfn.IFS($F684&gt;=750,"Excellent",$F684&gt;=700,"Good",$F684&gt;=650,"Moderate",
$F684&lt;650,"Risky"
)</f>
        <v>Excellent</v>
      </c>
      <c r="P684" s="27" t="str" cm="1">
        <f t="array" ref="P684">_xlfn.IFS(
AND(F684&gt;=750,H684&lt;=2),"Low Risk",
AND(F684&gt;=700,H684&lt;=5),"Medium Risk",
TRUE,"High Risk"
)</f>
        <v>Low Risk</v>
      </c>
      <c r="Q684" s="5"/>
      <c r="R684" s="5"/>
      <c r="S684" s="5"/>
      <c r="T684" s="5"/>
      <c r="U684" s="5"/>
      <c r="V684" s="5"/>
      <c r="W684" s="5"/>
      <c r="X684" s="5"/>
      <c r="Y684" s="5"/>
    </row>
    <row r="685" spans="1:25" ht="15.75" customHeight="1" x14ac:dyDescent="0.25">
      <c r="A685" s="2">
        <v>44156</v>
      </c>
      <c r="B685" s="3">
        <v>31572</v>
      </c>
      <c r="C685" s="4" t="s">
        <v>24</v>
      </c>
      <c r="D685" s="4" t="str">
        <f t="shared" si="16"/>
        <v>Strategy</v>
      </c>
      <c r="E685" s="4" t="str">
        <f t="shared" si="17"/>
        <v>Intern</v>
      </c>
      <c r="F685" s="13">
        <v>716</v>
      </c>
      <c r="G685" s="13">
        <v>5</v>
      </c>
      <c r="H685" s="13">
        <v>3</v>
      </c>
      <c r="I685" s="2">
        <v>33973</v>
      </c>
      <c r="J685" s="15">
        <v>986183</v>
      </c>
      <c r="K685" s="4" t="s">
        <v>14</v>
      </c>
      <c r="L685" s="27">
        <f t="shared" si="18"/>
        <v>1993</v>
      </c>
      <c r="M685" s="27">
        <f t="shared" si="19"/>
        <v>11</v>
      </c>
      <c r="N685" s="27">
        <f t="shared" ca="1" si="22"/>
        <v>33</v>
      </c>
      <c r="O685" s="27" t="str" cm="1">
        <f t="array" ref="O685">_xlfn.IFS($F685&gt;=750,"Excellent",$F685&gt;=700,"Good",$F685&gt;=650,"Moderate",
$F685&lt;650,"Risky"
)</f>
        <v>Good</v>
      </c>
      <c r="P685" s="27" t="str" cm="1">
        <f t="array" ref="P685">_xlfn.IFS(
AND(F685&gt;=750,H685&lt;=2),"Low Risk",
AND(F685&gt;=700,H685&lt;=5),"Medium Risk",
TRUE,"High Risk"
)</f>
        <v>Medium Risk</v>
      </c>
      <c r="Q685" s="5"/>
      <c r="R685" s="5"/>
      <c r="S685" s="5"/>
      <c r="T685" s="5"/>
      <c r="U685" s="5"/>
      <c r="V685" s="5"/>
      <c r="W685" s="5"/>
      <c r="X685" s="5"/>
      <c r="Y685" s="5"/>
    </row>
    <row r="686" spans="1:25" ht="15.75" customHeight="1" x14ac:dyDescent="0.25">
      <c r="A686" s="2">
        <v>43904</v>
      </c>
      <c r="B686" s="3">
        <v>94468</v>
      </c>
      <c r="C686" s="4" t="s">
        <v>17</v>
      </c>
      <c r="D686" s="4" t="str">
        <f t="shared" si="16"/>
        <v>Growth</v>
      </c>
      <c r="E686" s="4" t="str">
        <f t="shared" si="17"/>
        <v>Manager</v>
      </c>
      <c r="F686" s="13">
        <v>703</v>
      </c>
      <c r="G686" s="13">
        <v>4</v>
      </c>
      <c r="H686" s="13">
        <v>2</v>
      </c>
      <c r="I686" s="2">
        <v>33609</v>
      </c>
      <c r="J686" s="15">
        <v>525840</v>
      </c>
      <c r="K686" s="4" t="s">
        <v>18</v>
      </c>
      <c r="L686" s="27">
        <f t="shared" si="18"/>
        <v>1992</v>
      </c>
      <c r="M686" s="27">
        <f t="shared" si="19"/>
        <v>3</v>
      </c>
      <c r="N686" s="27">
        <f t="shared" ca="1" si="22"/>
        <v>34</v>
      </c>
      <c r="O686" s="27" t="str" cm="1">
        <f t="array" ref="O686">_xlfn.IFS($F686&gt;=750,"Excellent",$F686&gt;=700,"Good",$F686&gt;=650,"Moderate",
$F686&lt;650,"Risky"
)</f>
        <v>Good</v>
      </c>
      <c r="P686" s="27" t="str" cm="1">
        <f t="array" ref="P686">_xlfn.IFS(
AND(F686&gt;=750,H686&lt;=2),"Low Risk",
AND(F686&gt;=700,H686&lt;=5),"Medium Risk",
TRUE,"High Risk"
)</f>
        <v>Medium Risk</v>
      </c>
      <c r="Q686" s="5"/>
      <c r="R686" s="5"/>
      <c r="S686" s="5"/>
      <c r="T686" s="5"/>
      <c r="U686" s="5"/>
      <c r="V686" s="5"/>
      <c r="W686" s="5"/>
      <c r="X686" s="5"/>
      <c r="Y686" s="5"/>
    </row>
    <row r="687" spans="1:25" ht="15.75" customHeight="1" x14ac:dyDescent="0.25">
      <c r="A687" s="2">
        <v>44063</v>
      </c>
      <c r="B687" s="3">
        <v>98284</v>
      </c>
      <c r="C687" s="4" t="s">
        <v>22</v>
      </c>
      <c r="D687" s="4" t="str">
        <f t="shared" si="16"/>
        <v>Strategy</v>
      </c>
      <c r="E687" s="4" t="str">
        <f t="shared" si="17"/>
        <v>Executive</v>
      </c>
      <c r="F687" s="13">
        <v>722</v>
      </c>
      <c r="G687" s="13">
        <v>5</v>
      </c>
      <c r="H687" s="13">
        <v>3</v>
      </c>
      <c r="I687" s="2">
        <v>31366</v>
      </c>
      <c r="J687" s="15">
        <v>865509</v>
      </c>
      <c r="K687" s="4" t="s">
        <v>14</v>
      </c>
      <c r="L687" s="27">
        <f t="shared" si="18"/>
        <v>1985</v>
      </c>
      <c r="M687" s="27">
        <f t="shared" si="19"/>
        <v>8</v>
      </c>
      <c r="N687" s="27">
        <f t="shared" ca="1" si="22"/>
        <v>41</v>
      </c>
      <c r="O687" s="27" t="str" cm="1">
        <f t="array" ref="O687">_xlfn.IFS($F687&gt;=750,"Excellent",$F687&gt;=700,"Good",$F687&gt;=650,"Moderate",
$F687&lt;650,"Risky"
)</f>
        <v>Good</v>
      </c>
      <c r="P687" s="27" t="str" cm="1">
        <f t="array" ref="P687">_xlfn.IFS(
AND(F687&gt;=750,H687&lt;=2),"Low Risk",
AND(F687&gt;=700,H687&lt;=5),"Medium Risk",
TRUE,"High Risk"
)</f>
        <v>Medium Risk</v>
      </c>
      <c r="Q687" s="5"/>
      <c r="R687" s="5"/>
      <c r="S687" s="5"/>
      <c r="T687" s="5"/>
      <c r="U687" s="5"/>
      <c r="V687" s="5"/>
      <c r="W687" s="5"/>
      <c r="X687" s="5"/>
      <c r="Y687" s="5"/>
    </row>
    <row r="688" spans="1:25" ht="15.75" customHeight="1" x14ac:dyDescent="0.25">
      <c r="A688" s="2">
        <v>44023</v>
      </c>
      <c r="B688" s="3">
        <v>38660</v>
      </c>
      <c r="C688" s="4" t="s">
        <v>16</v>
      </c>
      <c r="D688" s="4" t="str">
        <f t="shared" si="16"/>
        <v>Marketing</v>
      </c>
      <c r="E688" s="4" t="str">
        <f t="shared" si="17"/>
        <v>Executive</v>
      </c>
      <c r="F688" s="13">
        <v>755</v>
      </c>
      <c r="G688" s="13">
        <v>2</v>
      </c>
      <c r="H688" s="13">
        <v>7</v>
      </c>
      <c r="I688" s="2">
        <v>34068</v>
      </c>
      <c r="J688" s="15">
        <v>983501</v>
      </c>
      <c r="K688" s="4" t="s">
        <v>14</v>
      </c>
      <c r="L688" s="27">
        <f t="shared" si="18"/>
        <v>1993</v>
      </c>
      <c r="M688" s="27">
        <f t="shared" si="19"/>
        <v>7</v>
      </c>
      <c r="N688" s="27">
        <f t="shared" ca="1" si="22"/>
        <v>33</v>
      </c>
      <c r="O688" s="27" t="str" cm="1">
        <f t="array" ref="O688">_xlfn.IFS($F688&gt;=750,"Excellent",$F688&gt;=700,"Good",$F688&gt;=650,"Moderate",
$F688&lt;650,"Risky"
)</f>
        <v>Excellent</v>
      </c>
      <c r="P688" s="27" t="str" cm="1">
        <f t="array" ref="P688">_xlfn.IFS(
AND(F688&gt;=750,H688&lt;=2),"Low Risk",
AND(F688&gt;=700,H688&lt;=5),"Medium Risk",
TRUE,"High Risk"
)</f>
        <v>High Risk</v>
      </c>
      <c r="Q688" s="5"/>
      <c r="R688" s="5"/>
      <c r="S688" s="5"/>
      <c r="T688" s="5"/>
      <c r="U688" s="5"/>
      <c r="V688" s="5"/>
      <c r="W688" s="5"/>
      <c r="X688" s="5"/>
      <c r="Y688" s="5"/>
    </row>
    <row r="689" spans="1:25" ht="15.75" customHeight="1" x14ac:dyDescent="0.25">
      <c r="A689" s="2">
        <v>43836</v>
      </c>
      <c r="B689" s="3">
        <v>98925</v>
      </c>
      <c r="C689" s="4" t="s">
        <v>13</v>
      </c>
      <c r="D689" s="4" t="str">
        <f t="shared" si="16"/>
        <v>Marketing</v>
      </c>
      <c r="E689" s="4" t="str">
        <f t="shared" si="17"/>
        <v>Director</v>
      </c>
      <c r="F689" s="13">
        <v>743</v>
      </c>
      <c r="G689" s="13">
        <v>1</v>
      </c>
      <c r="H689" s="13">
        <v>1</v>
      </c>
      <c r="I689" s="2">
        <v>30652</v>
      </c>
      <c r="J689" s="15">
        <v>553339</v>
      </c>
      <c r="K689" s="4" t="s">
        <v>14</v>
      </c>
      <c r="L689" s="27">
        <f t="shared" si="18"/>
        <v>1983</v>
      </c>
      <c r="M689" s="27">
        <f t="shared" si="19"/>
        <v>1</v>
      </c>
      <c r="N689" s="27">
        <f t="shared" ca="1" si="22"/>
        <v>43</v>
      </c>
      <c r="O689" s="27" t="str" cm="1">
        <f t="array" ref="O689">_xlfn.IFS($F689&gt;=750,"Excellent",$F689&gt;=700,"Good",$F689&gt;=650,"Moderate",
$F689&lt;650,"Risky"
)</f>
        <v>Good</v>
      </c>
      <c r="P689" s="27" t="str" cm="1">
        <f t="array" ref="P689">_xlfn.IFS(
AND(F689&gt;=750,H689&lt;=2),"Low Risk",
AND(F689&gt;=700,H689&lt;=5),"Medium Risk",
TRUE,"High Risk"
)</f>
        <v>Medium Risk</v>
      </c>
      <c r="Q689" s="5"/>
      <c r="R689" s="5"/>
      <c r="S689" s="5"/>
      <c r="T689" s="5"/>
      <c r="U689" s="5"/>
      <c r="V689" s="5"/>
      <c r="W689" s="5"/>
      <c r="X689" s="5"/>
      <c r="Y689" s="5"/>
    </row>
    <row r="690" spans="1:25" ht="15.75" customHeight="1" x14ac:dyDescent="0.25">
      <c r="A690" s="2">
        <v>44108</v>
      </c>
      <c r="B690" s="3">
        <v>65148</v>
      </c>
      <c r="C690" s="4" t="s">
        <v>23</v>
      </c>
      <c r="D690" s="4" t="str">
        <f t="shared" si="16"/>
        <v>Marketing</v>
      </c>
      <c r="E690" s="4" t="str">
        <f t="shared" si="17"/>
        <v>Intern</v>
      </c>
      <c r="F690" s="13">
        <v>756</v>
      </c>
      <c r="G690" s="13">
        <v>5</v>
      </c>
      <c r="H690" s="13">
        <v>1</v>
      </c>
      <c r="I690" s="2">
        <v>30203</v>
      </c>
      <c r="J690" s="15">
        <v>549563</v>
      </c>
      <c r="K690" s="4" t="s">
        <v>18</v>
      </c>
      <c r="L690" s="27">
        <f t="shared" si="18"/>
        <v>1982</v>
      </c>
      <c r="M690" s="27">
        <f t="shared" si="19"/>
        <v>10</v>
      </c>
      <c r="N690" s="27">
        <f t="shared" ca="1" si="22"/>
        <v>44</v>
      </c>
      <c r="O690" s="27" t="str" cm="1">
        <f t="array" ref="O690">_xlfn.IFS($F690&gt;=750,"Excellent",$F690&gt;=700,"Good",$F690&gt;=650,"Moderate",
$F690&lt;650,"Risky"
)</f>
        <v>Excellent</v>
      </c>
      <c r="P690" s="27" t="str" cm="1">
        <f t="array" ref="P690">_xlfn.IFS(
AND(F690&gt;=750,H690&lt;=2),"Low Risk",
AND(F690&gt;=700,H690&lt;=5),"Medium Risk",
TRUE,"High Risk"
)</f>
        <v>Low Risk</v>
      </c>
      <c r="Q690" s="5"/>
      <c r="R690" s="5"/>
      <c r="S690" s="5"/>
      <c r="T690" s="5"/>
      <c r="U690" s="5"/>
      <c r="V690" s="5"/>
      <c r="W690" s="5"/>
      <c r="X690" s="5"/>
      <c r="Y690" s="5"/>
    </row>
    <row r="691" spans="1:25" ht="15.75" customHeight="1" x14ac:dyDescent="0.25">
      <c r="A691" s="2">
        <v>43952</v>
      </c>
      <c r="B691" s="3">
        <v>71954</v>
      </c>
      <c r="C691" s="4" t="s">
        <v>32</v>
      </c>
      <c r="D691" s="4" t="str">
        <f t="shared" si="16"/>
        <v>Finance</v>
      </c>
      <c r="E691" s="4" t="str">
        <f t="shared" si="17"/>
        <v>Executive</v>
      </c>
      <c r="F691" s="13">
        <v>710</v>
      </c>
      <c r="G691" s="13">
        <v>2</v>
      </c>
      <c r="H691" s="13">
        <v>1</v>
      </c>
      <c r="I691" s="2">
        <v>31087</v>
      </c>
      <c r="J691" s="15">
        <v>596391</v>
      </c>
      <c r="K691" s="4" t="s">
        <v>21</v>
      </c>
      <c r="L691" s="27">
        <f t="shared" si="18"/>
        <v>1985</v>
      </c>
      <c r="M691" s="27">
        <f t="shared" si="19"/>
        <v>5</v>
      </c>
      <c r="N691" s="27">
        <f t="shared" ca="1" si="22"/>
        <v>41</v>
      </c>
      <c r="O691" s="27" t="str" cm="1">
        <f t="array" ref="O691">_xlfn.IFS($F691&gt;=750,"Excellent",$F691&gt;=700,"Good",$F691&gt;=650,"Moderate",
$F691&lt;650,"Risky"
)</f>
        <v>Good</v>
      </c>
      <c r="P691" s="27" t="str" cm="1">
        <f t="array" ref="P691">_xlfn.IFS(
AND(F691&gt;=750,H691&lt;=2),"Low Risk",
AND(F691&gt;=700,H691&lt;=5),"Medium Risk",
TRUE,"High Risk"
)</f>
        <v>Medium Risk</v>
      </c>
      <c r="Q691" s="5"/>
      <c r="R691" s="5"/>
      <c r="S691" s="5"/>
      <c r="T691" s="5"/>
      <c r="U691" s="5"/>
      <c r="V691" s="5"/>
      <c r="W691" s="5"/>
      <c r="X691" s="5"/>
      <c r="Y691" s="5"/>
    </row>
    <row r="692" spans="1:25" ht="15.75" customHeight="1" x14ac:dyDescent="0.25">
      <c r="A692" s="2">
        <v>44120</v>
      </c>
      <c r="B692" s="3">
        <v>85361</v>
      </c>
      <c r="C692" s="4" t="s">
        <v>34</v>
      </c>
      <c r="D692" s="4" t="str">
        <f t="shared" si="16"/>
        <v>Finance</v>
      </c>
      <c r="E692" s="4" t="str">
        <f t="shared" si="17"/>
        <v>Director</v>
      </c>
      <c r="F692" s="13">
        <v>750</v>
      </c>
      <c r="G692" s="13">
        <v>2</v>
      </c>
      <c r="H692" s="13">
        <v>3</v>
      </c>
      <c r="I692" s="2">
        <v>33050</v>
      </c>
      <c r="J692" s="15">
        <v>932471</v>
      </c>
      <c r="K692" s="4" t="s">
        <v>21</v>
      </c>
      <c r="L692" s="27">
        <f t="shared" si="18"/>
        <v>1990</v>
      </c>
      <c r="M692" s="27">
        <f t="shared" si="19"/>
        <v>10</v>
      </c>
      <c r="N692" s="27">
        <f t="shared" ca="1" si="22"/>
        <v>36</v>
      </c>
      <c r="O692" s="27" t="str" cm="1">
        <f t="array" ref="O692">_xlfn.IFS($F692&gt;=750,"Excellent",$F692&gt;=700,"Good",$F692&gt;=650,"Moderate",
$F692&lt;650,"Risky"
)</f>
        <v>Excellent</v>
      </c>
      <c r="P692" s="27" t="str" cm="1">
        <f t="array" ref="P692">_xlfn.IFS(
AND(F692&gt;=750,H692&lt;=2),"Low Risk",
AND(F692&gt;=700,H692&lt;=5),"Medium Risk",
TRUE,"High Risk"
)</f>
        <v>Medium Risk</v>
      </c>
      <c r="Q692" s="5"/>
      <c r="R692" s="5"/>
      <c r="S692" s="5"/>
      <c r="T692" s="5"/>
      <c r="U692" s="5"/>
      <c r="V692" s="5"/>
      <c r="W692" s="5"/>
      <c r="X692" s="5"/>
      <c r="Y692" s="5"/>
    </row>
    <row r="693" spans="1:25" ht="15.75" customHeight="1" x14ac:dyDescent="0.25">
      <c r="A693" s="2">
        <v>43833</v>
      </c>
      <c r="B693" s="3">
        <v>48460</v>
      </c>
      <c r="C693" s="4" t="s">
        <v>25</v>
      </c>
      <c r="D693" s="4" t="str">
        <f t="shared" si="16"/>
        <v>Sales</v>
      </c>
      <c r="E693" s="4" t="str">
        <f t="shared" si="17"/>
        <v>Manager</v>
      </c>
      <c r="F693" s="13">
        <v>763</v>
      </c>
      <c r="G693" s="13">
        <v>5</v>
      </c>
      <c r="H693" s="13">
        <v>7</v>
      </c>
      <c r="I693" s="2">
        <v>34346</v>
      </c>
      <c r="J693" s="15">
        <v>892876</v>
      </c>
      <c r="K693" s="4" t="s">
        <v>21</v>
      </c>
      <c r="L693" s="27">
        <f t="shared" si="18"/>
        <v>1994</v>
      </c>
      <c r="M693" s="27">
        <f t="shared" si="19"/>
        <v>1</v>
      </c>
      <c r="N693" s="27">
        <f t="shared" ca="1" si="22"/>
        <v>32</v>
      </c>
      <c r="O693" s="27" t="str" cm="1">
        <f t="array" ref="O693">_xlfn.IFS($F693&gt;=750,"Excellent",$F693&gt;=700,"Good",$F693&gt;=650,"Moderate",
$F693&lt;650,"Risky"
)</f>
        <v>Excellent</v>
      </c>
      <c r="P693" s="27" t="str" cm="1">
        <f t="array" ref="P693">_xlfn.IFS(
AND(F693&gt;=750,H693&lt;=2),"Low Risk",
AND(F693&gt;=700,H693&lt;=5),"Medium Risk",
TRUE,"High Risk"
)</f>
        <v>High Risk</v>
      </c>
      <c r="Q693" s="5"/>
      <c r="R693" s="5"/>
      <c r="S693" s="5"/>
      <c r="T693" s="5"/>
      <c r="U693" s="5"/>
      <c r="V693" s="5"/>
      <c r="W693" s="5"/>
      <c r="X693" s="5"/>
      <c r="Y693" s="5"/>
    </row>
    <row r="694" spans="1:25" ht="15.75" customHeight="1" x14ac:dyDescent="0.25">
      <c r="A694" s="2">
        <v>44063</v>
      </c>
      <c r="B694" s="3">
        <v>28260</v>
      </c>
      <c r="C694" s="4" t="s">
        <v>39</v>
      </c>
      <c r="D694" s="4" t="str">
        <f t="shared" si="16"/>
        <v>Growth</v>
      </c>
      <c r="E694" s="4" t="str">
        <f t="shared" si="17"/>
        <v>Executive</v>
      </c>
      <c r="F694" s="13">
        <v>777</v>
      </c>
      <c r="G694" s="13">
        <v>1</v>
      </c>
      <c r="H694" s="13">
        <v>10</v>
      </c>
      <c r="I694" s="2">
        <v>31887</v>
      </c>
      <c r="J694" s="15">
        <v>759460</v>
      </c>
      <c r="K694" s="4" t="s">
        <v>21</v>
      </c>
      <c r="L694" s="27">
        <f t="shared" si="18"/>
        <v>1987</v>
      </c>
      <c r="M694" s="27">
        <f t="shared" si="19"/>
        <v>8</v>
      </c>
      <c r="N694" s="27">
        <f t="shared" ca="1" si="22"/>
        <v>39</v>
      </c>
      <c r="O694" s="27" t="str" cm="1">
        <f t="array" ref="O694">_xlfn.IFS($F694&gt;=750,"Excellent",$F694&gt;=700,"Good",$F694&gt;=650,"Moderate",
$F694&lt;650,"Risky"
)</f>
        <v>Excellent</v>
      </c>
      <c r="P694" s="27" t="str" cm="1">
        <f t="array" ref="P694">_xlfn.IFS(
AND(F694&gt;=750,H694&lt;=2),"Low Risk",
AND(F694&gt;=700,H694&lt;=5),"Medium Risk",
TRUE,"High Risk"
)</f>
        <v>High Risk</v>
      </c>
      <c r="Q694" s="5"/>
      <c r="R694" s="5"/>
      <c r="S694" s="5"/>
      <c r="T694" s="5"/>
      <c r="U694" s="5"/>
      <c r="V694" s="5"/>
      <c r="W694" s="5"/>
      <c r="X694" s="5"/>
      <c r="Y694" s="5"/>
    </row>
    <row r="695" spans="1:25" ht="15.75" customHeight="1" x14ac:dyDescent="0.25">
      <c r="A695" s="2">
        <v>44144</v>
      </c>
      <c r="B695" s="3">
        <v>79019</v>
      </c>
      <c r="C695" s="4" t="s">
        <v>28</v>
      </c>
      <c r="D695" s="4" t="str">
        <f t="shared" si="16"/>
        <v>Growth</v>
      </c>
      <c r="E695" s="4" t="str">
        <f t="shared" si="17"/>
        <v>Director</v>
      </c>
      <c r="F695" s="13">
        <v>722</v>
      </c>
      <c r="G695" s="13">
        <v>4</v>
      </c>
      <c r="H695" s="13">
        <v>8</v>
      </c>
      <c r="I695" s="2">
        <v>33929</v>
      </c>
      <c r="J695" s="15">
        <v>937822</v>
      </c>
      <c r="K695" s="4" t="s">
        <v>18</v>
      </c>
      <c r="L695" s="27">
        <f t="shared" si="18"/>
        <v>1992</v>
      </c>
      <c r="M695" s="27">
        <f t="shared" si="19"/>
        <v>11</v>
      </c>
      <c r="N695" s="27">
        <f t="shared" ca="1" si="22"/>
        <v>34</v>
      </c>
      <c r="O695" s="27" t="str" cm="1">
        <f t="array" ref="O695">_xlfn.IFS($F695&gt;=750,"Excellent",$F695&gt;=700,"Good",$F695&gt;=650,"Moderate",
$F695&lt;650,"Risky"
)</f>
        <v>Good</v>
      </c>
      <c r="P695" s="27" t="str" cm="1">
        <f t="array" ref="P695">_xlfn.IFS(
AND(F695&gt;=750,H695&lt;=2),"Low Risk",
AND(F695&gt;=700,H695&lt;=5),"Medium Risk",
TRUE,"High Risk"
)</f>
        <v>High Risk</v>
      </c>
      <c r="Q695" s="5"/>
      <c r="R695" s="5"/>
      <c r="S695" s="5"/>
      <c r="T695" s="5"/>
      <c r="U695" s="5"/>
      <c r="V695" s="5"/>
      <c r="W695" s="5"/>
      <c r="X695" s="5"/>
      <c r="Y695" s="5"/>
    </row>
    <row r="696" spans="1:25" ht="15.75" customHeight="1" x14ac:dyDescent="0.25">
      <c r="A696" s="2">
        <v>43982</v>
      </c>
      <c r="B696" s="3">
        <v>48370</v>
      </c>
      <c r="C696" s="4" t="s">
        <v>35</v>
      </c>
      <c r="D696" s="4" t="str">
        <f t="shared" si="16"/>
        <v>Growth</v>
      </c>
      <c r="E696" s="4" t="str">
        <f t="shared" si="17"/>
        <v>Intern</v>
      </c>
      <c r="F696" s="13">
        <v>792</v>
      </c>
      <c r="G696" s="13">
        <v>2</v>
      </c>
      <c r="H696" s="13">
        <v>6</v>
      </c>
      <c r="I696" s="2">
        <v>34243</v>
      </c>
      <c r="J696" s="15">
        <v>971965</v>
      </c>
      <c r="K696" s="4" t="s">
        <v>21</v>
      </c>
      <c r="L696" s="27">
        <f t="shared" si="18"/>
        <v>1993</v>
      </c>
      <c r="M696" s="27">
        <f t="shared" si="19"/>
        <v>5</v>
      </c>
      <c r="N696" s="27">
        <f t="shared" ca="1" si="22"/>
        <v>33</v>
      </c>
      <c r="O696" s="27" t="str" cm="1">
        <f t="array" ref="O696">_xlfn.IFS($F696&gt;=750,"Excellent",$F696&gt;=700,"Good",$F696&gt;=650,"Moderate",
$F696&lt;650,"Risky"
)</f>
        <v>Excellent</v>
      </c>
      <c r="P696" s="27" t="str" cm="1">
        <f t="array" ref="P696">_xlfn.IFS(
AND(F696&gt;=750,H696&lt;=2),"Low Risk",
AND(F696&gt;=700,H696&lt;=5),"Medium Risk",
TRUE,"High Risk"
)</f>
        <v>High Risk</v>
      </c>
      <c r="Q696" s="5"/>
      <c r="R696" s="5"/>
      <c r="S696" s="5"/>
      <c r="T696" s="5"/>
      <c r="U696" s="5"/>
      <c r="V696" s="5"/>
      <c r="W696" s="5"/>
      <c r="X696" s="5"/>
      <c r="Y696" s="5"/>
    </row>
    <row r="697" spans="1:25" ht="15.75" customHeight="1" x14ac:dyDescent="0.25">
      <c r="A697" s="2">
        <v>43949</v>
      </c>
      <c r="B697" s="3">
        <v>83571</v>
      </c>
      <c r="C697" s="4" t="s">
        <v>35</v>
      </c>
      <c r="D697" s="4" t="str">
        <f t="shared" si="16"/>
        <v>Growth</v>
      </c>
      <c r="E697" s="4" t="str">
        <f t="shared" si="17"/>
        <v>Intern</v>
      </c>
      <c r="F697" s="13">
        <v>728</v>
      </c>
      <c r="G697" s="13">
        <v>3</v>
      </c>
      <c r="H697" s="13">
        <v>5</v>
      </c>
      <c r="I697" s="2">
        <v>33787</v>
      </c>
      <c r="J697" s="15">
        <v>819520</v>
      </c>
      <c r="K697" s="4" t="s">
        <v>21</v>
      </c>
      <c r="L697" s="27">
        <f t="shared" si="18"/>
        <v>1992</v>
      </c>
      <c r="M697" s="27">
        <f t="shared" si="19"/>
        <v>4</v>
      </c>
      <c r="N697" s="27">
        <f t="shared" ca="1" si="22"/>
        <v>34</v>
      </c>
      <c r="O697" s="27" t="str" cm="1">
        <f t="array" ref="O697">_xlfn.IFS($F697&gt;=750,"Excellent",$F697&gt;=700,"Good",$F697&gt;=650,"Moderate",
$F697&lt;650,"Risky"
)</f>
        <v>Good</v>
      </c>
      <c r="P697" s="27" t="str" cm="1">
        <f t="array" ref="P697">_xlfn.IFS(
AND(F697&gt;=750,H697&lt;=2),"Low Risk",
AND(F697&gt;=700,H697&lt;=5),"Medium Risk",
TRUE,"High Risk"
)</f>
        <v>Medium Risk</v>
      </c>
      <c r="Q697" s="5"/>
      <c r="R697" s="5"/>
      <c r="S697" s="5"/>
      <c r="T697" s="5"/>
      <c r="U697" s="5"/>
      <c r="V697" s="5"/>
      <c r="W697" s="5"/>
      <c r="X697" s="5"/>
      <c r="Y697" s="5"/>
    </row>
    <row r="698" spans="1:25" ht="15.75" customHeight="1" x14ac:dyDescent="0.25">
      <c r="A698" s="2">
        <v>44053</v>
      </c>
      <c r="B698" s="3">
        <v>14826</v>
      </c>
      <c r="C698" s="4" t="s">
        <v>17</v>
      </c>
      <c r="D698" s="4" t="str">
        <f t="shared" si="16"/>
        <v>Growth</v>
      </c>
      <c r="E698" s="4" t="str">
        <f t="shared" si="17"/>
        <v>Manager</v>
      </c>
      <c r="F698" s="13">
        <v>774</v>
      </c>
      <c r="G698" s="13">
        <v>4</v>
      </c>
      <c r="H698" s="13">
        <v>8</v>
      </c>
      <c r="I698" s="2">
        <v>33666</v>
      </c>
      <c r="J698" s="15">
        <v>814530</v>
      </c>
      <c r="K698" s="4" t="s">
        <v>18</v>
      </c>
      <c r="L698" s="27">
        <f t="shared" si="18"/>
        <v>1992</v>
      </c>
      <c r="M698" s="27">
        <f t="shared" si="19"/>
        <v>8</v>
      </c>
      <c r="N698" s="27">
        <f t="shared" ca="1" si="22"/>
        <v>34</v>
      </c>
      <c r="O698" s="27" t="str" cm="1">
        <f t="array" ref="O698">_xlfn.IFS($F698&gt;=750,"Excellent",$F698&gt;=700,"Good",$F698&gt;=650,"Moderate",
$F698&lt;650,"Risky"
)</f>
        <v>Excellent</v>
      </c>
      <c r="P698" s="27" t="str" cm="1">
        <f t="array" ref="P698">_xlfn.IFS(
AND(F698&gt;=750,H698&lt;=2),"Low Risk",
AND(F698&gt;=700,H698&lt;=5),"Medium Risk",
TRUE,"High Risk"
)</f>
        <v>High Risk</v>
      </c>
      <c r="Q698" s="5"/>
      <c r="R698" s="5"/>
      <c r="S698" s="5"/>
      <c r="T698" s="5"/>
      <c r="U698" s="5"/>
      <c r="V698" s="5"/>
      <c r="W698" s="5"/>
      <c r="X698" s="5"/>
      <c r="Y698" s="5"/>
    </row>
    <row r="699" spans="1:25" ht="15.75" customHeight="1" x14ac:dyDescent="0.25">
      <c r="A699" s="2">
        <v>43892</v>
      </c>
      <c r="B699" s="3">
        <v>78823</v>
      </c>
      <c r="C699" s="4" t="s">
        <v>15</v>
      </c>
      <c r="D699" s="4" t="str">
        <f t="shared" si="16"/>
        <v>Operation</v>
      </c>
      <c r="E699" s="4" t="str">
        <f t="shared" si="17"/>
        <v>Executive</v>
      </c>
      <c r="F699" s="13">
        <v>752</v>
      </c>
      <c r="G699" s="13">
        <v>1</v>
      </c>
      <c r="H699" s="13">
        <v>3</v>
      </c>
      <c r="I699" s="2">
        <v>33230</v>
      </c>
      <c r="J699" s="15">
        <v>953866</v>
      </c>
      <c r="K699" s="4" t="s">
        <v>18</v>
      </c>
      <c r="L699" s="27">
        <f t="shared" si="18"/>
        <v>1990</v>
      </c>
      <c r="M699" s="27">
        <f t="shared" si="19"/>
        <v>3</v>
      </c>
      <c r="N699" s="27">
        <f t="shared" ca="1" si="22"/>
        <v>36</v>
      </c>
      <c r="O699" s="27" t="str" cm="1">
        <f t="array" ref="O699">_xlfn.IFS($F699&gt;=750,"Excellent",$F699&gt;=700,"Good",$F699&gt;=650,"Moderate",
$F699&lt;650,"Risky"
)</f>
        <v>Excellent</v>
      </c>
      <c r="P699" s="27" t="str" cm="1">
        <f t="array" ref="P699">_xlfn.IFS(
AND(F699&gt;=750,H699&lt;=2),"Low Risk",
AND(F699&gt;=700,H699&lt;=5),"Medium Risk",
TRUE,"High Risk"
)</f>
        <v>Medium Risk</v>
      </c>
      <c r="Q699" s="5"/>
      <c r="R699" s="5"/>
      <c r="S699" s="5"/>
      <c r="T699" s="5"/>
      <c r="U699" s="5"/>
      <c r="V699" s="5"/>
      <c r="W699" s="5"/>
      <c r="X699" s="5"/>
      <c r="Y699" s="5"/>
    </row>
    <row r="700" spans="1:25" ht="15.75" customHeight="1" x14ac:dyDescent="0.25">
      <c r="A700" s="2">
        <v>44158</v>
      </c>
      <c r="B700" s="3">
        <v>34005</v>
      </c>
      <c r="C700" s="4" t="s">
        <v>31</v>
      </c>
      <c r="D700" s="4" t="str">
        <f t="shared" si="16"/>
        <v>Finance</v>
      </c>
      <c r="E700" s="4" t="str">
        <f t="shared" si="17"/>
        <v>Intern</v>
      </c>
      <c r="F700" s="13">
        <v>713</v>
      </c>
      <c r="G700" s="13">
        <v>2</v>
      </c>
      <c r="H700" s="13">
        <v>1</v>
      </c>
      <c r="I700" s="2">
        <v>33129</v>
      </c>
      <c r="J700" s="15">
        <v>736970</v>
      </c>
      <c r="K700" s="4" t="s">
        <v>14</v>
      </c>
      <c r="L700" s="27">
        <f t="shared" si="18"/>
        <v>1990</v>
      </c>
      <c r="M700" s="27">
        <f t="shared" si="19"/>
        <v>11</v>
      </c>
      <c r="N700" s="27">
        <f t="shared" ca="1" si="22"/>
        <v>36</v>
      </c>
      <c r="O700" s="27" t="str" cm="1">
        <f t="array" ref="O700">_xlfn.IFS($F700&gt;=750,"Excellent",$F700&gt;=700,"Good",$F700&gt;=650,"Moderate",
$F700&lt;650,"Risky"
)</f>
        <v>Good</v>
      </c>
      <c r="P700" s="27" t="str" cm="1">
        <f t="array" ref="P700">_xlfn.IFS(
AND(F700&gt;=750,H700&lt;=2),"Low Risk",
AND(F700&gt;=700,H700&lt;=5),"Medium Risk",
TRUE,"High Risk"
)</f>
        <v>Medium Risk</v>
      </c>
      <c r="Q700" s="5"/>
      <c r="R700" s="5"/>
      <c r="S700" s="5"/>
      <c r="T700" s="5"/>
      <c r="U700" s="5"/>
      <c r="V700" s="5"/>
      <c r="W700" s="5"/>
      <c r="X700" s="5"/>
      <c r="Y700" s="5"/>
    </row>
    <row r="701" spans="1:25" ht="15.75" customHeight="1" x14ac:dyDescent="0.25">
      <c r="A701" s="2">
        <v>44085</v>
      </c>
      <c r="B701" s="3">
        <v>50325</v>
      </c>
      <c r="C701" s="4" t="s">
        <v>16</v>
      </c>
      <c r="D701" s="4" t="str">
        <f t="shared" si="16"/>
        <v>Marketing</v>
      </c>
      <c r="E701" s="4" t="str">
        <f t="shared" si="17"/>
        <v>Executive</v>
      </c>
      <c r="F701" s="13">
        <v>784</v>
      </c>
      <c r="G701" s="13">
        <v>3</v>
      </c>
      <c r="H701" s="13">
        <v>8</v>
      </c>
      <c r="I701" s="2">
        <v>33068</v>
      </c>
      <c r="J701" s="15">
        <v>565722</v>
      </c>
      <c r="K701" s="4" t="s">
        <v>18</v>
      </c>
      <c r="L701" s="27">
        <f t="shared" si="18"/>
        <v>1990</v>
      </c>
      <c r="M701" s="27">
        <f t="shared" si="19"/>
        <v>9</v>
      </c>
      <c r="N701" s="27">
        <f t="shared" ca="1" si="22"/>
        <v>36</v>
      </c>
      <c r="O701" s="27" t="str" cm="1">
        <f t="array" ref="O701">_xlfn.IFS($F701&gt;=750,"Excellent",$F701&gt;=700,"Good",$F701&gt;=650,"Moderate",
$F701&lt;650,"Risky"
)</f>
        <v>Excellent</v>
      </c>
      <c r="P701" s="27" t="str" cm="1">
        <f t="array" ref="P701">_xlfn.IFS(
AND(F701&gt;=750,H701&lt;=2),"Low Risk",
AND(F701&gt;=700,H701&lt;=5),"Medium Risk",
TRUE,"High Risk"
)</f>
        <v>High Risk</v>
      </c>
      <c r="Q701" s="5"/>
      <c r="R701" s="5"/>
      <c r="S701" s="5"/>
      <c r="T701" s="5"/>
      <c r="U701" s="5"/>
      <c r="V701" s="5"/>
      <c r="W701" s="5"/>
      <c r="X701" s="5"/>
      <c r="Y701" s="5"/>
    </row>
    <row r="702" spans="1:25" ht="15.75" customHeight="1" x14ac:dyDescent="0.25">
      <c r="A702" s="2">
        <v>43864</v>
      </c>
      <c r="B702" s="3">
        <v>13130</v>
      </c>
      <c r="C702" s="4" t="s">
        <v>36</v>
      </c>
      <c r="D702" s="4" t="str">
        <f t="shared" si="16"/>
        <v>Sales</v>
      </c>
      <c r="E702" s="4" t="str">
        <f t="shared" si="17"/>
        <v>Intern</v>
      </c>
      <c r="F702" s="13">
        <v>730</v>
      </c>
      <c r="G702" s="13">
        <v>3</v>
      </c>
      <c r="H702" s="13">
        <v>1</v>
      </c>
      <c r="I702" s="2">
        <v>34496</v>
      </c>
      <c r="J702" s="15">
        <v>734947</v>
      </c>
      <c r="K702" s="4" t="s">
        <v>18</v>
      </c>
      <c r="L702" s="27">
        <f t="shared" si="18"/>
        <v>1994</v>
      </c>
      <c r="M702" s="27">
        <f t="shared" si="19"/>
        <v>2</v>
      </c>
      <c r="N702" s="27">
        <f t="shared" ca="1" si="22"/>
        <v>32</v>
      </c>
      <c r="O702" s="27" t="str" cm="1">
        <f t="array" ref="O702">_xlfn.IFS($F702&gt;=750,"Excellent",$F702&gt;=700,"Good",$F702&gt;=650,"Moderate",
$F702&lt;650,"Risky"
)</f>
        <v>Good</v>
      </c>
      <c r="P702" s="27" t="str" cm="1">
        <f t="array" ref="P702">_xlfn.IFS(
AND(F702&gt;=750,H702&lt;=2),"Low Risk",
AND(F702&gt;=700,H702&lt;=5),"Medium Risk",
TRUE,"High Risk"
)</f>
        <v>Medium Risk</v>
      </c>
      <c r="Q702" s="5"/>
      <c r="R702" s="5"/>
      <c r="S702" s="5"/>
      <c r="T702" s="5"/>
      <c r="U702" s="5"/>
      <c r="V702" s="5"/>
      <c r="W702" s="5"/>
      <c r="X702" s="5"/>
      <c r="Y702" s="5"/>
    </row>
    <row r="703" spans="1:25" ht="15.75" customHeight="1" x14ac:dyDescent="0.25">
      <c r="A703" s="2">
        <v>44063</v>
      </c>
      <c r="B703" s="3">
        <v>45759</v>
      </c>
      <c r="C703" s="4" t="s">
        <v>39</v>
      </c>
      <c r="D703" s="4" t="str">
        <f t="shared" si="16"/>
        <v>Growth</v>
      </c>
      <c r="E703" s="4" t="str">
        <f t="shared" si="17"/>
        <v>Executive</v>
      </c>
      <c r="F703" s="13">
        <v>734</v>
      </c>
      <c r="G703" s="13">
        <v>5</v>
      </c>
      <c r="H703" s="13">
        <v>6</v>
      </c>
      <c r="I703" s="2">
        <v>29727</v>
      </c>
      <c r="J703" s="15">
        <v>935278</v>
      </c>
      <c r="K703" s="4" t="s">
        <v>18</v>
      </c>
      <c r="L703" s="27">
        <f t="shared" si="18"/>
        <v>1981</v>
      </c>
      <c r="M703" s="27">
        <f t="shared" si="19"/>
        <v>8</v>
      </c>
      <c r="N703" s="27">
        <f t="shared" ca="1" si="22"/>
        <v>45</v>
      </c>
      <c r="O703" s="27" t="str" cm="1">
        <f t="array" ref="O703">_xlfn.IFS($F703&gt;=750,"Excellent",$F703&gt;=700,"Good",$F703&gt;=650,"Moderate",
$F703&lt;650,"Risky"
)</f>
        <v>Good</v>
      </c>
      <c r="P703" s="27" t="str" cm="1">
        <f t="array" ref="P703">_xlfn.IFS(
AND(F703&gt;=750,H703&lt;=2),"Low Risk",
AND(F703&gt;=700,H703&lt;=5),"Medium Risk",
TRUE,"High Risk"
)</f>
        <v>High Risk</v>
      </c>
      <c r="Q703" s="5"/>
      <c r="R703" s="5"/>
      <c r="S703" s="5"/>
      <c r="T703" s="5"/>
      <c r="U703" s="5"/>
      <c r="V703" s="5"/>
      <c r="W703" s="5"/>
      <c r="X703" s="5"/>
      <c r="Y703" s="5"/>
    </row>
    <row r="704" spans="1:25" ht="15.75" customHeight="1" x14ac:dyDescent="0.25">
      <c r="A704" s="2">
        <v>43857</v>
      </c>
      <c r="B704" s="3">
        <v>98695</v>
      </c>
      <c r="C704" s="4" t="s">
        <v>39</v>
      </c>
      <c r="D704" s="4" t="str">
        <f t="shared" si="16"/>
        <v>Growth</v>
      </c>
      <c r="E704" s="4" t="str">
        <f t="shared" si="17"/>
        <v>Executive</v>
      </c>
      <c r="F704" s="13">
        <v>704</v>
      </c>
      <c r="G704" s="13">
        <v>2</v>
      </c>
      <c r="H704" s="13">
        <v>4</v>
      </c>
      <c r="I704" s="2">
        <v>29890</v>
      </c>
      <c r="J704" s="15">
        <v>721081</v>
      </c>
      <c r="K704" s="4" t="s">
        <v>21</v>
      </c>
      <c r="L704" s="27">
        <f t="shared" si="18"/>
        <v>1981</v>
      </c>
      <c r="M704" s="27">
        <f t="shared" si="19"/>
        <v>1</v>
      </c>
      <c r="N704" s="27">
        <f t="shared" ca="1" si="22"/>
        <v>45</v>
      </c>
      <c r="O704" s="27" t="str" cm="1">
        <f t="array" ref="O704">_xlfn.IFS($F704&gt;=750,"Excellent",$F704&gt;=700,"Good",$F704&gt;=650,"Moderate",
$F704&lt;650,"Risky"
)</f>
        <v>Good</v>
      </c>
      <c r="P704" s="27" t="str" cm="1">
        <f t="array" ref="P704">_xlfn.IFS(
AND(F704&gt;=750,H704&lt;=2),"Low Risk",
AND(F704&gt;=700,H704&lt;=5),"Medium Risk",
TRUE,"High Risk"
)</f>
        <v>Medium Risk</v>
      </c>
      <c r="Q704" s="5"/>
      <c r="R704" s="5"/>
      <c r="S704" s="5"/>
      <c r="T704" s="5"/>
      <c r="U704" s="5"/>
      <c r="V704" s="5"/>
      <c r="W704" s="5"/>
      <c r="X704" s="5"/>
      <c r="Y704" s="5"/>
    </row>
    <row r="705" spans="1:25" ht="15.75" customHeight="1" x14ac:dyDescent="0.25">
      <c r="A705" s="2">
        <v>43946</v>
      </c>
      <c r="B705" s="3">
        <v>72401</v>
      </c>
      <c r="C705" s="4" t="s">
        <v>25</v>
      </c>
      <c r="D705" s="4" t="str">
        <f t="shared" si="16"/>
        <v>Sales</v>
      </c>
      <c r="E705" s="4" t="str">
        <f t="shared" si="17"/>
        <v>Manager</v>
      </c>
      <c r="F705" s="13">
        <v>718</v>
      </c>
      <c r="G705" s="13">
        <v>1</v>
      </c>
      <c r="H705" s="13">
        <v>7</v>
      </c>
      <c r="I705" s="2">
        <v>31429</v>
      </c>
      <c r="J705" s="15">
        <v>586165</v>
      </c>
      <c r="K705" s="4" t="s">
        <v>21</v>
      </c>
      <c r="L705" s="27">
        <f t="shared" si="18"/>
        <v>1986</v>
      </c>
      <c r="M705" s="27">
        <f t="shared" si="19"/>
        <v>4</v>
      </c>
      <c r="N705" s="27">
        <f t="shared" ca="1" si="22"/>
        <v>40</v>
      </c>
      <c r="O705" s="27" t="str" cm="1">
        <f t="array" ref="O705">_xlfn.IFS($F705&gt;=750,"Excellent",$F705&gt;=700,"Good",$F705&gt;=650,"Moderate",
$F705&lt;650,"Risky"
)</f>
        <v>Good</v>
      </c>
      <c r="P705" s="27" t="str" cm="1">
        <f t="array" ref="P705">_xlfn.IFS(
AND(F705&gt;=750,H705&lt;=2),"Low Risk",
AND(F705&gt;=700,H705&lt;=5),"Medium Risk",
TRUE,"High Risk"
)</f>
        <v>High Risk</v>
      </c>
      <c r="Q705" s="5"/>
      <c r="R705" s="5"/>
      <c r="S705" s="5"/>
      <c r="T705" s="5"/>
      <c r="U705" s="5"/>
      <c r="V705" s="5"/>
      <c r="W705" s="5"/>
      <c r="X705" s="5"/>
      <c r="Y705" s="5"/>
    </row>
    <row r="706" spans="1:25" ht="15.75" customHeight="1" x14ac:dyDescent="0.25">
      <c r="A706" s="2">
        <v>43925</v>
      </c>
      <c r="B706" s="3">
        <v>85134</v>
      </c>
      <c r="C706" s="4" t="s">
        <v>22</v>
      </c>
      <c r="D706" s="4" t="str">
        <f t="shared" si="16"/>
        <v>Strategy</v>
      </c>
      <c r="E706" s="4" t="str">
        <f t="shared" si="17"/>
        <v>Executive</v>
      </c>
      <c r="F706" s="13">
        <v>728</v>
      </c>
      <c r="G706" s="13">
        <v>4</v>
      </c>
      <c r="H706" s="13">
        <v>8</v>
      </c>
      <c r="I706" s="2">
        <v>31378</v>
      </c>
      <c r="J706" s="15">
        <v>557403</v>
      </c>
      <c r="K706" s="4" t="s">
        <v>14</v>
      </c>
      <c r="L706" s="27">
        <f t="shared" si="18"/>
        <v>1985</v>
      </c>
      <c r="M706" s="27">
        <f t="shared" si="19"/>
        <v>4</v>
      </c>
      <c r="N706" s="27">
        <f t="shared" ca="1" si="22"/>
        <v>41</v>
      </c>
      <c r="O706" s="27" t="str" cm="1">
        <f t="array" ref="O706">_xlfn.IFS($F706&gt;=750,"Excellent",$F706&gt;=700,"Good",$F706&gt;=650,"Moderate",
$F706&lt;650,"Risky"
)</f>
        <v>Good</v>
      </c>
      <c r="P706" s="27" t="str" cm="1">
        <f t="array" ref="P706">_xlfn.IFS(
AND(F706&gt;=750,H706&lt;=2),"Low Risk",
AND(F706&gt;=700,H706&lt;=5),"Medium Risk",
TRUE,"High Risk"
)</f>
        <v>High Risk</v>
      </c>
      <c r="Q706" s="5"/>
      <c r="R706" s="5"/>
      <c r="S706" s="5"/>
      <c r="T706" s="5"/>
      <c r="U706" s="5"/>
      <c r="V706" s="5"/>
      <c r="W706" s="5"/>
      <c r="X706" s="5"/>
      <c r="Y706" s="5"/>
    </row>
    <row r="707" spans="1:25" ht="15.75" customHeight="1" x14ac:dyDescent="0.25">
      <c r="A707" s="2">
        <v>44078</v>
      </c>
      <c r="B707" s="3">
        <v>94412</v>
      </c>
      <c r="C707" s="4" t="s">
        <v>38</v>
      </c>
      <c r="D707" s="4" t="str">
        <f t="shared" si="16"/>
        <v>Finance</v>
      </c>
      <c r="E707" s="4" t="str">
        <f t="shared" si="17"/>
        <v>Manager</v>
      </c>
      <c r="F707" s="13">
        <v>786</v>
      </c>
      <c r="G707" s="13">
        <v>4</v>
      </c>
      <c r="H707" s="13">
        <v>2</v>
      </c>
      <c r="I707" s="2">
        <v>33602</v>
      </c>
      <c r="J707" s="15">
        <v>877945</v>
      </c>
      <c r="K707" s="4" t="s">
        <v>18</v>
      </c>
      <c r="L707" s="27">
        <f t="shared" si="18"/>
        <v>1991</v>
      </c>
      <c r="M707" s="27">
        <f t="shared" si="19"/>
        <v>9</v>
      </c>
      <c r="N707" s="27">
        <f t="shared" ref="N707:N770" ca="1" si="23" xml:space="preserve"> YEAR(TODAY()) - $L707</f>
        <v>35</v>
      </c>
      <c r="O707" s="27" t="str" cm="1">
        <f t="array" ref="O707">_xlfn.IFS($F707&gt;=750,"Excellent",$F707&gt;=700,"Good",$F707&gt;=650,"Moderate",
$F707&lt;650,"Risky"
)</f>
        <v>Excellent</v>
      </c>
      <c r="P707" s="27" t="str" cm="1">
        <f t="array" ref="P707">_xlfn.IFS(
AND(F707&gt;=750,H707&lt;=2),"Low Risk",
AND(F707&gt;=700,H707&lt;=5),"Medium Risk",
TRUE,"High Risk"
)</f>
        <v>Low Risk</v>
      </c>
      <c r="Q707" s="5"/>
      <c r="R707" s="5"/>
      <c r="S707" s="5"/>
      <c r="T707" s="5"/>
      <c r="U707" s="5"/>
      <c r="V707" s="5"/>
      <c r="W707" s="5"/>
      <c r="X707" s="5"/>
      <c r="Y707" s="5"/>
    </row>
    <row r="708" spans="1:25" ht="15.75" customHeight="1" x14ac:dyDescent="0.25">
      <c r="A708" s="2">
        <v>44014</v>
      </c>
      <c r="B708" s="3">
        <v>98555</v>
      </c>
      <c r="C708" s="4" t="s">
        <v>39</v>
      </c>
      <c r="D708" s="4" t="str">
        <f t="shared" si="16"/>
        <v>Growth</v>
      </c>
      <c r="E708" s="4" t="str">
        <f t="shared" si="17"/>
        <v>Executive</v>
      </c>
      <c r="F708" s="13">
        <v>743</v>
      </c>
      <c r="G708" s="13">
        <v>5</v>
      </c>
      <c r="H708" s="13">
        <v>8</v>
      </c>
      <c r="I708" s="2">
        <v>34037</v>
      </c>
      <c r="J708" s="15">
        <v>557735</v>
      </c>
      <c r="K708" s="4" t="s">
        <v>18</v>
      </c>
      <c r="L708" s="27">
        <f t="shared" si="18"/>
        <v>1993</v>
      </c>
      <c r="M708" s="27">
        <f t="shared" si="19"/>
        <v>7</v>
      </c>
      <c r="N708" s="27">
        <f t="shared" ca="1" si="23"/>
        <v>33</v>
      </c>
      <c r="O708" s="27" t="str" cm="1">
        <f t="array" ref="O708">_xlfn.IFS($F708&gt;=750,"Excellent",$F708&gt;=700,"Good",$F708&gt;=650,"Moderate",
$F708&lt;650,"Risky"
)</f>
        <v>Good</v>
      </c>
      <c r="P708" s="27" t="str" cm="1">
        <f t="array" ref="P708">_xlfn.IFS(
AND(F708&gt;=750,H708&lt;=2),"Low Risk",
AND(F708&gt;=700,H708&lt;=5),"Medium Risk",
TRUE,"High Risk"
)</f>
        <v>High Risk</v>
      </c>
      <c r="Q708" s="5"/>
      <c r="R708" s="5"/>
      <c r="S708" s="5"/>
      <c r="T708" s="5"/>
      <c r="U708" s="5"/>
      <c r="V708" s="5"/>
      <c r="W708" s="5"/>
      <c r="X708" s="5"/>
      <c r="Y708" s="5"/>
    </row>
    <row r="709" spans="1:25" ht="15.75" customHeight="1" x14ac:dyDescent="0.25">
      <c r="A709" s="2">
        <v>43950</v>
      </c>
      <c r="B709" s="3">
        <v>71644</v>
      </c>
      <c r="C709" s="4" t="s">
        <v>38</v>
      </c>
      <c r="D709" s="4" t="str">
        <f t="shared" si="16"/>
        <v>Finance</v>
      </c>
      <c r="E709" s="4" t="str">
        <f t="shared" si="17"/>
        <v>Manager</v>
      </c>
      <c r="F709" s="13">
        <v>723</v>
      </c>
      <c r="G709" s="13">
        <v>1</v>
      </c>
      <c r="H709" s="13">
        <v>1</v>
      </c>
      <c r="I709" s="2">
        <v>32600</v>
      </c>
      <c r="J709" s="15">
        <v>898684</v>
      </c>
      <c r="K709" s="4" t="s">
        <v>14</v>
      </c>
      <c r="L709" s="27">
        <f t="shared" si="18"/>
        <v>1989</v>
      </c>
      <c r="M709" s="27">
        <f t="shared" si="19"/>
        <v>4</v>
      </c>
      <c r="N709" s="27">
        <f t="shared" ca="1" si="23"/>
        <v>37</v>
      </c>
      <c r="O709" s="27" t="str" cm="1">
        <f t="array" ref="O709">_xlfn.IFS($F709&gt;=750,"Excellent",$F709&gt;=700,"Good",$F709&gt;=650,"Moderate",
$F709&lt;650,"Risky"
)</f>
        <v>Good</v>
      </c>
      <c r="P709" s="27" t="str" cm="1">
        <f t="array" ref="P709">_xlfn.IFS(
AND(F709&gt;=750,H709&lt;=2),"Low Risk",
AND(F709&gt;=700,H709&lt;=5),"Medium Risk",
TRUE,"High Risk"
)</f>
        <v>Medium Risk</v>
      </c>
      <c r="Q709" s="5"/>
      <c r="R709" s="5"/>
      <c r="S709" s="5"/>
      <c r="T709" s="5"/>
      <c r="U709" s="5"/>
      <c r="V709" s="5"/>
      <c r="W709" s="5"/>
      <c r="X709" s="5"/>
      <c r="Y709" s="5"/>
    </row>
    <row r="710" spans="1:25" ht="15.75" customHeight="1" x14ac:dyDescent="0.25">
      <c r="A710" s="2">
        <v>44012</v>
      </c>
      <c r="B710" s="3">
        <v>53794</v>
      </c>
      <c r="C710" s="4" t="s">
        <v>25</v>
      </c>
      <c r="D710" s="4" t="str">
        <f t="shared" si="16"/>
        <v>Sales</v>
      </c>
      <c r="E710" s="4" t="str">
        <f t="shared" si="17"/>
        <v>Manager</v>
      </c>
      <c r="F710" s="13">
        <v>723</v>
      </c>
      <c r="G710" s="13">
        <v>2</v>
      </c>
      <c r="H710" s="13">
        <v>9</v>
      </c>
      <c r="I710" s="2">
        <v>30470</v>
      </c>
      <c r="J710" s="15">
        <v>999597</v>
      </c>
      <c r="K710" s="4" t="s">
        <v>18</v>
      </c>
      <c r="L710" s="27">
        <f t="shared" si="18"/>
        <v>1983</v>
      </c>
      <c r="M710" s="27">
        <f t="shared" si="19"/>
        <v>6</v>
      </c>
      <c r="N710" s="27">
        <f t="shared" ca="1" si="23"/>
        <v>43</v>
      </c>
      <c r="O710" s="27" t="str" cm="1">
        <f t="array" ref="O710">_xlfn.IFS($F710&gt;=750,"Excellent",$F710&gt;=700,"Good",$F710&gt;=650,"Moderate",
$F710&lt;650,"Risky"
)</f>
        <v>Good</v>
      </c>
      <c r="P710" s="27" t="str" cm="1">
        <f t="array" ref="P710">_xlfn.IFS(
AND(F710&gt;=750,H710&lt;=2),"Low Risk",
AND(F710&gt;=700,H710&lt;=5),"Medium Risk",
TRUE,"High Risk"
)</f>
        <v>High Risk</v>
      </c>
      <c r="Q710" s="5"/>
      <c r="R710" s="5"/>
      <c r="S710" s="5"/>
      <c r="T710" s="5"/>
      <c r="U710" s="5"/>
      <c r="V710" s="5"/>
      <c r="W710" s="5"/>
      <c r="X710" s="5"/>
      <c r="Y710" s="5"/>
    </row>
    <row r="711" spans="1:25" ht="15.75" customHeight="1" x14ac:dyDescent="0.25">
      <c r="A711" s="2">
        <v>43854</v>
      </c>
      <c r="B711" s="3">
        <v>52610</v>
      </c>
      <c r="C711" s="4" t="s">
        <v>32</v>
      </c>
      <c r="D711" s="4" t="str">
        <f t="shared" si="16"/>
        <v>Finance</v>
      </c>
      <c r="E711" s="4" t="str">
        <f t="shared" si="17"/>
        <v>Executive</v>
      </c>
      <c r="F711" s="13">
        <v>800</v>
      </c>
      <c r="G711" s="13">
        <v>5</v>
      </c>
      <c r="H711" s="13">
        <v>9</v>
      </c>
      <c r="I711" s="2">
        <v>33731</v>
      </c>
      <c r="J711" s="15">
        <v>917930</v>
      </c>
      <c r="K711" s="4" t="s">
        <v>14</v>
      </c>
      <c r="L711" s="27">
        <f t="shared" si="18"/>
        <v>1992</v>
      </c>
      <c r="M711" s="27">
        <f t="shared" si="19"/>
        <v>1</v>
      </c>
      <c r="N711" s="27">
        <f t="shared" ca="1" si="23"/>
        <v>34</v>
      </c>
      <c r="O711" s="27" t="str" cm="1">
        <f t="array" ref="O711">_xlfn.IFS($F711&gt;=750,"Excellent",$F711&gt;=700,"Good",$F711&gt;=650,"Moderate",
$F711&lt;650,"Risky"
)</f>
        <v>Excellent</v>
      </c>
      <c r="P711" s="27" t="str" cm="1">
        <f t="array" ref="P711">_xlfn.IFS(
AND(F711&gt;=750,H711&lt;=2),"Low Risk",
AND(F711&gt;=700,H711&lt;=5),"Medium Risk",
TRUE,"High Risk"
)</f>
        <v>High Risk</v>
      </c>
      <c r="Q711" s="5"/>
      <c r="R711" s="5"/>
      <c r="S711" s="5"/>
      <c r="T711" s="5"/>
      <c r="U711" s="5"/>
      <c r="V711" s="5"/>
      <c r="W711" s="5"/>
      <c r="X711" s="5"/>
      <c r="Y711" s="5"/>
    </row>
    <row r="712" spans="1:25" ht="15.75" customHeight="1" x14ac:dyDescent="0.25">
      <c r="A712" s="2">
        <v>43866</v>
      </c>
      <c r="B712" s="3">
        <v>54452</v>
      </c>
      <c r="C712" s="4" t="s">
        <v>38</v>
      </c>
      <c r="D712" s="4" t="str">
        <f t="shared" si="16"/>
        <v>Finance</v>
      </c>
      <c r="E712" s="4" t="str">
        <f t="shared" si="17"/>
        <v>Manager</v>
      </c>
      <c r="F712" s="13">
        <v>765</v>
      </c>
      <c r="G712" s="13">
        <v>3</v>
      </c>
      <c r="H712" s="13">
        <v>3</v>
      </c>
      <c r="I712" s="2">
        <v>33700</v>
      </c>
      <c r="J712" s="15">
        <v>864291</v>
      </c>
      <c r="K712" s="4" t="s">
        <v>14</v>
      </c>
      <c r="L712" s="27">
        <f t="shared" si="18"/>
        <v>1992</v>
      </c>
      <c r="M712" s="27">
        <f t="shared" si="19"/>
        <v>2</v>
      </c>
      <c r="N712" s="27">
        <f t="shared" ca="1" si="23"/>
        <v>34</v>
      </c>
      <c r="O712" s="27" t="str" cm="1">
        <f t="array" ref="O712">_xlfn.IFS($F712&gt;=750,"Excellent",$F712&gt;=700,"Good",$F712&gt;=650,"Moderate",
$F712&lt;650,"Risky"
)</f>
        <v>Excellent</v>
      </c>
      <c r="P712" s="27" t="str" cm="1">
        <f t="array" ref="P712">_xlfn.IFS(
AND(F712&gt;=750,H712&lt;=2),"Low Risk",
AND(F712&gt;=700,H712&lt;=5),"Medium Risk",
TRUE,"High Risk"
)</f>
        <v>Medium Risk</v>
      </c>
      <c r="Q712" s="5"/>
      <c r="R712" s="5"/>
      <c r="S712" s="5"/>
      <c r="T712" s="5"/>
      <c r="U712" s="5"/>
      <c r="V712" s="5"/>
      <c r="W712" s="5"/>
      <c r="X712" s="5"/>
      <c r="Y712" s="5"/>
    </row>
    <row r="713" spans="1:25" ht="15.75" customHeight="1" x14ac:dyDescent="0.25">
      <c r="A713" s="2">
        <v>43996</v>
      </c>
      <c r="B713" s="3">
        <v>62573</v>
      </c>
      <c r="C713" s="4" t="s">
        <v>24</v>
      </c>
      <c r="D713" s="4" t="str">
        <f t="shared" si="16"/>
        <v>Strategy</v>
      </c>
      <c r="E713" s="4" t="str">
        <f t="shared" si="17"/>
        <v>Intern</v>
      </c>
      <c r="F713" s="13">
        <v>703</v>
      </c>
      <c r="G713" s="13">
        <v>3</v>
      </c>
      <c r="H713" s="13">
        <v>10</v>
      </c>
      <c r="I713" s="2">
        <v>34294</v>
      </c>
      <c r="J713" s="15">
        <v>694026</v>
      </c>
      <c r="K713" s="4" t="s">
        <v>21</v>
      </c>
      <c r="L713" s="27">
        <f t="shared" si="18"/>
        <v>1993</v>
      </c>
      <c r="M713" s="27">
        <f t="shared" si="19"/>
        <v>6</v>
      </c>
      <c r="N713" s="27">
        <f t="shared" ca="1" si="23"/>
        <v>33</v>
      </c>
      <c r="O713" s="27" t="str" cm="1">
        <f t="array" ref="O713">_xlfn.IFS($F713&gt;=750,"Excellent",$F713&gt;=700,"Good",$F713&gt;=650,"Moderate",
$F713&lt;650,"Risky"
)</f>
        <v>Good</v>
      </c>
      <c r="P713" s="27" t="str" cm="1">
        <f t="array" ref="P713">_xlfn.IFS(
AND(F713&gt;=750,H713&lt;=2),"Low Risk",
AND(F713&gt;=700,H713&lt;=5),"Medium Risk",
TRUE,"High Risk"
)</f>
        <v>High Risk</v>
      </c>
      <c r="Q713" s="5"/>
      <c r="R713" s="5"/>
      <c r="S713" s="5"/>
      <c r="T713" s="5"/>
      <c r="U713" s="5"/>
      <c r="V713" s="5"/>
      <c r="W713" s="5"/>
      <c r="X713" s="5"/>
      <c r="Y713" s="5"/>
    </row>
    <row r="714" spans="1:25" ht="15.75" customHeight="1" x14ac:dyDescent="0.25">
      <c r="A714" s="2">
        <v>43938</v>
      </c>
      <c r="B714" s="3">
        <v>17465</v>
      </c>
      <c r="C714" s="4" t="s">
        <v>38</v>
      </c>
      <c r="D714" s="4" t="str">
        <f t="shared" si="16"/>
        <v>Finance</v>
      </c>
      <c r="E714" s="4" t="str">
        <f t="shared" si="17"/>
        <v>Manager</v>
      </c>
      <c r="F714" s="13">
        <v>748</v>
      </c>
      <c r="G714" s="13">
        <v>4</v>
      </c>
      <c r="H714" s="13">
        <v>5</v>
      </c>
      <c r="I714" s="2">
        <v>32433</v>
      </c>
      <c r="J714" s="15">
        <v>862990</v>
      </c>
      <c r="K714" s="4" t="s">
        <v>18</v>
      </c>
      <c r="L714" s="27">
        <f t="shared" si="18"/>
        <v>1988</v>
      </c>
      <c r="M714" s="27">
        <f t="shared" si="19"/>
        <v>4</v>
      </c>
      <c r="N714" s="27">
        <f t="shared" ca="1" si="23"/>
        <v>38</v>
      </c>
      <c r="O714" s="27" t="str" cm="1">
        <f t="array" ref="O714">_xlfn.IFS($F714&gt;=750,"Excellent",$F714&gt;=700,"Good",$F714&gt;=650,"Moderate",
$F714&lt;650,"Risky"
)</f>
        <v>Good</v>
      </c>
      <c r="P714" s="27" t="str" cm="1">
        <f t="array" ref="P714">_xlfn.IFS(
AND(F714&gt;=750,H714&lt;=2),"Low Risk",
AND(F714&gt;=700,H714&lt;=5),"Medium Risk",
TRUE,"High Risk"
)</f>
        <v>Medium Risk</v>
      </c>
      <c r="Q714" s="5"/>
      <c r="R714" s="5"/>
      <c r="S714" s="5"/>
      <c r="T714" s="5"/>
      <c r="U714" s="5"/>
      <c r="V714" s="5"/>
      <c r="W714" s="5"/>
      <c r="X714" s="5"/>
      <c r="Y714" s="5"/>
    </row>
    <row r="715" spans="1:25" ht="15.75" customHeight="1" x14ac:dyDescent="0.25">
      <c r="A715" s="2">
        <v>44116</v>
      </c>
      <c r="B715" s="3">
        <v>58255</v>
      </c>
      <c r="C715" s="4" t="s">
        <v>25</v>
      </c>
      <c r="D715" s="4" t="str">
        <f t="shared" si="16"/>
        <v>Sales</v>
      </c>
      <c r="E715" s="4" t="str">
        <f t="shared" si="17"/>
        <v>Manager</v>
      </c>
      <c r="F715" s="13">
        <v>796</v>
      </c>
      <c r="G715" s="13">
        <v>4</v>
      </c>
      <c r="H715" s="13">
        <v>5</v>
      </c>
      <c r="I715" s="2">
        <v>34111</v>
      </c>
      <c r="J715" s="15">
        <v>570936</v>
      </c>
      <c r="K715" s="4" t="s">
        <v>21</v>
      </c>
      <c r="L715" s="27">
        <f t="shared" si="18"/>
        <v>1993</v>
      </c>
      <c r="M715" s="27">
        <f t="shared" si="19"/>
        <v>10</v>
      </c>
      <c r="N715" s="27">
        <f t="shared" ca="1" si="23"/>
        <v>33</v>
      </c>
      <c r="O715" s="27" t="str" cm="1">
        <f t="array" ref="O715">_xlfn.IFS($F715&gt;=750,"Excellent",$F715&gt;=700,"Good",$F715&gt;=650,"Moderate",
$F715&lt;650,"Risky"
)</f>
        <v>Excellent</v>
      </c>
      <c r="P715" s="27" t="str" cm="1">
        <f t="array" ref="P715">_xlfn.IFS(
AND(F715&gt;=750,H715&lt;=2),"Low Risk",
AND(F715&gt;=700,H715&lt;=5),"Medium Risk",
TRUE,"High Risk"
)</f>
        <v>Medium Risk</v>
      </c>
      <c r="Q715" s="5"/>
      <c r="R715" s="5"/>
      <c r="S715" s="5"/>
      <c r="T715" s="5"/>
      <c r="U715" s="5"/>
      <c r="V715" s="5"/>
      <c r="W715" s="5"/>
      <c r="X715" s="5"/>
      <c r="Y715" s="5"/>
    </row>
    <row r="716" spans="1:25" ht="15.75" customHeight="1" x14ac:dyDescent="0.25">
      <c r="A716" s="2">
        <v>43981</v>
      </c>
      <c r="B716" s="3">
        <v>15392</v>
      </c>
      <c r="C716" s="4" t="s">
        <v>26</v>
      </c>
      <c r="D716" s="4" t="str">
        <f t="shared" si="16"/>
        <v>Strategy</v>
      </c>
      <c r="E716" s="4" t="str">
        <f t="shared" si="17"/>
        <v>Manager</v>
      </c>
      <c r="F716" s="13">
        <v>704</v>
      </c>
      <c r="G716" s="13">
        <v>4</v>
      </c>
      <c r="H716" s="13">
        <v>10</v>
      </c>
      <c r="I716" s="2">
        <v>33963</v>
      </c>
      <c r="J716" s="15">
        <v>940130</v>
      </c>
      <c r="K716" s="4" t="s">
        <v>14</v>
      </c>
      <c r="L716" s="27">
        <f t="shared" si="18"/>
        <v>1992</v>
      </c>
      <c r="M716" s="27">
        <f t="shared" si="19"/>
        <v>5</v>
      </c>
      <c r="N716" s="27">
        <f t="shared" ca="1" si="23"/>
        <v>34</v>
      </c>
      <c r="O716" s="27" t="str" cm="1">
        <f t="array" ref="O716">_xlfn.IFS($F716&gt;=750,"Excellent",$F716&gt;=700,"Good",$F716&gt;=650,"Moderate",
$F716&lt;650,"Risky"
)</f>
        <v>Good</v>
      </c>
      <c r="P716" s="27" t="str" cm="1">
        <f t="array" ref="P716">_xlfn.IFS(
AND(F716&gt;=750,H716&lt;=2),"Low Risk",
AND(F716&gt;=700,H716&lt;=5),"Medium Risk",
TRUE,"High Risk"
)</f>
        <v>High Risk</v>
      </c>
      <c r="Q716" s="5"/>
      <c r="R716" s="5"/>
      <c r="S716" s="5"/>
      <c r="T716" s="5"/>
      <c r="U716" s="5"/>
      <c r="V716" s="5"/>
      <c r="W716" s="5"/>
      <c r="X716" s="5"/>
      <c r="Y716" s="5"/>
    </row>
    <row r="717" spans="1:25" ht="15.75" customHeight="1" x14ac:dyDescent="0.25">
      <c r="A717" s="2">
        <v>43849</v>
      </c>
      <c r="B717" s="3">
        <v>93307</v>
      </c>
      <c r="C717" s="4" t="s">
        <v>32</v>
      </c>
      <c r="D717" s="4" t="str">
        <f t="shared" si="16"/>
        <v>Finance</v>
      </c>
      <c r="E717" s="4" t="str">
        <f t="shared" si="17"/>
        <v>Executive</v>
      </c>
      <c r="F717" s="13">
        <v>762</v>
      </c>
      <c r="G717" s="13">
        <v>5</v>
      </c>
      <c r="H717" s="13">
        <v>9</v>
      </c>
      <c r="I717" s="2">
        <v>34099</v>
      </c>
      <c r="J717" s="15">
        <v>923284</v>
      </c>
      <c r="K717" s="4" t="s">
        <v>14</v>
      </c>
      <c r="L717" s="27">
        <f t="shared" si="18"/>
        <v>1993</v>
      </c>
      <c r="M717" s="27">
        <f t="shared" si="19"/>
        <v>1</v>
      </c>
      <c r="N717" s="27">
        <f t="shared" ca="1" si="23"/>
        <v>33</v>
      </c>
      <c r="O717" s="27" t="str" cm="1">
        <f t="array" ref="O717">_xlfn.IFS($F717&gt;=750,"Excellent",$F717&gt;=700,"Good",$F717&gt;=650,"Moderate",
$F717&lt;650,"Risky"
)</f>
        <v>Excellent</v>
      </c>
      <c r="P717" s="27" t="str" cm="1">
        <f t="array" ref="P717">_xlfn.IFS(
AND(F717&gt;=750,H717&lt;=2),"Low Risk",
AND(F717&gt;=700,H717&lt;=5),"Medium Risk",
TRUE,"High Risk"
)</f>
        <v>High Risk</v>
      </c>
      <c r="Q717" s="5"/>
      <c r="R717" s="5"/>
      <c r="S717" s="5"/>
      <c r="T717" s="5"/>
      <c r="U717" s="5"/>
      <c r="V717" s="5"/>
      <c r="W717" s="5"/>
      <c r="X717" s="5"/>
      <c r="Y717" s="5"/>
    </row>
    <row r="718" spans="1:25" ht="15.75" customHeight="1" x14ac:dyDescent="0.25">
      <c r="A718" s="2">
        <v>43865</v>
      </c>
      <c r="B718" s="3">
        <v>76210</v>
      </c>
      <c r="C718" s="4" t="s">
        <v>20</v>
      </c>
      <c r="D718" s="4" t="str">
        <f t="shared" si="16"/>
        <v>Operation</v>
      </c>
      <c r="E718" s="4" t="str">
        <f t="shared" si="17"/>
        <v>Manager</v>
      </c>
      <c r="F718" s="13">
        <v>796</v>
      </c>
      <c r="G718" s="13">
        <v>3</v>
      </c>
      <c r="H718" s="13">
        <v>5</v>
      </c>
      <c r="I718" s="2">
        <v>32336</v>
      </c>
      <c r="J718" s="15">
        <v>580793</v>
      </c>
      <c r="K718" s="4" t="s">
        <v>18</v>
      </c>
      <c r="L718" s="27">
        <f t="shared" si="18"/>
        <v>1988</v>
      </c>
      <c r="M718" s="27">
        <f t="shared" si="19"/>
        <v>2</v>
      </c>
      <c r="N718" s="27">
        <f t="shared" ca="1" si="23"/>
        <v>38</v>
      </c>
      <c r="O718" s="27" t="str" cm="1">
        <f t="array" ref="O718">_xlfn.IFS($F718&gt;=750,"Excellent",$F718&gt;=700,"Good",$F718&gt;=650,"Moderate",
$F718&lt;650,"Risky"
)</f>
        <v>Excellent</v>
      </c>
      <c r="P718" s="27" t="str" cm="1">
        <f t="array" ref="P718">_xlfn.IFS(
AND(F718&gt;=750,H718&lt;=2),"Low Risk",
AND(F718&gt;=700,H718&lt;=5),"Medium Risk",
TRUE,"High Risk"
)</f>
        <v>Medium Risk</v>
      </c>
      <c r="Q718" s="5"/>
      <c r="R718" s="5"/>
      <c r="S718" s="5"/>
      <c r="T718" s="5"/>
      <c r="U718" s="5"/>
      <c r="V718" s="5"/>
      <c r="W718" s="5"/>
      <c r="X718" s="5"/>
      <c r="Y718" s="5"/>
    </row>
    <row r="719" spans="1:25" ht="15.75" customHeight="1" x14ac:dyDescent="0.25">
      <c r="A719" s="2">
        <v>44018</v>
      </c>
      <c r="B719" s="3">
        <v>77353</v>
      </c>
      <c r="C719" s="4" t="s">
        <v>34</v>
      </c>
      <c r="D719" s="4" t="str">
        <f t="shared" si="16"/>
        <v>Finance</v>
      </c>
      <c r="E719" s="4" t="str">
        <f t="shared" si="17"/>
        <v>Director</v>
      </c>
      <c r="F719" s="13">
        <v>758</v>
      </c>
      <c r="G719" s="13">
        <v>5</v>
      </c>
      <c r="H719" s="13">
        <v>9</v>
      </c>
      <c r="I719" s="2">
        <v>29600</v>
      </c>
      <c r="J719" s="15">
        <v>847258</v>
      </c>
      <c r="K719" s="4" t="s">
        <v>14</v>
      </c>
      <c r="L719" s="27">
        <f t="shared" si="18"/>
        <v>1981</v>
      </c>
      <c r="M719" s="27">
        <f t="shared" si="19"/>
        <v>7</v>
      </c>
      <c r="N719" s="27">
        <f t="shared" ca="1" si="23"/>
        <v>45</v>
      </c>
      <c r="O719" s="27" t="str" cm="1">
        <f t="array" ref="O719">_xlfn.IFS($F719&gt;=750,"Excellent",$F719&gt;=700,"Good",$F719&gt;=650,"Moderate",
$F719&lt;650,"Risky"
)</f>
        <v>Excellent</v>
      </c>
      <c r="P719" s="27" t="str" cm="1">
        <f t="array" ref="P719">_xlfn.IFS(
AND(F719&gt;=750,H719&lt;=2),"Low Risk",
AND(F719&gt;=700,H719&lt;=5),"Medium Risk",
TRUE,"High Risk"
)</f>
        <v>High Risk</v>
      </c>
      <c r="Q719" s="5"/>
      <c r="R719" s="5"/>
      <c r="S719" s="5"/>
      <c r="T719" s="5"/>
      <c r="U719" s="5"/>
      <c r="V719" s="5"/>
      <c r="W719" s="5"/>
      <c r="X719" s="5"/>
      <c r="Y719" s="5"/>
    </row>
    <row r="720" spans="1:25" ht="15.75" customHeight="1" x14ac:dyDescent="0.25">
      <c r="A720" s="2">
        <v>43838</v>
      </c>
      <c r="B720" s="3">
        <v>34273</v>
      </c>
      <c r="C720" s="4" t="s">
        <v>25</v>
      </c>
      <c r="D720" s="4" t="str">
        <f t="shared" si="16"/>
        <v>Sales</v>
      </c>
      <c r="E720" s="4" t="str">
        <f t="shared" si="17"/>
        <v>Manager</v>
      </c>
      <c r="F720" s="13">
        <v>768</v>
      </c>
      <c r="G720" s="13">
        <v>4</v>
      </c>
      <c r="H720" s="13">
        <v>5</v>
      </c>
      <c r="I720" s="2">
        <v>31035</v>
      </c>
      <c r="J720" s="15">
        <v>506736</v>
      </c>
      <c r="K720" s="4" t="s">
        <v>18</v>
      </c>
      <c r="L720" s="27">
        <f t="shared" si="18"/>
        <v>1984</v>
      </c>
      <c r="M720" s="27">
        <f t="shared" si="19"/>
        <v>1</v>
      </c>
      <c r="N720" s="27">
        <f t="shared" ca="1" si="23"/>
        <v>42</v>
      </c>
      <c r="O720" s="27" t="str" cm="1">
        <f t="array" ref="O720">_xlfn.IFS($F720&gt;=750,"Excellent",$F720&gt;=700,"Good",$F720&gt;=650,"Moderate",
$F720&lt;650,"Risky"
)</f>
        <v>Excellent</v>
      </c>
      <c r="P720" s="27" t="str" cm="1">
        <f t="array" ref="P720">_xlfn.IFS(
AND(F720&gt;=750,H720&lt;=2),"Low Risk",
AND(F720&gt;=700,H720&lt;=5),"Medium Risk",
TRUE,"High Risk"
)</f>
        <v>Medium Risk</v>
      </c>
      <c r="Q720" s="5"/>
      <c r="R720" s="5"/>
      <c r="S720" s="5"/>
      <c r="T720" s="5"/>
      <c r="U720" s="5"/>
      <c r="V720" s="5"/>
      <c r="W720" s="5"/>
      <c r="X720" s="5"/>
      <c r="Y720" s="5"/>
    </row>
    <row r="721" spans="1:25" ht="15.75" customHeight="1" x14ac:dyDescent="0.25">
      <c r="A721" s="2">
        <v>43978</v>
      </c>
      <c r="B721" s="3">
        <v>84750</v>
      </c>
      <c r="C721" s="4" t="s">
        <v>28</v>
      </c>
      <c r="D721" s="4" t="str">
        <f t="shared" si="16"/>
        <v>Growth</v>
      </c>
      <c r="E721" s="4" t="str">
        <f t="shared" si="17"/>
        <v>Director</v>
      </c>
      <c r="F721" s="13">
        <v>749</v>
      </c>
      <c r="G721" s="13">
        <v>1</v>
      </c>
      <c r="H721" s="13">
        <v>5</v>
      </c>
      <c r="I721" s="2">
        <v>29822</v>
      </c>
      <c r="J721" s="15">
        <v>867752</v>
      </c>
      <c r="K721" s="4" t="s">
        <v>21</v>
      </c>
      <c r="L721" s="27">
        <f t="shared" si="18"/>
        <v>1981</v>
      </c>
      <c r="M721" s="27">
        <f t="shared" si="19"/>
        <v>5</v>
      </c>
      <c r="N721" s="27">
        <f t="shared" ca="1" si="23"/>
        <v>45</v>
      </c>
      <c r="O721" s="27" t="str" cm="1">
        <f t="array" ref="O721">_xlfn.IFS($F721&gt;=750,"Excellent",$F721&gt;=700,"Good",$F721&gt;=650,"Moderate",
$F721&lt;650,"Risky"
)</f>
        <v>Good</v>
      </c>
      <c r="P721" s="27" t="str" cm="1">
        <f t="array" ref="P721">_xlfn.IFS(
AND(F721&gt;=750,H721&lt;=2),"Low Risk",
AND(F721&gt;=700,H721&lt;=5),"Medium Risk",
TRUE,"High Risk"
)</f>
        <v>Medium Risk</v>
      </c>
      <c r="Q721" s="5"/>
      <c r="R721" s="5"/>
      <c r="S721" s="5"/>
      <c r="T721" s="5"/>
      <c r="U721" s="5"/>
      <c r="V721" s="5"/>
      <c r="W721" s="5"/>
      <c r="X721" s="5"/>
      <c r="Y721" s="5"/>
    </row>
    <row r="722" spans="1:25" ht="15.75" customHeight="1" x14ac:dyDescent="0.25">
      <c r="A722" s="2">
        <v>43902</v>
      </c>
      <c r="B722" s="3">
        <v>39641</v>
      </c>
      <c r="C722" s="4" t="s">
        <v>27</v>
      </c>
      <c r="D722" s="4" t="str">
        <f t="shared" si="16"/>
        <v>Operation</v>
      </c>
      <c r="E722" s="4" t="str">
        <f t="shared" si="17"/>
        <v>Intern</v>
      </c>
      <c r="F722" s="13">
        <v>793</v>
      </c>
      <c r="G722" s="13">
        <v>2</v>
      </c>
      <c r="H722" s="13">
        <v>6</v>
      </c>
      <c r="I722" s="2">
        <v>30670</v>
      </c>
      <c r="J722" s="15">
        <v>839870</v>
      </c>
      <c r="K722" s="4" t="s">
        <v>18</v>
      </c>
      <c r="L722" s="27">
        <f t="shared" si="18"/>
        <v>1983</v>
      </c>
      <c r="M722" s="27">
        <f t="shared" si="19"/>
        <v>3</v>
      </c>
      <c r="N722" s="27">
        <f t="shared" ca="1" si="23"/>
        <v>43</v>
      </c>
      <c r="O722" s="27" t="str" cm="1">
        <f t="array" ref="O722">_xlfn.IFS($F722&gt;=750,"Excellent",$F722&gt;=700,"Good",$F722&gt;=650,"Moderate",
$F722&lt;650,"Risky"
)</f>
        <v>Excellent</v>
      </c>
      <c r="P722" s="27" t="str" cm="1">
        <f t="array" ref="P722">_xlfn.IFS(
AND(F722&gt;=750,H722&lt;=2),"Low Risk",
AND(F722&gt;=700,H722&lt;=5),"Medium Risk",
TRUE,"High Risk"
)</f>
        <v>High Risk</v>
      </c>
      <c r="Q722" s="5"/>
      <c r="R722" s="5"/>
      <c r="S722" s="5"/>
      <c r="T722" s="5"/>
      <c r="U722" s="5"/>
      <c r="V722" s="5"/>
      <c r="W722" s="5"/>
      <c r="X722" s="5"/>
      <c r="Y722" s="5"/>
    </row>
    <row r="723" spans="1:25" ht="15.75" customHeight="1" x14ac:dyDescent="0.25">
      <c r="A723" s="2">
        <v>44128</v>
      </c>
      <c r="B723" s="3">
        <v>38013</v>
      </c>
      <c r="C723" s="4" t="s">
        <v>26</v>
      </c>
      <c r="D723" s="4" t="str">
        <f t="shared" si="16"/>
        <v>Strategy</v>
      </c>
      <c r="E723" s="4" t="str">
        <f t="shared" si="17"/>
        <v>Manager</v>
      </c>
      <c r="F723" s="13">
        <v>756</v>
      </c>
      <c r="G723" s="13">
        <v>5</v>
      </c>
      <c r="H723" s="13">
        <v>9</v>
      </c>
      <c r="I723" s="2">
        <v>34288</v>
      </c>
      <c r="J723" s="15">
        <v>512988</v>
      </c>
      <c r="K723" s="4" t="s">
        <v>21</v>
      </c>
      <c r="L723" s="27">
        <f t="shared" si="18"/>
        <v>1993</v>
      </c>
      <c r="M723" s="27">
        <f t="shared" si="19"/>
        <v>10</v>
      </c>
      <c r="N723" s="27">
        <f t="shared" ca="1" si="23"/>
        <v>33</v>
      </c>
      <c r="O723" s="27" t="str" cm="1">
        <f t="array" ref="O723">_xlfn.IFS($F723&gt;=750,"Excellent",$F723&gt;=700,"Good",$F723&gt;=650,"Moderate",
$F723&lt;650,"Risky"
)</f>
        <v>Excellent</v>
      </c>
      <c r="P723" s="27" t="str" cm="1">
        <f t="array" ref="P723">_xlfn.IFS(
AND(F723&gt;=750,H723&lt;=2),"Low Risk",
AND(F723&gt;=700,H723&lt;=5),"Medium Risk",
TRUE,"High Risk"
)</f>
        <v>High Risk</v>
      </c>
      <c r="Q723" s="5"/>
      <c r="R723" s="5"/>
      <c r="S723" s="5"/>
      <c r="T723" s="5"/>
      <c r="U723" s="5"/>
      <c r="V723" s="5"/>
      <c r="W723" s="5"/>
      <c r="X723" s="5"/>
      <c r="Y723" s="5"/>
    </row>
    <row r="724" spans="1:25" ht="15.75" customHeight="1" x14ac:dyDescent="0.25">
      <c r="A724" s="2">
        <v>43932</v>
      </c>
      <c r="B724" s="3">
        <v>17970</v>
      </c>
      <c r="C724" s="4" t="s">
        <v>27</v>
      </c>
      <c r="D724" s="4" t="str">
        <f t="shared" si="16"/>
        <v>Operation</v>
      </c>
      <c r="E724" s="4" t="str">
        <f t="shared" si="17"/>
        <v>Intern</v>
      </c>
      <c r="F724" s="13">
        <v>748</v>
      </c>
      <c r="G724" s="13">
        <v>5</v>
      </c>
      <c r="H724" s="13">
        <v>1</v>
      </c>
      <c r="I724" s="2">
        <v>29296</v>
      </c>
      <c r="J724" s="15">
        <v>855983</v>
      </c>
      <c r="K724" s="4" t="s">
        <v>21</v>
      </c>
      <c r="L724" s="27">
        <f t="shared" si="18"/>
        <v>1980</v>
      </c>
      <c r="M724" s="27">
        <f t="shared" si="19"/>
        <v>4</v>
      </c>
      <c r="N724" s="27">
        <f t="shared" ca="1" si="23"/>
        <v>46</v>
      </c>
      <c r="O724" s="27" t="str" cm="1">
        <f t="array" ref="O724">_xlfn.IFS($F724&gt;=750,"Excellent",$F724&gt;=700,"Good",$F724&gt;=650,"Moderate",
$F724&lt;650,"Risky"
)</f>
        <v>Good</v>
      </c>
      <c r="P724" s="27" t="str" cm="1">
        <f t="array" ref="P724">_xlfn.IFS(
AND(F724&gt;=750,H724&lt;=2),"Low Risk",
AND(F724&gt;=700,H724&lt;=5),"Medium Risk",
TRUE,"High Risk"
)</f>
        <v>Medium Risk</v>
      </c>
      <c r="Q724" s="5"/>
      <c r="R724" s="5"/>
      <c r="S724" s="5"/>
      <c r="T724" s="5"/>
      <c r="U724" s="5"/>
      <c r="V724" s="5"/>
      <c r="W724" s="5"/>
      <c r="X724" s="5"/>
      <c r="Y724" s="5"/>
    </row>
    <row r="725" spans="1:25" ht="15.75" customHeight="1" x14ac:dyDescent="0.25">
      <c r="A725" s="2">
        <v>44039</v>
      </c>
      <c r="B725" s="3">
        <v>82087</v>
      </c>
      <c r="C725" s="4" t="s">
        <v>30</v>
      </c>
      <c r="D725" s="4" t="str">
        <f t="shared" si="16"/>
        <v>Operation</v>
      </c>
      <c r="E725" s="4" t="str">
        <f t="shared" si="17"/>
        <v>Director</v>
      </c>
      <c r="F725" s="13">
        <v>767</v>
      </c>
      <c r="G725" s="13">
        <v>3</v>
      </c>
      <c r="H725" s="13">
        <v>3</v>
      </c>
      <c r="I725" s="2">
        <v>32734</v>
      </c>
      <c r="J725" s="15">
        <v>839506</v>
      </c>
      <c r="K725" s="4" t="s">
        <v>21</v>
      </c>
      <c r="L725" s="27">
        <f t="shared" si="18"/>
        <v>1989</v>
      </c>
      <c r="M725" s="27">
        <f t="shared" si="19"/>
        <v>7</v>
      </c>
      <c r="N725" s="27">
        <f t="shared" ca="1" si="23"/>
        <v>37</v>
      </c>
      <c r="O725" s="27" t="str" cm="1">
        <f t="array" ref="O725">_xlfn.IFS($F725&gt;=750,"Excellent",$F725&gt;=700,"Good",$F725&gt;=650,"Moderate",
$F725&lt;650,"Risky"
)</f>
        <v>Excellent</v>
      </c>
      <c r="P725" s="27" t="str" cm="1">
        <f t="array" ref="P725">_xlfn.IFS(
AND(F725&gt;=750,H725&lt;=2),"Low Risk",
AND(F725&gt;=700,H725&lt;=5),"Medium Risk",
TRUE,"High Risk"
)</f>
        <v>Medium Risk</v>
      </c>
      <c r="Q725" s="5"/>
      <c r="R725" s="5"/>
      <c r="S725" s="5"/>
      <c r="T725" s="5"/>
      <c r="U725" s="5"/>
      <c r="V725" s="5"/>
      <c r="W725" s="5"/>
      <c r="X725" s="5"/>
      <c r="Y725" s="5"/>
    </row>
    <row r="726" spans="1:25" ht="15.75" customHeight="1" x14ac:dyDescent="0.25">
      <c r="A726" s="2">
        <v>43892</v>
      </c>
      <c r="B726" s="3">
        <v>69407</v>
      </c>
      <c r="C726" s="4" t="s">
        <v>19</v>
      </c>
      <c r="D726" s="4" t="str">
        <f t="shared" si="16"/>
        <v>Marketing</v>
      </c>
      <c r="E726" s="4" t="str">
        <f t="shared" si="17"/>
        <v>Manager</v>
      </c>
      <c r="F726" s="13">
        <v>754</v>
      </c>
      <c r="G726" s="13">
        <v>3</v>
      </c>
      <c r="H726" s="13">
        <v>3</v>
      </c>
      <c r="I726" s="2">
        <v>32300</v>
      </c>
      <c r="J726" s="15">
        <v>850355</v>
      </c>
      <c r="K726" s="4" t="s">
        <v>14</v>
      </c>
      <c r="L726" s="27">
        <f t="shared" si="18"/>
        <v>1988</v>
      </c>
      <c r="M726" s="27">
        <f t="shared" si="19"/>
        <v>3</v>
      </c>
      <c r="N726" s="27">
        <f t="shared" ca="1" si="23"/>
        <v>38</v>
      </c>
      <c r="O726" s="27" t="str" cm="1">
        <f t="array" ref="O726">_xlfn.IFS($F726&gt;=750,"Excellent",$F726&gt;=700,"Good",$F726&gt;=650,"Moderate",
$F726&lt;650,"Risky"
)</f>
        <v>Excellent</v>
      </c>
      <c r="P726" s="27" t="str" cm="1">
        <f t="array" ref="P726">_xlfn.IFS(
AND(F726&gt;=750,H726&lt;=2),"Low Risk",
AND(F726&gt;=700,H726&lt;=5),"Medium Risk",
TRUE,"High Risk"
)</f>
        <v>Medium Risk</v>
      </c>
      <c r="Q726" s="5"/>
      <c r="R726" s="5"/>
      <c r="S726" s="5"/>
      <c r="T726" s="5"/>
      <c r="U726" s="5"/>
      <c r="V726" s="5"/>
      <c r="W726" s="5"/>
      <c r="X726" s="5"/>
      <c r="Y726" s="5"/>
    </row>
    <row r="727" spans="1:25" ht="15.75" customHeight="1" x14ac:dyDescent="0.25">
      <c r="A727" s="2">
        <v>44044</v>
      </c>
      <c r="B727" s="3">
        <v>51439</v>
      </c>
      <c r="C727" s="4" t="s">
        <v>20</v>
      </c>
      <c r="D727" s="4" t="str">
        <f t="shared" si="16"/>
        <v>Operation</v>
      </c>
      <c r="E727" s="4" t="str">
        <f t="shared" si="17"/>
        <v>Manager</v>
      </c>
      <c r="F727" s="13">
        <v>784</v>
      </c>
      <c r="G727" s="13">
        <v>2</v>
      </c>
      <c r="H727" s="13">
        <v>6</v>
      </c>
      <c r="I727" s="2">
        <v>31704</v>
      </c>
      <c r="J727" s="15">
        <v>698767</v>
      </c>
      <c r="K727" s="4" t="s">
        <v>18</v>
      </c>
      <c r="L727" s="27">
        <f t="shared" si="18"/>
        <v>1986</v>
      </c>
      <c r="M727" s="27">
        <f t="shared" si="19"/>
        <v>8</v>
      </c>
      <c r="N727" s="27">
        <f t="shared" ca="1" si="23"/>
        <v>40</v>
      </c>
      <c r="O727" s="27" t="str" cm="1">
        <f t="array" ref="O727">_xlfn.IFS($F727&gt;=750,"Excellent",$F727&gt;=700,"Good",$F727&gt;=650,"Moderate",
$F727&lt;650,"Risky"
)</f>
        <v>Excellent</v>
      </c>
      <c r="P727" s="27" t="str" cm="1">
        <f t="array" ref="P727">_xlfn.IFS(
AND(F727&gt;=750,H727&lt;=2),"Low Risk",
AND(F727&gt;=700,H727&lt;=5),"Medium Risk",
TRUE,"High Risk"
)</f>
        <v>High Risk</v>
      </c>
      <c r="Q727" s="5"/>
      <c r="R727" s="5"/>
      <c r="S727" s="5"/>
      <c r="T727" s="5"/>
      <c r="U727" s="5"/>
      <c r="V727" s="5"/>
      <c r="W727" s="5"/>
      <c r="X727" s="5"/>
      <c r="Y727" s="5"/>
    </row>
    <row r="728" spans="1:25" ht="15.75" customHeight="1" x14ac:dyDescent="0.25">
      <c r="A728" s="2">
        <v>44143</v>
      </c>
      <c r="B728" s="3">
        <v>96597</v>
      </c>
      <c r="C728" s="4" t="s">
        <v>28</v>
      </c>
      <c r="D728" s="4" t="str">
        <f t="shared" si="16"/>
        <v>Growth</v>
      </c>
      <c r="E728" s="4" t="str">
        <f t="shared" si="17"/>
        <v>Director</v>
      </c>
      <c r="F728" s="13">
        <v>711</v>
      </c>
      <c r="G728" s="13">
        <v>3</v>
      </c>
      <c r="H728" s="13">
        <v>5</v>
      </c>
      <c r="I728" s="2">
        <v>30227</v>
      </c>
      <c r="J728" s="15">
        <v>979209</v>
      </c>
      <c r="K728" s="4" t="s">
        <v>18</v>
      </c>
      <c r="L728" s="27">
        <f t="shared" si="18"/>
        <v>1982</v>
      </c>
      <c r="M728" s="27">
        <f t="shared" si="19"/>
        <v>11</v>
      </c>
      <c r="N728" s="27">
        <f t="shared" ca="1" si="23"/>
        <v>44</v>
      </c>
      <c r="O728" s="27" t="str" cm="1">
        <f t="array" ref="O728">_xlfn.IFS($F728&gt;=750,"Excellent",$F728&gt;=700,"Good",$F728&gt;=650,"Moderate",
$F728&lt;650,"Risky"
)</f>
        <v>Good</v>
      </c>
      <c r="P728" s="27" t="str" cm="1">
        <f t="array" ref="P728">_xlfn.IFS(
AND(F728&gt;=750,H728&lt;=2),"Low Risk",
AND(F728&gt;=700,H728&lt;=5),"Medium Risk",
TRUE,"High Risk"
)</f>
        <v>Medium Risk</v>
      </c>
      <c r="Q728" s="5"/>
      <c r="R728" s="5"/>
      <c r="S728" s="5"/>
      <c r="T728" s="5"/>
      <c r="U728" s="5"/>
      <c r="V728" s="5"/>
      <c r="W728" s="5"/>
      <c r="X728" s="5"/>
      <c r="Y728" s="5"/>
    </row>
    <row r="729" spans="1:25" ht="15.75" customHeight="1" x14ac:dyDescent="0.25">
      <c r="A729" s="2">
        <v>43935</v>
      </c>
      <c r="B729" s="3">
        <v>62604</v>
      </c>
      <c r="C729" s="4" t="s">
        <v>33</v>
      </c>
      <c r="D729" s="4" t="str">
        <f t="shared" si="16"/>
        <v>Sales</v>
      </c>
      <c r="E729" s="4" t="str">
        <f t="shared" si="17"/>
        <v>Executive</v>
      </c>
      <c r="F729" s="13">
        <v>781</v>
      </c>
      <c r="G729" s="13">
        <v>1</v>
      </c>
      <c r="H729" s="13">
        <v>8</v>
      </c>
      <c r="I729" s="2">
        <v>29565</v>
      </c>
      <c r="J729" s="15">
        <v>624867</v>
      </c>
      <c r="K729" s="4" t="s">
        <v>18</v>
      </c>
      <c r="L729" s="27">
        <f t="shared" si="18"/>
        <v>1980</v>
      </c>
      <c r="M729" s="27">
        <f t="shared" si="19"/>
        <v>4</v>
      </c>
      <c r="N729" s="27">
        <f t="shared" ca="1" si="23"/>
        <v>46</v>
      </c>
      <c r="O729" s="27" t="str" cm="1">
        <f t="array" ref="O729">_xlfn.IFS($F729&gt;=750,"Excellent",$F729&gt;=700,"Good",$F729&gt;=650,"Moderate",
$F729&lt;650,"Risky"
)</f>
        <v>Excellent</v>
      </c>
      <c r="P729" s="27" t="str" cm="1">
        <f t="array" ref="P729">_xlfn.IFS(
AND(F729&gt;=750,H729&lt;=2),"Low Risk",
AND(F729&gt;=700,H729&lt;=5),"Medium Risk",
TRUE,"High Risk"
)</f>
        <v>High Risk</v>
      </c>
      <c r="Q729" s="5"/>
      <c r="R729" s="5"/>
      <c r="S729" s="5"/>
      <c r="T729" s="5"/>
      <c r="U729" s="5"/>
      <c r="V729" s="5"/>
      <c r="W729" s="5"/>
      <c r="X729" s="5"/>
      <c r="Y729" s="5"/>
    </row>
    <row r="730" spans="1:25" ht="15.75" customHeight="1" x14ac:dyDescent="0.25">
      <c r="A730" s="2">
        <v>43944</v>
      </c>
      <c r="B730" s="3">
        <v>11075</v>
      </c>
      <c r="C730" s="4" t="s">
        <v>38</v>
      </c>
      <c r="D730" s="4" t="str">
        <f t="shared" si="16"/>
        <v>Finance</v>
      </c>
      <c r="E730" s="4" t="str">
        <f t="shared" si="17"/>
        <v>Manager</v>
      </c>
      <c r="F730" s="13">
        <v>713</v>
      </c>
      <c r="G730" s="13">
        <v>5</v>
      </c>
      <c r="H730" s="13">
        <v>1</v>
      </c>
      <c r="I730" s="2">
        <v>30369</v>
      </c>
      <c r="J730" s="15">
        <v>622640</v>
      </c>
      <c r="K730" s="4" t="s">
        <v>21</v>
      </c>
      <c r="L730" s="27">
        <f t="shared" si="18"/>
        <v>1983</v>
      </c>
      <c r="M730" s="27">
        <f t="shared" si="19"/>
        <v>4</v>
      </c>
      <c r="N730" s="27">
        <f t="shared" ca="1" si="23"/>
        <v>43</v>
      </c>
      <c r="O730" s="27" t="str" cm="1">
        <f t="array" ref="O730">_xlfn.IFS($F730&gt;=750,"Excellent",$F730&gt;=700,"Good",$F730&gt;=650,"Moderate",
$F730&lt;650,"Risky"
)</f>
        <v>Good</v>
      </c>
      <c r="P730" s="27" t="str" cm="1">
        <f t="array" ref="P730">_xlfn.IFS(
AND(F730&gt;=750,H730&lt;=2),"Low Risk",
AND(F730&gt;=700,H730&lt;=5),"Medium Risk",
TRUE,"High Risk"
)</f>
        <v>Medium Risk</v>
      </c>
      <c r="Q730" s="5"/>
      <c r="R730" s="5"/>
      <c r="S730" s="5"/>
      <c r="T730" s="5"/>
      <c r="U730" s="5"/>
      <c r="V730" s="5"/>
      <c r="W730" s="5"/>
      <c r="X730" s="5"/>
      <c r="Y730" s="5"/>
    </row>
    <row r="731" spans="1:25" ht="15.75" customHeight="1" x14ac:dyDescent="0.25">
      <c r="A731" s="2">
        <v>43955</v>
      </c>
      <c r="B731" s="3">
        <v>92028</v>
      </c>
      <c r="C731" s="4" t="s">
        <v>13</v>
      </c>
      <c r="D731" s="4" t="str">
        <f t="shared" si="16"/>
        <v>Marketing</v>
      </c>
      <c r="E731" s="4" t="str">
        <f t="shared" si="17"/>
        <v>Director</v>
      </c>
      <c r="F731" s="13">
        <v>763</v>
      </c>
      <c r="G731" s="13">
        <v>4</v>
      </c>
      <c r="H731" s="13">
        <v>9</v>
      </c>
      <c r="I731" s="2">
        <v>29778</v>
      </c>
      <c r="J731" s="15">
        <v>563736</v>
      </c>
      <c r="K731" s="4" t="s">
        <v>18</v>
      </c>
      <c r="L731" s="27">
        <f t="shared" si="18"/>
        <v>1981</v>
      </c>
      <c r="M731" s="27">
        <f t="shared" si="19"/>
        <v>5</v>
      </c>
      <c r="N731" s="27">
        <f t="shared" ca="1" si="23"/>
        <v>45</v>
      </c>
      <c r="O731" s="27" t="str" cm="1">
        <f t="array" ref="O731">_xlfn.IFS($F731&gt;=750,"Excellent",$F731&gt;=700,"Good",$F731&gt;=650,"Moderate",
$F731&lt;650,"Risky"
)</f>
        <v>Excellent</v>
      </c>
      <c r="P731" s="27" t="str" cm="1">
        <f t="array" ref="P731">_xlfn.IFS(
AND(F731&gt;=750,H731&lt;=2),"Low Risk",
AND(F731&gt;=700,H731&lt;=5),"Medium Risk",
TRUE,"High Risk"
)</f>
        <v>High Risk</v>
      </c>
      <c r="Q731" s="5"/>
      <c r="R731" s="5"/>
      <c r="S731" s="5"/>
      <c r="T731" s="5"/>
      <c r="U731" s="5"/>
      <c r="V731" s="5"/>
      <c r="W731" s="5"/>
      <c r="X731" s="5"/>
      <c r="Y731" s="5"/>
    </row>
    <row r="732" spans="1:25" ht="15.75" customHeight="1" x14ac:dyDescent="0.25">
      <c r="A732" s="2">
        <v>43917</v>
      </c>
      <c r="B732" s="3">
        <v>30370</v>
      </c>
      <c r="C732" s="4" t="s">
        <v>19</v>
      </c>
      <c r="D732" s="4" t="str">
        <f t="shared" si="16"/>
        <v>Marketing</v>
      </c>
      <c r="E732" s="4" t="str">
        <f t="shared" si="17"/>
        <v>Manager</v>
      </c>
      <c r="F732" s="13">
        <v>781</v>
      </c>
      <c r="G732" s="13">
        <v>1</v>
      </c>
      <c r="H732" s="13">
        <v>10</v>
      </c>
      <c r="I732" s="2">
        <v>30240</v>
      </c>
      <c r="J732" s="15">
        <v>968094</v>
      </c>
      <c r="K732" s="4" t="s">
        <v>21</v>
      </c>
      <c r="L732" s="27">
        <f t="shared" si="18"/>
        <v>1982</v>
      </c>
      <c r="M732" s="27">
        <f t="shared" si="19"/>
        <v>3</v>
      </c>
      <c r="N732" s="27">
        <f t="shared" ca="1" si="23"/>
        <v>44</v>
      </c>
      <c r="O732" s="27" t="str" cm="1">
        <f t="array" ref="O732">_xlfn.IFS($F732&gt;=750,"Excellent",$F732&gt;=700,"Good",$F732&gt;=650,"Moderate",
$F732&lt;650,"Risky"
)</f>
        <v>Excellent</v>
      </c>
      <c r="P732" s="27" t="str" cm="1">
        <f t="array" ref="P732">_xlfn.IFS(
AND(F732&gt;=750,H732&lt;=2),"Low Risk",
AND(F732&gt;=700,H732&lt;=5),"Medium Risk",
TRUE,"High Risk"
)</f>
        <v>High Risk</v>
      </c>
      <c r="Q732" s="5"/>
      <c r="R732" s="5"/>
      <c r="S732" s="5"/>
      <c r="T732" s="5"/>
      <c r="U732" s="5"/>
      <c r="V732" s="5"/>
      <c r="W732" s="5"/>
      <c r="X732" s="5"/>
      <c r="Y732" s="5"/>
    </row>
    <row r="733" spans="1:25" ht="15.75" customHeight="1" x14ac:dyDescent="0.25">
      <c r="A733" s="2">
        <v>43979</v>
      </c>
      <c r="B733" s="3">
        <v>19054</v>
      </c>
      <c r="C733" s="4" t="s">
        <v>23</v>
      </c>
      <c r="D733" s="4" t="str">
        <f t="shared" si="16"/>
        <v>Marketing</v>
      </c>
      <c r="E733" s="4" t="str">
        <f t="shared" si="17"/>
        <v>Intern</v>
      </c>
      <c r="F733" s="13">
        <v>711</v>
      </c>
      <c r="G733" s="13">
        <v>5</v>
      </c>
      <c r="H733" s="13">
        <v>10</v>
      </c>
      <c r="I733" s="2">
        <v>32596</v>
      </c>
      <c r="J733" s="15">
        <v>881748</v>
      </c>
      <c r="K733" s="4" t="s">
        <v>21</v>
      </c>
      <c r="L733" s="27">
        <f t="shared" si="18"/>
        <v>1989</v>
      </c>
      <c r="M733" s="27">
        <f t="shared" si="19"/>
        <v>5</v>
      </c>
      <c r="N733" s="27">
        <f t="shared" ca="1" si="23"/>
        <v>37</v>
      </c>
      <c r="O733" s="27" t="str" cm="1">
        <f t="array" ref="O733">_xlfn.IFS($F733&gt;=750,"Excellent",$F733&gt;=700,"Good",$F733&gt;=650,"Moderate",
$F733&lt;650,"Risky"
)</f>
        <v>Good</v>
      </c>
      <c r="P733" s="27" t="str" cm="1">
        <f t="array" ref="P733">_xlfn.IFS(
AND(F733&gt;=750,H733&lt;=2),"Low Risk",
AND(F733&gt;=700,H733&lt;=5),"Medium Risk",
TRUE,"High Risk"
)</f>
        <v>High Risk</v>
      </c>
      <c r="Q733" s="5"/>
      <c r="R733" s="5"/>
      <c r="S733" s="5"/>
      <c r="T733" s="5"/>
      <c r="U733" s="5"/>
      <c r="V733" s="5"/>
      <c r="W733" s="5"/>
      <c r="X733" s="5"/>
      <c r="Y733" s="5"/>
    </row>
    <row r="734" spans="1:25" ht="15.75" customHeight="1" x14ac:dyDescent="0.25">
      <c r="A734" s="2">
        <v>43884</v>
      </c>
      <c r="B734" s="3">
        <v>93308</v>
      </c>
      <c r="C734" s="4" t="s">
        <v>37</v>
      </c>
      <c r="D734" s="4" t="str">
        <f t="shared" si="16"/>
        <v>Strategy</v>
      </c>
      <c r="E734" s="4" t="str">
        <f t="shared" si="17"/>
        <v>Director</v>
      </c>
      <c r="F734" s="13">
        <v>784</v>
      </c>
      <c r="G734" s="13">
        <v>1</v>
      </c>
      <c r="H734" s="13">
        <v>7</v>
      </c>
      <c r="I734" s="2">
        <v>32715</v>
      </c>
      <c r="J734" s="15">
        <v>744871</v>
      </c>
      <c r="K734" s="4" t="s">
        <v>18</v>
      </c>
      <c r="L734" s="27">
        <f t="shared" si="18"/>
        <v>1989</v>
      </c>
      <c r="M734" s="27">
        <f t="shared" si="19"/>
        <v>2</v>
      </c>
      <c r="N734" s="27">
        <f t="shared" ca="1" si="23"/>
        <v>37</v>
      </c>
      <c r="O734" s="27" t="str" cm="1">
        <f t="array" ref="O734">_xlfn.IFS($F734&gt;=750,"Excellent",$F734&gt;=700,"Good",$F734&gt;=650,"Moderate",
$F734&lt;650,"Risky"
)</f>
        <v>Excellent</v>
      </c>
      <c r="P734" s="27" t="str" cm="1">
        <f t="array" ref="P734">_xlfn.IFS(
AND(F734&gt;=750,H734&lt;=2),"Low Risk",
AND(F734&gt;=700,H734&lt;=5),"Medium Risk",
TRUE,"High Risk"
)</f>
        <v>High Risk</v>
      </c>
      <c r="Q734" s="5"/>
      <c r="R734" s="5"/>
      <c r="S734" s="5"/>
      <c r="T734" s="5"/>
      <c r="U734" s="5"/>
      <c r="V734" s="5"/>
      <c r="W734" s="5"/>
      <c r="X734" s="5"/>
      <c r="Y734" s="5"/>
    </row>
    <row r="735" spans="1:25" ht="15.75" customHeight="1" x14ac:dyDescent="0.25">
      <c r="A735" s="2">
        <v>43876</v>
      </c>
      <c r="B735" s="3">
        <v>75614</v>
      </c>
      <c r="C735" s="4" t="s">
        <v>27</v>
      </c>
      <c r="D735" s="4" t="str">
        <f t="shared" si="16"/>
        <v>Operation</v>
      </c>
      <c r="E735" s="4" t="str">
        <f t="shared" si="17"/>
        <v>Intern</v>
      </c>
      <c r="F735" s="13">
        <v>729</v>
      </c>
      <c r="G735" s="13">
        <v>1</v>
      </c>
      <c r="H735" s="13">
        <v>7</v>
      </c>
      <c r="I735" s="2">
        <v>33152</v>
      </c>
      <c r="J735" s="15">
        <v>545164</v>
      </c>
      <c r="K735" s="4" t="s">
        <v>21</v>
      </c>
      <c r="L735" s="27">
        <f t="shared" si="18"/>
        <v>1990</v>
      </c>
      <c r="M735" s="27">
        <f t="shared" si="19"/>
        <v>2</v>
      </c>
      <c r="N735" s="27">
        <f t="shared" ca="1" si="23"/>
        <v>36</v>
      </c>
      <c r="O735" s="27" t="str" cm="1">
        <f t="array" ref="O735">_xlfn.IFS($F735&gt;=750,"Excellent",$F735&gt;=700,"Good",$F735&gt;=650,"Moderate",
$F735&lt;650,"Risky"
)</f>
        <v>Good</v>
      </c>
      <c r="P735" s="27" t="str" cm="1">
        <f t="array" ref="P735">_xlfn.IFS(
AND(F735&gt;=750,H735&lt;=2),"Low Risk",
AND(F735&gt;=700,H735&lt;=5),"Medium Risk",
TRUE,"High Risk"
)</f>
        <v>High Risk</v>
      </c>
      <c r="Q735" s="5"/>
      <c r="R735" s="5"/>
      <c r="S735" s="5"/>
      <c r="T735" s="5"/>
      <c r="U735" s="5"/>
      <c r="V735" s="5"/>
      <c r="W735" s="5"/>
      <c r="X735" s="5"/>
      <c r="Y735" s="5"/>
    </row>
    <row r="736" spans="1:25" ht="15.75" customHeight="1" x14ac:dyDescent="0.25">
      <c r="A736" s="2">
        <v>44089</v>
      </c>
      <c r="B736" s="3">
        <v>26093</v>
      </c>
      <c r="C736" s="4" t="s">
        <v>26</v>
      </c>
      <c r="D736" s="4" t="str">
        <f t="shared" si="16"/>
        <v>Strategy</v>
      </c>
      <c r="E736" s="4" t="str">
        <f t="shared" si="17"/>
        <v>Manager</v>
      </c>
      <c r="F736" s="13">
        <v>747</v>
      </c>
      <c r="G736" s="13">
        <v>1</v>
      </c>
      <c r="H736" s="13">
        <v>7</v>
      </c>
      <c r="I736" s="2">
        <v>32673</v>
      </c>
      <c r="J736" s="15">
        <v>824245</v>
      </c>
      <c r="K736" s="4" t="s">
        <v>18</v>
      </c>
      <c r="L736" s="27">
        <f t="shared" si="18"/>
        <v>1989</v>
      </c>
      <c r="M736" s="27">
        <f t="shared" si="19"/>
        <v>9</v>
      </c>
      <c r="N736" s="27">
        <f t="shared" ca="1" si="23"/>
        <v>37</v>
      </c>
      <c r="O736" s="27" t="str" cm="1">
        <f t="array" ref="O736">_xlfn.IFS($F736&gt;=750,"Excellent",$F736&gt;=700,"Good",$F736&gt;=650,"Moderate",
$F736&lt;650,"Risky"
)</f>
        <v>Good</v>
      </c>
      <c r="P736" s="27" t="str" cm="1">
        <f t="array" ref="P736">_xlfn.IFS(
AND(F736&gt;=750,H736&lt;=2),"Low Risk",
AND(F736&gt;=700,H736&lt;=5),"Medium Risk",
TRUE,"High Risk"
)</f>
        <v>High Risk</v>
      </c>
      <c r="Q736" s="5"/>
      <c r="R736" s="5"/>
      <c r="S736" s="5"/>
      <c r="T736" s="5"/>
      <c r="U736" s="5"/>
      <c r="V736" s="5"/>
      <c r="W736" s="5"/>
      <c r="X736" s="5"/>
      <c r="Y736" s="5"/>
    </row>
    <row r="737" spans="1:25" ht="15.75" customHeight="1" x14ac:dyDescent="0.25">
      <c r="A737" s="2">
        <v>43831</v>
      </c>
      <c r="B737" s="3">
        <v>12031</v>
      </c>
      <c r="C737" s="4" t="s">
        <v>38</v>
      </c>
      <c r="D737" s="4" t="str">
        <f t="shared" si="16"/>
        <v>Finance</v>
      </c>
      <c r="E737" s="4" t="str">
        <f t="shared" si="17"/>
        <v>Manager</v>
      </c>
      <c r="F737" s="13">
        <v>777</v>
      </c>
      <c r="G737" s="13">
        <v>4</v>
      </c>
      <c r="H737" s="13">
        <v>2</v>
      </c>
      <c r="I737" s="2">
        <v>30447</v>
      </c>
      <c r="J737" s="15">
        <v>875258</v>
      </c>
      <c r="K737" s="4" t="s">
        <v>18</v>
      </c>
      <c r="L737" s="27">
        <f t="shared" si="18"/>
        <v>1983</v>
      </c>
      <c r="M737" s="27">
        <f t="shared" si="19"/>
        <v>1</v>
      </c>
      <c r="N737" s="27">
        <f t="shared" ca="1" si="23"/>
        <v>43</v>
      </c>
      <c r="O737" s="27" t="str" cm="1">
        <f t="array" ref="O737">_xlfn.IFS($F737&gt;=750,"Excellent",$F737&gt;=700,"Good",$F737&gt;=650,"Moderate",
$F737&lt;650,"Risky"
)</f>
        <v>Excellent</v>
      </c>
      <c r="P737" s="27" t="str" cm="1">
        <f t="array" ref="P737">_xlfn.IFS(
AND(F737&gt;=750,H737&lt;=2),"Low Risk",
AND(F737&gt;=700,H737&lt;=5),"Medium Risk",
TRUE,"High Risk"
)</f>
        <v>Low Risk</v>
      </c>
      <c r="Q737" s="5"/>
      <c r="R737" s="5"/>
      <c r="S737" s="5"/>
      <c r="T737" s="5"/>
      <c r="U737" s="5"/>
      <c r="V737" s="5"/>
      <c r="W737" s="5"/>
      <c r="X737" s="5"/>
      <c r="Y737" s="5"/>
    </row>
    <row r="738" spans="1:25" ht="15.75" customHeight="1" x14ac:dyDescent="0.25">
      <c r="A738" s="2">
        <v>44070</v>
      </c>
      <c r="B738" s="3">
        <v>59382</v>
      </c>
      <c r="C738" s="4" t="s">
        <v>38</v>
      </c>
      <c r="D738" s="4" t="str">
        <f t="shared" si="16"/>
        <v>Finance</v>
      </c>
      <c r="E738" s="4" t="str">
        <f t="shared" si="17"/>
        <v>Manager</v>
      </c>
      <c r="F738" s="13">
        <v>730</v>
      </c>
      <c r="G738" s="13">
        <v>2</v>
      </c>
      <c r="H738" s="13">
        <v>7</v>
      </c>
      <c r="I738" s="2">
        <v>30815</v>
      </c>
      <c r="J738" s="15">
        <v>801163</v>
      </c>
      <c r="K738" s="4" t="s">
        <v>18</v>
      </c>
      <c r="L738" s="27">
        <f t="shared" si="18"/>
        <v>1984</v>
      </c>
      <c r="M738" s="27">
        <f t="shared" si="19"/>
        <v>8</v>
      </c>
      <c r="N738" s="27">
        <f t="shared" ca="1" si="23"/>
        <v>42</v>
      </c>
      <c r="O738" s="27" t="str" cm="1">
        <f t="array" ref="O738">_xlfn.IFS($F738&gt;=750,"Excellent",$F738&gt;=700,"Good",$F738&gt;=650,"Moderate",
$F738&lt;650,"Risky"
)</f>
        <v>Good</v>
      </c>
      <c r="P738" s="27" t="str" cm="1">
        <f t="array" ref="P738">_xlfn.IFS(
AND(F738&gt;=750,H738&lt;=2),"Low Risk",
AND(F738&gt;=700,H738&lt;=5),"Medium Risk",
TRUE,"High Risk"
)</f>
        <v>High Risk</v>
      </c>
      <c r="Q738" s="5"/>
      <c r="R738" s="5"/>
      <c r="S738" s="5"/>
      <c r="T738" s="5"/>
      <c r="U738" s="5"/>
      <c r="V738" s="5"/>
      <c r="W738" s="5"/>
      <c r="X738" s="5"/>
      <c r="Y738" s="5"/>
    </row>
    <row r="739" spans="1:25" ht="15.75" customHeight="1" x14ac:dyDescent="0.25">
      <c r="A739" s="2">
        <v>43879</v>
      </c>
      <c r="B739" s="3">
        <v>48790</v>
      </c>
      <c r="C739" s="4" t="s">
        <v>29</v>
      </c>
      <c r="D739" s="4" t="str">
        <f t="shared" si="16"/>
        <v>Sales</v>
      </c>
      <c r="E739" s="4" t="str">
        <f t="shared" si="17"/>
        <v>Director</v>
      </c>
      <c r="F739" s="13">
        <v>708</v>
      </c>
      <c r="G739" s="13">
        <v>5</v>
      </c>
      <c r="H739" s="13">
        <v>10</v>
      </c>
      <c r="I739" s="2">
        <v>31519</v>
      </c>
      <c r="J739" s="15">
        <v>537442</v>
      </c>
      <c r="K739" s="4" t="s">
        <v>21</v>
      </c>
      <c r="L739" s="27">
        <f t="shared" si="18"/>
        <v>1986</v>
      </c>
      <c r="M739" s="27">
        <f t="shared" si="19"/>
        <v>2</v>
      </c>
      <c r="N739" s="27">
        <f t="shared" ca="1" si="23"/>
        <v>40</v>
      </c>
      <c r="O739" s="27" t="str" cm="1">
        <f t="array" ref="O739">_xlfn.IFS($F739&gt;=750,"Excellent",$F739&gt;=700,"Good",$F739&gt;=650,"Moderate",
$F739&lt;650,"Risky"
)</f>
        <v>Good</v>
      </c>
      <c r="P739" s="27" t="str" cm="1">
        <f t="array" ref="P739">_xlfn.IFS(
AND(F739&gt;=750,H739&lt;=2),"Low Risk",
AND(F739&gt;=700,H739&lt;=5),"Medium Risk",
TRUE,"High Risk"
)</f>
        <v>High Risk</v>
      </c>
      <c r="Q739" s="5"/>
      <c r="R739" s="5"/>
      <c r="S739" s="5"/>
      <c r="T739" s="5"/>
      <c r="U739" s="5"/>
      <c r="V739" s="5"/>
      <c r="W739" s="5"/>
      <c r="X739" s="5"/>
      <c r="Y739" s="5"/>
    </row>
    <row r="740" spans="1:25" ht="15.75" customHeight="1" x14ac:dyDescent="0.25">
      <c r="A740" s="2">
        <v>44112</v>
      </c>
      <c r="B740" s="3">
        <v>89837</v>
      </c>
      <c r="C740" s="4" t="s">
        <v>34</v>
      </c>
      <c r="D740" s="4" t="str">
        <f t="shared" si="16"/>
        <v>Finance</v>
      </c>
      <c r="E740" s="4" t="str">
        <f t="shared" si="17"/>
        <v>Director</v>
      </c>
      <c r="F740" s="13">
        <v>711</v>
      </c>
      <c r="G740" s="13">
        <v>1</v>
      </c>
      <c r="H740" s="13">
        <v>8</v>
      </c>
      <c r="I740" s="2">
        <v>32591</v>
      </c>
      <c r="J740" s="15">
        <v>693530</v>
      </c>
      <c r="K740" s="4" t="s">
        <v>18</v>
      </c>
      <c r="L740" s="27">
        <f t="shared" si="18"/>
        <v>1989</v>
      </c>
      <c r="M740" s="27">
        <f t="shared" si="19"/>
        <v>10</v>
      </c>
      <c r="N740" s="27">
        <f t="shared" ca="1" si="23"/>
        <v>37</v>
      </c>
      <c r="O740" s="27" t="str" cm="1">
        <f t="array" ref="O740">_xlfn.IFS($F740&gt;=750,"Excellent",$F740&gt;=700,"Good",$F740&gt;=650,"Moderate",
$F740&lt;650,"Risky"
)</f>
        <v>Good</v>
      </c>
      <c r="P740" s="27" t="str" cm="1">
        <f t="array" ref="P740">_xlfn.IFS(
AND(F740&gt;=750,H740&lt;=2),"Low Risk",
AND(F740&gt;=700,H740&lt;=5),"Medium Risk",
TRUE,"High Risk"
)</f>
        <v>High Risk</v>
      </c>
      <c r="Q740" s="5"/>
      <c r="R740" s="5"/>
      <c r="S740" s="5"/>
      <c r="T740" s="5"/>
      <c r="U740" s="5"/>
      <c r="V740" s="5"/>
      <c r="W740" s="5"/>
      <c r="X740" s="5"/>
      <c r="Y740" s="5"/>
    </row>
    <row r="741" spans="1:25" ht="15.75" customHeight="1" x14ac:dyDescent="0.25">
      <c r="A741" s="2">
        <v>44091</v>
      </c>
      <c r="B741" s="3">
        <v>77042</v>
      </c>
      <c r="C741" s="4" t="s">
        <v>16</v>
      </c>
      <c r="D741" s="4" t="str">
        <f t="shared" si="16"/>
        <v>Marketing</v>
      </c>
      <c r="E741" s="4" t="str">
        <f t="shared" si="17"/>
        <v>Executive</v>
      </c>
      <c r="F741" s="13">
        <v>747</v>
      </c>
      <c r="G741" s="13">
        <v>5</v>
      </c>
      <c r="H741" s="13">
        <v>5</v>
      </c>
      <c r="I741" s="2">
        <v>33355</v>
      </c>
      <c r="J741" s="15">
        <v>949239</v>
      </c>
      <c r="K741" s="4" t="s">
        <v>18</v>
      </c>
      <c r="L741" s="27">
        <f t="shared" si="18"/>
        <v>1991</v>
      </c>
      <c r="M741" s="27">
        <f t="shared" si="19"/>
        <v>9</v>
      </c>
      <c r="N741" s="27">
        <f t="shared" ca="1" si="23"/>
        <v>35</v>
      </c>
      <c r="O741" s="27" t="str" cm="1">
        <f t="array" ref="O741">_xlfn.IFS($F741&gt;=750,"Excellent",$F741&gt;=700,"Good",$F741&gt;=650,"Moderate",
$F741&lt;650,"Risky"
)</f>
        <v>Good</v>
      </c>
      <c r="P741" s="27" t="str" cm="1">
        <f t="array" ref="P741">_xlfn.IFS(
AND(F741&gt;=750,H741&lt;=2),"Low Risk",
AND(F741&gt;=700,H741&lt;=5),"Medium Risk",
TRUE,"High Risk"
)</f>
        <v>Medium Risk</v>
      </c>
      <c r="Q741" s="5"/>
      <c r="R741" s="5"/>
      <c r="S741" s="5"/>
      <c r="T741" s="5"/>
      <c r="U741" s="5"/>
      <c r="V741" s="5"/>
      <c r="W741" s="5"/>
      <c r="X741" s="5"/>
      <c r="Y741" s="5"/>
    </row>
    <row r="742" spans="1:25" ht="15.75" customHeight="1" x14ac:dyDescent="0.25">
      <c r="A742" s="2">
        <v>44080</v>
      </c>
      <c r="B742" s="3">
        <v>67996</v>
      </c>
      <c r="C742" s="4" t="s">
        <v>17</v>
      </c>
      <c r="D742" s="4" t="str">
        <f t="shared" si="16"/>
        <v>Growth</v>
      </c>
      <c r="E742" s="4" t="str">
        <f t="shared" si="17"/>
        <v>Manager</v>
      </c>
      <c r="F742" s="13">
        <v>799</v>
      </c>
      <c r="G742" s="13">
        <v>5</v>
      </c>
      <c r="H742" s="13">
        <v>10</v>
      </c>
      <c r="I742" s="2">
        <v>34578</v>
      </c>
      <c r="J742" s="15">
        <v>581105</v>
      </c>
      <c r="K742" s="4" t="s">
        <v>21</v>
      </c>
      <c r="L742" s="27">
        <f t="shared" si="18"/>
        <v>1994</v>
      </c>
      <c r="M742" s="27">
        <f t="shared" si="19"/>
        <v>9</v>
      </c>
      <c r="N742" s="27">
        <f t="shared" ca="1" si="23"/>
        <v>32</v>
      </c>
      <c r="O742" s="27" t="str" cm="1">
        <f t="array" ref="O742">_xlfn.IFS($F742&gt;=750,"Excellent",$F742&gt;=700,"Good",$F742&gt;=650,"Moderate",
$F742&lt;650,"Risky"
)</f>
        <v>Excellent</v>
      </c>
      <c r="P742" s="27" t="str" cm="1">
        <f t="array" ref="P742">_xlfn.IFS(
AND(F742&gt;=750,H742&lt;=2),"Low Risk",
AND(F742&gt;=700,H742&lt;=5),"Medium Risk",
TRUE,"High Risk"
)</f>
        <v>High Risk</v>
      </c>
      <c r="Q742" s="5"/>
      <c r="R742" s="5"/>
      <c r="S742" s="5"/>
      <c r="T742" s="5"/>
      <c r="U742" s="5"/>
      <c r="V742" s="5"/>
      <c r="W742" s="5"/>
      <c r="X742" s="5"/>
      <c r="Y742" s="5"/>
    </row>
    <row r="743" spans="1:25" ht="15.75" customHeight="1" x14ac:dyDescent="0.25">
      <c r="A743" s="2">
        <v>44094</v>
      </c>
      <c r="B743" s="3">
        <v>99363</v>
      </c>
      <c r="C743" s="4" t="s">
        <v>28</v>
      </c>
      <c r="D743" s="4" t="str">
        <f t="shared" si="16"/>
        <v>Growth</v>
      </c>
      <c r="E743" s="4" t="str">
        <f t="shared" si="17"/>
        <v>Director</v>
      </c>
      <c r="F743" s="13">
        <v>736</v>
      </c>
      <c r="G743" s="13">
        <v>5</v>
      </c>
      <c r="H743" s="13">
        <v>8</v>
      </c>
      <c r="I743" s="2">
        <v>30782</v>
      </c>
      <c r="J743" s="15">
        <v>562888</v>
      </c>
      <c r="K743" s="4" t="s">
        <v>14</v>
      </c>
      <c r="L743" s="27">
        <f t="shared" si="18"/>
        <v>1984</v>
      </c>
      <c r="M743" s="27">
        <f t="shared" si="19"/>
        <v>9</v>
      </c>
      <c r="N743" s="27">
        <f t="shared" ca="1" si="23"/>
        <v>42</v>
      </c>
      <c r="O743" s="27" t="str" cm="1">
        <f t="array" ref="O743">_xlfn.IFS($F743&gt;=750,"Excellent",$F743&gt;=700,"Good",$F743&gt;=650,"Moderate",
$F743&lt;650,"Risky"
)</f>
        <v>Good</v>
      </c>
      <c r="P743" s="27" t="str" cm="1">
        <f t="array" ref="P743">_xlfn.IFS(
AND(F743&gt;=750,H743&lt;=2),"Low Risk",
AND(F743&gt;=700,H743&lt;=5),"Medium Risk",
TRUE,"High Risk"
)</f>
        <v>High Risk</v>
      </c>
      <c r="Q743" s="5"/>
      <c r="R743" s="5"/>
      <c r="S743" s="5"/>
      <c r="T743" s="5"/>
      <c r="U743" s="5"/>
      <c r="V743" s="5"/>
      <c r="W743" s="5"/>
      <c r="X743" s="5"/>
      <c r="Y743" s="5"/>
    </row>
    <row r="744" spans="1:25" ht="15.75" customHeight="1" x14ac:dyDescent="0.25">
      <c r="A744" s="2">
        <v>44066</v>
      </c>
      <c r="B744" s="3">
        <v>10898</v>
      </c>
      <c r="C744" s="4" t="s">
        <v>26</v>
      </c>
      <c r="D744" s="4" t="str">
        <f t="shared" si="16"/>
        <v>Strategy</v>
      </c>
      <c r="E744" s="4" t="str">
        <f t="shared" si="17"/>
        <v>Manager</v>
      </c>
      <c r="F744" s="13">
        <v>719</v>
      </c>
      <c r="G744" s="13">
        <v>1</v>
      </c>
      <c r="H744" s="13">
        <v>3</v>
      </c>
      <c r="I744" s="2">
        <v>34676</v>
      </c>
      <c r="J744" s="15">
        <v>668384</v>
      </c>
      <c r="K744" s="4" t="s">
        <v>14</v>
      </c>
      <c r="L744" s="27">
        <f t="shared" si="18"/>
        <v>1994</v>
      </c>
      <c r="M744" s="27">
        <f t="shared" si="19"/>
        <v>8</v>
      </c>
      <c r="N744" s="27">
        <f t="shared" ca="1" si="23"/>
        <v>32</v>
      </c>
      <c r="O744" s="27" t="str" cm="1">
        <f t="array" ref="O744">_xlfn.IFS($F744&gt;=750,"Excellent",$F744&gt;=700,"Good",$F744&gt;=650,"Moderate",
$F744&lt;650,"Risky"
)</f>
        <v>Good</v>
      </c>
      <c r="P744" s="27" t="str" cm="1">
        <f t="array" ref="P744">_xlfn.IFS(
AND(F744&gt;=750,H744&lt;=2),"Low Risk",
AND(F744&gt;=700,H744&lt;=5),"Medium Risk",
TRUE,"High Risk"
)</f>
        <v>Medium Risk</v>
      </c>
      <c r="Q744" s="5"/>
      <c r="R744" s="5"/>
      <c r="S744" s="5"/>
      <c r="T744" s="5"/>
      <c r="U744" s="5"/>
      <c r="V744" s="5"/>
      <c r="W744" s="5"/>
      <c r="X744" s="5"/>
      <c r="Y744" s="5"/>
    </row>
    <row r="745" spans="1:25" ht="15.75" customHeight="1" x14ac:dyDescent="0.25">
      <c r="A745" s="2">
        <v>43918</v>
      </c>
      <c r="B745" s="3">
        <v>29743</v>
      </c>
      <c r="C745" s="4" t="s">
        <v>25</v>
      </c>
      <c r="D745" s="4" t="str">
        <f t="shared" si="16"/>
        <v>Sales</v>
      </c>
      <c r="E745" s="4" t="str">
        <f t="shared" si="17"/>
        <v>Manager</v>
      </c>
      <c r="F745" s="13">
        <v>741</v>
      </c>
      <c r="G745" s="13">
        <v>3</v>
      </c>
      <c r="H745" s="13">
        <v>5</v>
      </c>
      <c r="I745" s="2">
        <v>31227</v>
      </c>
      <c r="J745" s="15">
        <v>578374</v>
      </c>
      <c r="K745" s="4" t="s">
        <v>18</v>
      </c>
      <c r="L745" s="27">
        <f t="shared" si="18"/>
        <v>1985</v>
      </c>
      <c r="M745" s="27">
        <f t="shared" si="19"/>
        <v>3</v>
      </c>
      <c r="N745" s="27">
        <f t="shared" ca="1" si="23"/>
        <v>41</v>
      </c>
      <c r="O745" s="27" t="str" cm="1">
        <f t="array" ref="O745">_xlfn.IFS($F745&gt;=750,"Excellent",$F745&gt;=700,"Good",$F745&gt;=650,"Moderate",
$F745&lt;650,"Risky"
)</f>
        <v>Good</v>
      </c>
      <c r="P745" s="27" t="str" cm="1">
        <f t="array" ref="P745">_xlfn.IFS(
AND(F745&gt;=750,H745&lt;=2),"Low Risk",
AND(F745&gt;=700,H745&lt;=5),"Medium Risk",
TRUE,"High Risk"
)</f>
        <v>Medium Risk</v>
      </c>
      <c r="Q745" s="5"/>
      <c r="R745" s="5"/>
      <c r="S745" s="5"/>
      <c r="T745" s="5"/>
      <c r="U745" s="5"/>
      <c r="V745" s="5"/>
      <c r="W745" s="5"/>
      <c r="X745" s="5"/>
      <c r="Y745" s="5"/>
    </row>
    <row r="746" spans="1:25" ht="15.75" customHeight="1" x14ac:dyDescent="0.25">
      <c r="A746" s="2">
        <v>44028</v>
      </c>
      <c r="B746" s="3">
        <v>47015</v>
      </c>
      <c r="C746" s="4" t="s">
        <v>32</v>
      </c>
      <c r="D746" s="4" t="str">
        <f t="shared" si="16"/>
        <v>Finance</v>
      </c>
      <c r="E746" s="4" t="str">
        <f t="shared" si="17"/>
        <v>Executive</v>
      </c>
      <c r="F746" s="13">
        <v>713</v>
      </c>
      <c r="G746" s="13">
        <v>1</v>
      </c>
      <c r="H746" s="13">
        <v>7</v>
      </c>
      <c r="I746" s="2">
        <v>30322</v>
      </c>
      <c r="J746" s="15">
        <v>611606</v>
      </c>
      <c r="K746" s="4" t="s">
        <v>14</v>
      </c>
      <c r="L746" s="27">
        <f t="shared" si="18"/>
        <v>1983</v>
      </c>
      <c r="M746" s="27">
        <f t="shared" si="19"/>
        <v>7</v>
      </c>
      <c r="N746" s="27">
        <f t="shared" ca="1" si="23"/>
        <v>43</v>
      </c>
      <c r="O746" s="27" t="str" cm="1">
        <f t="array" ref="O746">_xlfn.IFS($F746&gt;=750,"Excellent",$F746&gt;=700,"Good",$F746&gt;=650,"Moderate",
$F746&lt;650,"Risky"
)</f>
        <v>Good</v>
      </c>
      <c r="P746" s="27" t="str" cm="1">
        <f t="array" ref="P746">_xlfn.IFS(
AND(F746&gt;=750,H746&lt;=2),"Low Risk",
AND(F746&gt;=700,H746&lt;=5),"Medium Risk",
TRUE,"High Risk"
)</f>
        <v>High Risk</v>
      </c>
      <c r="Q746" s="5"/>
      <c r="R746" s="5"/>
      <c r="S746" s="5"/>
      <c r="T746" s="5"/>
      <c r="U746" s="5"/>
      <c r="V746" s="5"/>
      <c r="W746" s="5"/>
      <c r="X746" s="5"/>
      <c r="Y746" s="5"/>
    </row>
    <row r="747" spans="1:25" ht="15.75" customHeight="1" x14ac:dyDescent="0.25">
      <c r="A747" s="2">
        <v>43924</v>
      </c>
      <c r="B747" s="3">
        <v>10568</v>
      </c>
      <c r="C747" s="4" t="s">
        <v>37</v>
      </c>
      <c r="D747" s="4" t="str">
        <f t="shared" si="16"/>
        <v>Strategy</v>
      </c>
      <c r="E747" s="4" t="str">
        <f t="shared" si="17"/>
        <v>Director</v>
      </c>
      <c r="F747" s="13">
        <v>730</v>
      </c>
      <c r="G747" s="13">
        <v>1</v>
      </c>
      <c r="H747" s="13">
        <v>8</v>
      </c>
      <c r="I747" s="2">
        <v>32214</v>
      </c>
      <c r="J747" s="15">
        <v>630670</v>
      </c>
      <c r="K747" s="4" t="s">
        <v>18</v>
      </c>
      <c r="L747" s="27">
        <f t="shared" si="18"/>
        <v>1988</v>
      </c>
      <c r="M747" s="27">
        <f t="shared" si="19"/>
        <v>4</v>
      </c>
      <c r="N747" s="27">
        <f t="shared" ca="1" si="23"/>
        <v>38</v>
      </c>
      <c r="O747" s="27" t="str" cm="1">
        <f t="array" ref="O747">_xlfn.IFS($F747&gt;=750,"Excellent",$F747&gt;=700,"Good",$F747&gt;=650,"Moderate",
$F747&lt;650,"Risky"
)</f>
        <v>Good</v>
      </c>
      <c r="P747" s="27" t="str" cm="1">
        <f t="array" ref="P747">_xlfn.IFS(
AND(F747&gt;=750,H747&lt;=2),"Low Risk",
AND(F747&gt;=700,H747&lt;=5),"Medium Risk",
TRUE,"High Risk"
)</f>
        <v>High Risk</v>
      </c>
      <c r="Q747" s="5"/>
      <c r="R747" s="5"/>
      <c r="S747" s="5"/>
      <c r="T747" s="5"/>
      <c r="U747" s="5"/>
      <c r="V747" s="5"/>
      <c r="W747" s="5"/>
      <c r="X747" s="5"/>
      <c r="Y747" s="5"/>
    </row>
    <row r="748" spans="1:25" ht="15.75" customHeight="1" x14ac:dyDescent="0.25">
      <c r="A748" s="2">
        <v>44038</v>
      </c>
      <c r="B748" s="3">
        <v>36742</v>
      </c>
      <c r="C748" s="4" t="s">
        <v>35</v>
      </c>
      <c r="D748" s="4" t="str">
        <f t="shared" si="16"/>
        <v>Growth</v>
      </c>
      <c r="E748" s="4" t="str">
        <f t="shared" si="17"/>
        <v>Intern</v>
      </c>
      <c r="F748" s="13">
        <v>763</v>
      </c>
      <c r="G748" s="13">
        <v>1</v>
      </c>
      <c r="H748" s="13">
        <v>6</v>
      </c>
      <c r="I748" s="2">
        <v>32309</v>
      </c>
      <c r="J748" s="15">
        <v>983476</v>
      </c>
      <c r="K748" s="4" t="s">
        <v>14</v>
      </c>
      <c r="L748" s="27">
        <f t="shared" si="18"/>
        <v>1988</v>
      </c>
      <c r="M748" s="27">
        <f t="shared" si="19"/>
        <v>7</v>
      </c>
      <c r="N748" s="27">
        <f t="shared" ca="1" si="23"/>
        <v>38</v>
      </c>
      <c r="O748" s="27" t="str" cm="1">
        <f t="array" ref="O748">_xlfn.IFS($F748&gt;=750,"Excellent",$F748&gt;=700,"Good",$F748&gt;=650,"Moderate",
$F748&lt;650,"Risky"
)</f>
        <v>Excellent</v>
      </c>
      <c r="P748" s="27" t="str" cm="1">
        <f t="array" ref="P748">_xlfn.IFS(
AND(F748&gt;=750,H748&lt;=2),"Low Risk",
AND(F748&gt;=700,H748&lt;=5),"Medium Risk",
TRUE,"High Risk"
)</f>
        <v>High Risk</v>
      </c>
      <c r="Q748" s="5"/>
      <c r="R748" s="5"/>
      <c r="S748" s="5"/>
      <c r="T748" s="5"/>
      <c r="U748" s="5"/>
      <c r="V748" s="5"/>
      <c r="W748" s="5"/>
      <c r="X748" s="5"/>
      <c r="Y748" s="5"/>
    </row>
    <row r="749" spans="1:25" ht="15.75" customHeight="1" x14ac:dyDescent="0.25">
      <c r="A749" s="2">
        <v>44054</v>
      </c>
      <c r="B749" s="3">
        <v>47028</v>
      </c>
      <c r="C749" s="4" t="s">
        <v>17</v>
      </c>
      <c r="D749" s="4" t="str">
        <f t="shared" si="16"/>
        <v>Growth</v>
      </c>
      <c r="E749" s="4" t="str">
        <f t="shared" si="17"/>
        <v>Manager</v>
      </c>
      <c r="F749" s="13">
        <v>736</v>
      </c>
      <c r="G749" s="13">
        <v>3</v>
      </c>
      <c r="H749" s="13">
        <v>2</v>
      </c>
      <c r="I749" s="2">
        <v>31536</v>
      </c>
      <c r="J749" s="15">
        <v>854328</v>
      </c>
      <c r="K749" s="4" t="s">
        <v>21</v>
      </c>
      <c r="L749" s="27">
        <f t="shared" si="18"/>
        <v>1986</v>
      </c>
      <c r="M749" s="27">
        <f t="shared" si="19"/>
        <v>8</v>
      </c>
      <c r="N749" s="27">
        <f t="shared" ca="1" si="23"/>
        <v>40</v>
      </c>
      <c r="O749" s="27" t="str" cm="1">
        <f t="array" ref="O749">_xlfn.IFS($F749&gt;=750,"Excellent",$F749&gt;=700,"Good",$F749&gt;=650,"Moderate",
$F749&lt;650,"Risky"
)</f>
        <v>Good</v>
      </c>
      <c r="P749" s="27" t="str" cm="1">
        <f t="array" ref="P749">_xlfn.IFS(
AND(F749&gt;=750,H749&lt;=2),"Low Risk",
AND(F749&gt;=700,H749&lt;=5),"Medium Risk",
TRUE,"High Risk"
)</f>
        <v>Medium Risk</v>
      </c>
      <c r="Q749" s="5"/>
      <c r="R749" s="5"/>
      <c r="S749" s="5"/>
      <c r="T749" s="5"/>
      <c r="U749" s="5"/>
      <c r="V749" s="5"/>
      <c r="W749" s="5"/>
      <c r="X749" s="5"/>
      <c r="Y749" s="5"/>
    </row>
    <row r="750" spans="1:25" ht="15.75" customHeight="1" x14ac:dyDescent="0.25">
      <c r="A750" s="2">
        <v>43913</v>
      </c>
      <c r="B750" s="3">
        <v>14105</v>
      </c>
      <c r="C750" s="4" t="s">
        <v>31</v>
      </c>
      <c r="D750" s="4" t="str">
        <f t="shared" si="16"/>
        <v>Finance</v>
      </c>
      <c r="E750" s="4" t="str">
        <f t="shared" si="17"/>
        <v>Intern</v>
      </c>
      <c r="F750" s="13">
        <v>799</v>
      </c>
      <c r="G750" s="13">
        <v>2</v>
      </c>
      <c r="H750" s="13">
        <v>5</v>
      </c>
      <c r="I750" s="2">
        <v>30577</v>
      </c>
      <c r="J750" s="15">
        <v>641083</v>
      </c>
      <c r="K750" s="4" t="s">
        <v>21</v>
      </c>
      <c r="L750" s="27">
        <f t="shared" si="18"/>
        <v>1983</v>
      </c>
      <c r="M750" s="27">
        <f t="shared" si="19"/>
        <v>3</v>
      </c>
      <c r="N750" s="27">
        <f t="shared" ca="1" si="23"/>
        <v>43</v>
      </c>
      <c r="O750" s="27" t="str" cm="1">
        <f t="array" ref="O750">_xlfn.IFS($F750&gt;=750,"Excellent",$F750&gt;=700,"Good",$F750&gt;=650,"Moderate",
$F750&lt;650,"Risky"
)</f>
        <v>Excellent</v>
      </c>
      <c r="P750" s="27" t="str" cm="1">
        <f t="array" ref="P750">_xlfn.IFS(
AND(F750&gt;=750,H750&lt;=2),"Low Risk",
AND(F750&gt;=700,H750&lt;=5),"Medium Risk",
TRUE,"High Risk"
)</f>
        <v>Medium Risk</v>
      </c>
      <c r="Q750" s="5"/>
      <c r="R750" s="5"/>
      <c r="S750" s="5"/>
      <c r="T750" s="5"/>
      <c r="U750" s="5"/>
      <c r="V750" s="5"/>
      <c r="W750" s="5"/>
      <c r="X750" s="5"/>
      <c r="Y750" s="5"/>
    </row>
    <row r="751" spans="1:25" ht="15.75" customHeight="1" x14ac:dyDescent="0.25">
      <c r="A751" s="2">
        <v>43912</v>
      </c>
      <c r="B751" s="3">
        <v>84873</v>
      </c>
      <c r="C751" s="4" t="s">
        <v>23</v>
      </c>
      <c r="D751" s="4" t="str">
        <f t="shared" si="16"/>
        <v>Marketing</v>
      </c>
      <c r="E751" s="4" t="str">
        <f t="shared" si="17"/>
        <v>Intern</v>
      </c>
      <c r="F751" s="13">
        <v>786</v>
      </c>
      <c r="G751" s="13">
        <v>1</v>
      </c>
      <c r="H751" s="13">
        <v>3</v>
      </c>
      <c r="I751" s="2">
        <v>34525</v>
      </c>
      <c r="J751" s="15">
        <v>712355</v>
      </c>
      <c r="K751" s="4" t="s">
        <v>21</v>
      </c>
      <c r="L751" s="27">
        <f t="shared" si="18"/>
        <v>1994</v>
      </c>
      <c r="M751" s="27">
        <f t="shared" si="19"/>
        <v>3</v>
      </c>
      <c r="N751" s="27">
        <f t="shared" ca="1" si="23"/>
        <v>32</v>
      </c>
      <c r="O751" s="27" t="str" cm="1">
        <f t="array" ref="O751">_xlfn.IFS($F751&gt;=750,"Excellent",$F751&gt;=700,"Good",$F751&gt;=650,"Moderate",
$F751&lt;650,"Risky"
)</f>
        <v>Excellent</v>
      </c>
      <c r="P751" s="27" t="str" cm="1">
        <f t="array" ref="P751">_xlfn.IFS(
AND(F751&gt;=750,H751&lt;=2),"Low Risk",
AND(F751&gt;=700,H751&lt;=5),"Medium Risk",
TRUE,"High Risk"
)</f>
        <v>Medium Risk</v>
      </c>
      <c r="Q751" s="5"/>
      <c r="R751" s="5"/>
      <c r="S751" s="5"/>
      <c r="T751" s="5"/>
      <c r="U751" s="5"/>
      <c r="V751" s="5"/>
      <c r="W751" s="5"/>
      <c r="X751" s="5"/>
      <c r="Y751" s="5"/>
    </row>
    <row r="752" spans="1:25" ht="15.75" customHeight="1" x14ac:dyDescent="0.25">
      <c r="A752" s="2">
        <v>43903</v>
      </c>
      <c r="B752" s="3">
        <v>68730</v>
      </c>
      <c r="C752" s="4" t="s">
        <v>36</v>
      </c>
      <c r="D752" s="4" t="str">
        <f t="shared" si="16"/>
        <v>Sales</v>
      </c>
      <c r="E752" s="4" t="str">
        <f t="shared" si="17"/>
        <v>Intern</v>
      </c>
      <c r="F752" s="13">
        <v>766</v>
      </c>
      <c r="G752" s="13">
        <v>3</v>
      </c>
      <c r="H752" s="13">
        <v>6</v>
      </c>
      <c r="I752" s="2">
        <v>29466</v>
      </c>
      <c r="J752" s="15">
        <v>590362</v>
      </c>
      <c r="K752" s="4" t="s">
        <v>18</v>
      </c>
      <c r="L752" s="27">
        <f t="shared" si="18"/>
        <v>1980</v>
      </c>
      <c r="M752" s="27">
        <f t="shared" si="19"/>
        <v>3</v>
      </c>
      <c r="N752" s="27">
        <f t="shared" ca="1" si="23"/>
        <v>46</v>
      </c>
      <c r="O752" s="27" t="str" cm="1">
        <f t="array" ref="O752">_xlfn.IFS($F752&gt;=750,"Excellent",$F752&gt;=700,"Good",$F752&gt;=650,"Moderate",
$F752&lt;650,"Risky"
)</f>
        <v>Excellent</v>
      </c>
      <c r="P752" s="27" t="str" cm="1">
        <f t="array" ref="P752">_xlfn.IFS(
AND(F752&gt;=750,H752&lt;=2),"Low Risk",
AND(F752&gt;=700,H752&lt;=5),"Medium Risk",
TRUE,"High Risk"
)</f>
        <v>High Risk</v>
      </c>
      <c r="Q752" s="5"/>
      <c r="R752" s="5"/>
      <c r="S752" s="5"/>
      <c r="T752" s="5"/>
      <c r="U752" s="5"/>
      <c r="V752" s="5"/>
      <c r="W752" s="5"/>
      <c r="X752" s="5"/>
      <c r="Y752" s="5"/>
    </row>
    <row r="753" spans="1:25" ht="15.75" customHeight="1" x14ac:dyDescent="0.25">
      <c r="A753" s="2">
        <v>43973</v>
      </c>
      <c r="B753" s="3">
        <v>99258</v>
      </c>
      <c r="C753" s="4" t="s">
        <v>30</v>
      </c>
      <c r="D753" s="4" t="str">
        <f t="shared" si="16"/>
        <v>Operation</v>
      </c>
      <c r="E753" s="4" t="str">
        <f t="shared" si="17"/>
        <v>Director</v>
      </c>
      <c r="F753" s="13">
        <v>800</v>
      </c>
      <c r="G753" s="13">
        <v>1</v>
      </c>
      <c r="H753" s="13">
        <v>8</v>
      </c>
      <c r="I753" s="2">
        <v>29872</v>
      </c>
      <c r="J753" s="15">
        <v>644680</v>
      </c>
      <c r="K753" s="4" t="s">
        <v>14</v>
      </c>
      <c r="L753" s="27">
        <f t="shared" si="18"/>
        <v>1981</v>
      </c>
      <c r="M753" s="27">
        <f t="shared" si="19"/>
        <v>5</v>
      </c>
      <c r="N753" s="27">
        <f t="shared" ca="1" si="23"/>
        <v>45</v>
      </c>
      <c r="O753" s="27" t="str" cm="1">
        <f t="array" ref="O753">_xlfn.IFS($F753&gt;=750,"Excellent",$F753&gt;=700,"Good",$F753&gt;=650,"Moderate",
$F753&lt;650,"Risky"
)</f>
        <v>Excellent</v>
      </c>
      <c r="P753" s="27" t="str" cm="1">
        <f t="array" ref="P753">_xlfn.IFS(
AND(F753&gt;=750,H753&lt;=2),"Low Risk",
AND(F753&gt;=700,H753&lt;=5),"Medium Risk",
TRUE,"High Risk"
)</f>
        <v>High Risk</v>
      </c>
      <c r="Q753" s="5"/>
      <c r="R753" s="5"/>
      <c r="S753" s="5"/>
      <c r="T753" s="5"/>
      <c r="U753" s="5"/>
      <c r="V753" s="5"/>
      <c r="W753" s="5"/>
      <c r="X753" s="5"/>
      <c r="Y753" s="5"/>
    </row>
    <row r="754" spans="1:25" ht="15.75" customHeight="1" x14ac:dyDescent="0.25">
      <c r="A754" s="2">
        <v>44097</v>
      </c>
      <c r="B754" s="3">
        <v>86342</v>
      </c>
      <c r="C754" s="4" t="s">
        <v>30</v>
      </c>
      <c r="D754" s="4" t="str">
        <f t="shared" si="16"/>
        <v>Operation</v>
      </c>
      <c r="E754" s="4" t="str">
        <f t="shared" si="17"/>
        <v>Director</v>
      </c>
      <c r="F754" s="13">
        <v>712</v>
      </c>
      <c r="G754" s="13">
        <v>2</v>
      </c>
      <c r="H754" s="13">
        <v>1</v>
      </c>
      <c r="I754" s="2">
        <v>34642</v>
      </c>
      <c r="J754" s="15">
        <v>520268</v>
      </c>
      <c r="K754" s="4" t="s">
        <v>14</v>
      </c>
      <c r="L754" s="27">
        <f t="shared" si="18"/>
        <v>1994</v>
      </c>
      <c r="M754" s="27">
        <f t="shared" si="19"/>
        <v>9</v>
      </c>
      <c r="N754" s="27">
        <f t="shared" ca="1" si="23"/>
        <v>32</v>
      </c>
      <c r="O754" s="27" t="str" cm="1">
        <f t="array" ref="O754">_xlfn.IFS($F754&gt;=750,"Excellent",$F754&gt;=700,"Good",$F754&gt;=650,"Moderate",
$F754&lt;650,"Risky"
)</f>
        <v>Good</v>
      </c>
      <c r="P754" s="27" t="str" cm="1">
        <f t="array" ref="P754">_xlfn.IFS(
AND(F754&gt;=750,H754&lt;=2),"Low Risk",
AND(F754&gt;=700,H754&lt;=5),"Medium Risk",
TRUE,"High Risk"
)</f>
        <v>Medium Risk</v>
      </c>
      <c r="Q754" s="5"/>
      <c r="R754" s="5"/>
      <c r="S754" s="5"/>
      <c r="T754" s="5"/>
      <c r="U754" s="5"/>
      <c r="V754" s="5"/>
      <c r="W754" s="5"/>
      <c r="X754" s="5"/>
      <c r="Y754" s="5"/>
    </row>
    <row r="755" spans="1:25" ht="15.75" customHeight="1" x14ac:dyDescent="0.25">
      <c r="A755" s="2">
        <v>43992</v>
      </c>
      <c r="B755" s="3">
        <v>39613</v>
      </c>
      <c r="C755" s="4" t="s">
        <v>26</v>
      </c>
      <c r="D755" s="4" t="str">
        <f t="shared" si="16"/>
        <v>Strategy</v>
      </c>
      <c r="E755" s="4" t="str">
        <f t="shared" si="17"/>
        <v>Manager</v>
      </c>
      <c r="F755" s="13">
        <v>778</v>
      </c>
      <c r="G755" s="13">
        <v>2</v>
      </c>
      <c r="H755" s="13">
        <v>10</v>
      </c>
      <c r="I755" s="2">
        <v>30720</v>
      </c>
      <c r="J755" s="15">
        <v>991520</v>
      </c>
      <c r="K755" s="4" t="s">
        <v>14</v>
      </c>
      <c r="L755" s="27">
        <f t="shared" si="18"/>
        <v>1984</v>
      </c>
      <c r="M755" s="27">
        <f t="shared" si="19"/>
        <v>6</v>
      </c>
      <c r="N755" s="27">
        <f t="shared" ca="1" si="23"/>
        <v>42</v>
      </c>
      <c r="O755" s="27" t="str" cm="1">
        <f t="array" ref="O755">_xlfn.IFS($F755&gt;=750,"Excellent",$F755&gt;=700,"Good",$F755&gt;=650,"Moderate",
$F755&lt;650,"Risky"
)</f>
        <v>Excellent</v>
      </c>
      <c r="P755" s="27" t="str" cm="1">
        <f t="array" ref="P755">_xlfn.IFS(
AND(F755&gt;=750,H755&lt;=2),"Low Risk",
AND(F755&gt;=700,H755&lt;=5),"Medium Risk",
TRUE,"High Risk"
)</f>
        <v>High Risk</v>
      </c>
      <c r="Q755" s="5"/>
      <c r="R755" s="5"/>
      <c r="S755" s="5"/>
      <c r="T755" s="5"/>
      <c r="U755" s="5"/>
      <c r="V755" s="5"/>
      <c r="W755" s="5"/>
      <c r="X755" s="5"/>
      <c r="Y755" s="5"/>
    </row>
    <row r="756" spans="1:25" ht="15.75" customHeight="1" x14ac:dyDescent="0.25">
      <c r="A756" s="2">
        <v>43855</v>
      </c>
      <c r="B756" s="3">
        <v>34129</v>
      </c>
      <c r="C756" s="4" t="s">
        <v>31</v>
      </c>
      <c r="D756" s="4" t="str">
        <f t="shared" si="16"/>
        <v>Finance</v>
      </c>
      <c r="E756" s="4" t="str">
        <f t="shared" si="17"/>
        <v>Intern</v>
      </c>
      <c r="F756" s="13">
        <v>784</v>
      </c>
      <c r="G756" s="13">
        <v>3</v>
      </c>
      <c r="H756" s="13">
        <v>1</v>
      </c>
      <c r="I756" s="2">
        <v>30229</v>
      </c>
      <c r="J756" s="15">
        <v>946533</v>
      </c>
      <c r="K756" s="4" t="s">
        <v>18</v>
      </c>
      <c r="L756" s="27">
        <f t="shared" si="18"/>
        <v>1982</v>
      </c>
      <c r="M756" s="27">
        <f t="shared" si="19"/>
        <v>1</v>
      </c>
      <c r="N756" s="27">
        <f t="shared" ca="1" si="23"/>
        <v>44</v>
      </c>
      <c r="O756" s="27" t="str" cm="1">
        <f t="array" ref="O756">_xlfn.IFS($F756&gt;=750,"Excellent",$F756&gt;=700,"Good",$F756&gt;=650,"Moderate",
$F756&lt;650,"Risky"
)</f>
        <v>Excellent</v>
      </c>
      <c r="P756" s="27" t="str" cm="1">
        <f t="array" ref="P756">_xlfn.IFS(
AND(F756&gt;=750,H756&lt;=2),"Low Risk",
AND(F756&gt;=700,H756&lt;=5),"Medium Risk",
TRUE,"High Risk"
)</f>
        <v>Low Risk</v>
      </c>
      <c r="Q756" s="5"/>
      <c r="R756" s="5"/>
      <c r="S756" s="5"/>
      <c r="T756" s="5"/>
      <c r="U756" s="5"/>
      <c r="V756" s="5"/>
      <c r="W756" s="5"/>
      <c r="X756" s="5"/>
      <c r="Y756" s="5"/>
    </row>
    <row r="757" spans="1:25" ht="15.75" customHeight="1" x14ac:dyDescent="0.25">
      <c r="A757" s="2">
        <v>44002</v>
      </c>
      <c r="B757" s="3">
        <v>14333</v>
      </c>
      <c r="C757" s="4" t="s">
        <v>24</v>
      </c>
      <c r="D757" s="4" t="str">
        <f t="shared" si="16"/>
        <v>Strategy</v>
      </c>
      <c r="E757" s="4" t="str">
        <f t="shared" si="17"/>
        <v>Intern</v>
      </c>
      <c r="F757" s="13">
        <v>791</v>
      </c>
      <c r="G757" s="13">
        <v>3</v>
      </c>
      <c r="H757" s="13">
        <v>8</v>
      </c>
      <c r="I757" s="2">
        <v>31920</v>
      </c>
      <c r="J757" s="15">
        <v>637256</v>
      </c>
      <c r="K757" s="4" t="s">
        <v>14</v>
      </c>
      <c r="L757" s="27">
        <f t="shared" si="18"/>
        <v>1987</v>
      </c>
      <c r="M757" s="27">
        <f t="shared" si="19"/>
        <v>6</v>
      </c>
      <c r="N757" s="27">
        <f t="shared" ca="1" si="23"/>
        <v>39</v>
      </c>
      <c r="O757" s="27" t="str" cm="1">
        <f t="array" ref="O757">_xlfn.IFS($F757&gt;=750,"Excellent",$F757&gt;=700,"Good",$F757&gt;=650,"Moderate",
$F757&lt;650,"Risky"
)</f>
        <v>Excellent</v>
      </c>
      <c r="P757" s="27" t="str" cm="1">
        <f t="array" ref="P757">_xlfn.IFS(
AND(F757&gt;=750,H757&lt;=2),"Low Risk",
AND(F757&gt;=700,H757&lt;=5),"Medium Risk",
TRUE,"High Risk"
)</f>
        <v>High Risk</v>
      </c>
      <c r="Q757" s="5"/>
      <c r="R757" s="5"/>
      <c r="S757" s="5"/>
      <c r="T757" s="5"/>
      <c r="U757" s="5"/>
      <c r="V757" s="5"/>
      <c r="W757" s="5"/>
      <c r="X757" s="5"/>
      <c r="Y757" s="5"/>
    </row>
    <row r="758" spans="1:25" ht="15.75" customHeight="1" x14ac:dyDescent="0.25">
      <c r="A758" s="2">
        <v>44044</v>
      </c>
      <c r="B758" s="3">
        <v>55712</v>
      </c>
      <c r="C758" s="4" t="s">
        <v>31</v>
      </c>
      <c r="D758" s="4" t="str">
        <f t="shared" si="16"/>
        <v>Finance</v>
      </c>
      <c r="E758" s="4" t="str">
        <f t="shared" si="17"/>
        <v>Intern</v>
      </c>
      <c r="F758" s="13">
        <v>717</v>
      </c>
      <c r="G758" s="13">
        <v>4</v>
      </c>
      <c r="H758" s="13">
        <v>8</v>
      </c>
      <c r="I758" s="2">
        <v>32090</v>
      </c>
      <c r="J758" s="15">
        <v>926315</v>
      </c>
      <c r="K758" s="4" t="s">
        <v>14</v>
      </c>
      <c r="L758" s="27">
        <f t="shared" si="18"/>
        <v>1987</v>
      </c>
      <c r="M758" s="27">
        <f t="shared" si="19"/>
        <v>8</v>
      </c>
      <c r="N758" s="27">
        <f t="shared" ca="1" si="23"/>
        <v>39</v>
      </c>
      <c r="O758" s="27" t="str" cm="1">
        <f t="array" ref="O758">_xlfn.IFS($F758&gt;=750,"Excellent",$F758&gt;=700,"Good",$F758&gt;=650,"Moderate",
$F758&lt;650,"Risky"
)</f>
        <v>Good</v>
      </c>
      <c r="P758" s="27" t="str" cm="1">
        <f t="array" ref="P758">_xlfn.IFS(
AND(F758&gt;=750,H758&lt;=2),"Low Risk",
AND(F758&gt;=700,H758&lt;=5),"Medium Risk",
TRUE,"High Risk"
)</f>
        <v>High Risk</v>
      </c>
      <c r="Q758" s="5"/>
      <c r="R758" s="5"/>
      <c r="S758" s="5"/>
      <c r="T758" s="5"/>
      <c r="U758" s="5"/>
      <c r="V758" s="5"/>
      <c r="W758" s="5"/>
      <c r="X758" s="5"/>
      <c r="Y758" s="5"/>
    </row>
    <row r="759" spans="1:25" ht="15.75" customHeight="1" x14ac:dyDescent="0.25">
      <c r="A759" s="2">
        <v>43951</v>
      </c>
      <c r="B759" s="3">
        <v>43140</v>
      </c>
      <c r="C759" s="4" t="s">
        <v>27</v>
      </c>
      <c r="D759" s="4" t="str">
        <f t="shared" si="16"/>
        <v>Operation</v>
      </c>
      <c r="E759" s="4" t="str">
        <f t="shared" si="17"/>
        <v>Intern</v>
      </c>
      <c r="F759" s="13">
        <v>790</v>
      </c>
      <c r="G759" s="13">
        <v>1</v>
      </c>
      <c r="H759" s="13">
        <v>10</v>
      </c>
      <c r="I759" s="2">
        <v>33446</v>
      </c>
      <c r="J759" s="15">
        <v>690767</v>
      </c>
      <c r="K759" s="4" t="s">
        <v>18</v>
      </c>
      <c r="L759" s="27">
        <f t="shared" si="18"/>
        <v>1991</v>
      </c>
      <c r="M759" s="27">
        <f t="shared" si="19"/>
        <v>4</v>
      </c>
      <c r="N759" s="27">
        <f t="shared" ca="1" si="23"/>
        <v>35</v>
      </c>
      <c r="O759" s="27" t="str" cm="1">
        <f t="array" ref="O759">_xlfn.IFS($F759&gt;=750,"Excellent",$F759&gt;=700,"Good",$F759&gt;=650,"Moderate",
$F759&lt;650,"Risky"
)</f>
        <v>Excellent</v>
      </c>
      <c r="P759" s="27" t="str" cm="1">
        <f t="array" ref="P759">_xlfn.IFS(
AND(F759&gt;=750,H759&lt;=2),"Low Risk",
AND(F759&gt;=700,H759&lt;=5),"Medium Risk",
TRUE,"High Risk"
)</f>
        <v>High Risk</v>
      </c>
      <c r="Q759" s="5"/>
      <c r="R759" s="5"/>
      <c r="S759" s="5"/>
      <c r="T759" s="5"/>
      <c r="U759" s="5"/>
      <c r="V759" s="5"/>
      <c r="W759" s="5"/>
      <c r="X759" s="5"/>
      <c r="Y759" s="5"/>
    </row>
    <row r="760" spans="1:25" ht="15.75" customHeight="1" x14ac:dyDescent="0.25">
      <c r="A760" s="2">
        <v>44134</v>
      </c>
      <c r="B760" s="3">
        <v>67409</v>
      </c>
      <c r="C760" s="4" t="s">
        <v>37</v>
      </c>
      <c r="D760" s="4" t="str">
        <f t="shared" si="16"/>
        <v>Strategy</v>
      </c>
      <c r="E760" s="4" t="str">
        <f t="shared" si="17"/>
        <v>Director</v>
      </c>
      <c r="F760" s="13">
        <v>738</v>
      </c>
      <c r="G760" s="13">
        <v>1</v>
      </c>
      <c r="H760" s="13">
        <v>1</v>
      </c>
      <c r="I760" s="2">
        <v>34316</v>
      </c>
      <c r="J760" s="15">
        <v>588039</v>
      </c>
      <c r="K760" s="4" t="s">
        <v>18</v>
      </c>
      <c r="L760" s="27">
        <f t="shared" si="18"/>
        <v>1993</v>
      </c>
      <c r="M760" s="27">
        <f t="shared" si="19"/>
        <v>10</v>
      </c>
      <c r="N760" s="27">
        <f t="shared" ca="1" si="23"/>
        <v>33</v>
      </c>
      <c r="O760" s="27" t="str" cm="1">
        <f t="array" ref="O760">_xlfn.IFS($F760&gt;=750,"Excellent",$F760&gt;=700,"Good",$F760&gt;=650,"Moderate",
$F760&lt;650,"Risky"
)</f>
        <v>Good</v>
      </c>
      <c r="P760" s="27" t="str" cm="1">
        <f t="array" ref="P760">_xlfn.IFS(
AND(F760&gt;=750,H760&lt;=2),"Low Risk",
AND(F760&gt;=700,H760&lt;=5),"Medium Risk",
TRUE,"High Risk"
)</f>
        <v>Medium Risk</v>
      </c>
      <c r="Q760" s="5"/>
      <c r="R760" s="5"/>
      <c r="S760" s="5"/>
      <c r="T760" s="5"/>
      <c r="U760" s="5"/>
      <c r="V760" s="5"/>
      <c r="W760" s="5"/>
      <c r="X760" s="5"/>
      <c r="Y760" s="5"/>
    </row>
    <row r="761" spans="1:25" ht="15.75" customHeight="1" x14ac:dyDescent="0.25">
      <c r="A761" s="2">
        <v>43950</v>
      </c>
      <c r="B761" s="3">
        <v>42015</v>
      </c>
      <c r="C761" s="4" t="s">
        <v>17</v>
      </c>
      <c r="D761" s="4" t="str">
        <f t="shared" si="16"/>
        <v>Growth</v>
      </c>
      <c r="E761" s="4" t="str">
        <f t="shared" si="17"/>
        <v>Manager</v>
      </c>
      <c r="F761" s="13">
        <v>715</v>
      </c>
      <c r="G761" s="13">
        <v>5</v>
      </c>
      <c r="H761" s="13">
        <v>3</v>
      </c>
      <c r="I761" s="2">
        <v>32851</v>
      </c>
      <c r="J761" s="15">
        <v>951265</v>
      </c>
      <c r="K761" s="4" t="s">
        <v>14</v>
      </c>
      <c r="L761" s="27">
        <f t="shared" si="18"/>
        <v>1989</v>
      </c>
      <c r="M761" s="27">
        <f t="shared" si="19"/>
        <v>4</v>
      </c>
      <c r="N761" s="27">
        <f t="shared" ca="1" si="23"/>
        <v>37</v>
      </c>
      <c r="O761" s="27" t="str" cm="1">
        <f t="array" ref="O761">_xlfn.IFS($F761&gt;=750,"Excellent",$F761&gt;=700,"Good",$F761&gt;=650,"Moderate",
$F761&lt;650,"Risky"
)</f>
        <v>Good</v>
      </c>
      <c r="P761" s="27" t="str" cm="1">
        <f t="array" ref="P761">_xlfn.IFS(
AND(F761&gt;=750,H761&lt;=2),"Low Risk",
AND(F761&gt;=700,H761&lt;=5),"Medium Risk",
TRUE,"High Risk"
)</f>
        <v>Medium Risk</v>
      </c>
      <c r="Q761" s="5"/>
      <c r="R761" s="5"/>
      <c r="S761" s="5"/>
      <c r="T761" s="5"/>
      <c r="U761" s="5"/>
      <c r="V761" s="5"/>
      <c r="W761" s="5"/>
      <c r="X761" s="5"/>
      <c r="Y761" s="5"/>
    </row>
    <row r="762" spans="1:25" ht="15.75" customHeight="1" x14ac:dyDescent="0.25">
      <c r="A762" s="2">
        <v>44122</v>
      </c>
      <c r="B762" s="3">
        <v>87945</v>
      </c>
      <c r="C762" s="4" t="s">
        <v>20</v>
      </c>
      <c r="D762" s="4" t="str">
        <f t="shared" si="16"/>
        <v>Operation</v>
      </c>
      <c r="E762" s="4" t="str">
        <f t="shared" si="17"/>
        <v>Manager</v>
      </c>
      <c r="F762" s="13">
        <v>704</v>
      </c>
      <c r="G762" s="13">
        <v>2</v>
      </c>
      <c r="H762" s="13">
        <v>3</v>
      </c>
      <c r="I762" s="2">
        <v>29519</v>
      </c>
      <c r="J762" s="15">
        <v>735776</v>
      </c>
      <c r="K762" s="4" t="s">
        <v>21</v>
      </c>
      <c r="L762" s="27">
        <f t="shared" si="18"/>
        <v>1980</v>
      </c>
      <c r="M762" s="27">
        <f t="shared" si="19"/>
        <v>10</v>
      </c>
      <c r="N762" s="27">
        <f t="shared" ca="1" si="23"/>
        <v>46</v>
      </c>
      <c r="O762" s="27" t="str" cm="1">
        <f t="array" ref="O762">_xlfn.IFS($F762&gt;=750,"Excellent",$F762&gt;=700,"Good",$F762&gt;=650,"Moderate",
$F762&lt;650,"Risky"
)</f>
        <v>Good</v>
      </c>
      <c r="P762" s="27" t="str" cm="1">
        <f t="array" ref="P762">_xlfn.IFS(
AND(F762&gt;=750,H762&lt;=2),"Low Risk",
AND(F762&gt;=700,H762&lt;=5),"Medium Risk",
TRUE,"High Risk"
)</f>
        <v>Medium Risk</v>
      </c>
      <c r="Q762" s="5"/>
      <c r="R762" s="5"/>
      <c r="S762" s="5"/>
      <c r="T762" s="5"/>
      <c r="U762" s="5"/>
      <c r="V762" s="5"/>
      <c r="W762" s="5"/>
      <c r="X762" s="5"/>
      <c r="Y762" s="5"/>
    </row>
    <row r="763" spans="1:25" ht="15.75" customHeight="1" x14ac:dyDescent="0.25">
      <c r="A763" s="2">
        <v>43972</v>
      </c>
      <c r="B763" s="3">
        <v>51552</v>
      </c>
      <c r="C763" s="4" t="s">
        <v>33</v>
      </c>
      <c r="D763" s="4" t="str">
        <f t="shared" si="16"/>
        <v>Sales</v>
      </c>
      <c r="E763" s="4" t="str">
        <f t="shared" si="17"/>
        <v>Executive</v>
      </c>
      <c r="F763" s="13">
        <v>776</v>
      </c>
      <c r="G763" s="13">
        <v>2</v>
      </c>
      <c r="H763" s="13">
        <v>10</v>
      </c>
      <c r="I763" s="2">
        <v>30936</v>
      </c>
      <c r="J763" s="15">
        <v>962906</v>
      </c>
      <c r="K763" s="4" t="s">
        <v>21</v>
      </c>
      <c r="L763" s="27">
        <f t="shared" si="18"/>
        <v>1984</v>
      </c>
      <c r="M763" s="27">
        <f t="shared" si="19"/>
        <v>5</v>
      </c>
      <c r="N763" s="27">
        <f t="shared" ca="1" si="23"/>
        <v>42</v>
      </c>
      <c r="O763" s="27" t="str" cm="1">
        <f t="array" ref="O763">_xlfn.IFS($F763&gt;=750,"Excellent",$F763&gt;=700,"Good",$F763&gt;=650,"Moderate",
$F763&lt;650,"Risky"
)</f>
        <v>Excellent</v>
      </c>
      <c r="P763" s="27" t="str" cm="1">
        <f t="array" ref="P763">_xlfn.IFS(
AND(F763&gt;=750,H763&lt;=2),"Low Risk",
AND(F763&gt;=700,H763&lt;=5),"Medium Risk",
TRUE,"High Risk"
)</f>
        <v>High Risk</v>
      </c>
      <c r="Q763" s="5"/>
      <c r="R763" s="5"/>
      <c r="S763" s="5"/>
      <c r="T763" s="5"/>
      <c r="U763" s="5"/>
      <c r="V763" s="5"/>
      <c r="W763" s="5"/>
      <c r="X763" s="5"/>
      <c r="Y763" s="5"/>
    </row>
    <row r="764" spans="1:25" ht="15.75" customHeight="1" x14ac:dyDescent="0.25">
      <c r="A764" s="2">
        <v>44168</v>
      </c>
      <c r="B764" s="3">
        <v>56716</v>
      </c>
      <c r="C764" s="4" t="s">
        <v>16</v>
      </c>
      <c r="D764" s="4" t="str">
        <f t="shared" si="16"/>
        <v>Marketing</v>
      </c>
      <c r="E764" s="4" t="str">
        <f t="shared" si="17"/>
        <v>Executive</v>
      </c>
      <c r="F764" s="13">
        <v>784</v>
      </c>
      <c r="G764" s="13">
        <v>5</v>
      </c>
      <c r="H764" s="13">
        <v>10</v>
      </c>
      <c r="I764" s="2">
        <v>33368</v>
      </c>
      <c r="J764" s="15">
        <v>845891</v>
      </c>
      <c r="K764" s="4" t="s">
        <v>18</v>
      </c>
      <c r="L764" s="27">
        <f t="shared" si="18"/>
        <v>1991</v>
      </c>
      <c r="M764" s="27">
        <f t="shared" si="19"/>
        <v>12</v>
      </c>
      <c r="N764" s="27">
        <f t="shared" ca="1" si="23"/>
        <v>35</v>
      </c>
      <c r="O764" s="27" t="str" cm="1">
        <f t="array" ref="O764">_xlfn.IFS($F764&gt;=750,"Excellent",$F764&gt;=700,"Good",$F764&gt;=650,"Moderate",
$F764&lt;650,"Risky"
)</f>
        <v>Excellent</v>
      </c>
      <c r="P764" s="27" t="str" cm="1">
        <f t="array" ref="P764">_xlfn.IFS(
AND(F764&gt;=750,H764&lt;=2),"Low Risk",
AND(F764&gt;=700,H764&lt;=5),"Medium Risk",
TRUE,"High Risk"
)</f>
        <v>High Risk</v>
      </c>
      <c r="Q764" s="5"/>
      <c r="R764" s="5"/>
      <c r="S764" s="5"/>
      <c r="T764" s="5"/>
      <c r="U764" s="5"/>
      <c r="V764" s="5"/>
      <c r="W764" s="5"/>
      <c r="X764" s="5"/>
      <c r="Y764" s="5"/>
    </row>
    <row r="765" spans="1:25" ht="15.75" customHeight="1" x14ac:dyDescent="0.25">
      <c r="A765" s="2">
        <v>43834</v>
      </c>
      <c r="B765" s="3">
        <v>25193</v>
      </c>
      <c r="C765" s="4" t="s">
        <v>30</v>
      </c>
      <c r="D765" s="4" t="str">
        <f t="shared" si="16"/>
        <v>Operation</v>
      </c>
      <c r="E765" s="4" t="str">
        <f t="shared" si="17"/>
        <v>Director</v>
      </c>
      <c r="F765" s="13">
        <v>721</v>
      </c>
      <c r="G765" s="13">
        <v>2</v>
      </c>
      <c r="H765" s="13">
        <v>3</v>
      </c>
      <c r="I765" s="2">
        <v>31808</v>
      </c>
      <c r="J765" s="15">
        <v>717802</v>
      </c>
      <c r="K765" s="4" t="s">
        <v>21</v>
      </c>
      <c r="L765" s="27">
        <f t="shared" si="18"/>
        <v>1987</v>
      </c>
      <c r="M765" s="27">
        <f t="shared" si="19"/>
        <v>1</v>
      </c>
      <c r="N765" s="27">
        <f t="shared" ca="1" si="23"/>
        <v>39</v>
      </c>
      <c r="O765" s="27" t="str" cm="1">
        <f t="array" ref="O765">_xlfn.IFS($F765&gt;=750,"Excellent",$F765&gt;=700,"Good",$F765&gt;=650,"Moderate",
$F765&lt;650,"Risky"
)</f>
        <v>Good</v>
      </c>
      <c r="P765" s="27" t="str" cm="1">
        <f t="array" ref="P765">_xlfn.IFS(
AND(F765&gt;=750,H765&lt;=2),"Low Risk",
AND(F765&gt;=700,H765&lt;=5),"Medium Risk",
TRUE,"High Risk"
)</f>
        <v>Medium Risk</v>
      </c>
      <c r="Q765" s="5"/>
      <c r="R765" s="5"/>
      <c r="S765" s="5"/>
      <c r="T765" s="5"/>
      <c r="U765" s="5"/>
      <c r="V765" s="5"/>
      <c r="W765" s="5"/>
      <c r="X765" s="5"/>
      <c r="Y765" s="5"/>
    </row>
    <row r="766" spans="1:25" ht="15.75" customHeight="1" x14ac:dyDescent="0.25">
      <c r="A766" s="2">
        <v>43902</v>
      </c>
      <c r="B766" s="3">
        <v>15531</v>
      </c>
      <c r="C766" s="4" t="s">
        <v>31</v>
      </c>
      <c r="D766" s="4" t="str">
        <f t="shared" si="16"/>
        <v>Finance</v>
      </c>
      <c r="E766" s="4" t="str">
        <f t="shared" si="17"/>
        <v>Intern</v>
      </c>
      <c r="F766" s="13">
        <v>783</v>
      </c>
      <c r="G766" s="13">
        <v>5</v>
      </c>
      <c r="H766" s="13">
        <v>8</v>
      </c>
      <c r="I766" s="2">
        <v>32137</v>
      </c>
      <c r="J766" s="15">
        <v>945602</v>
      </c>
      <c r="K766" s="4" t="s">
        <v>21</v>
      </c>
      <c r="L766" s="27">
        <f t="shared" si="18"/>
        <v>1987</v>
      </c>
      <c r="M766" s="27">
        <f t="shared" si="19"/>
        <v>3</v>
      </c>
      <c r="N766" s="27">
        <f t="shared" ca="1" si="23"/>
        <v>39</v>
      </c>
      <c r="O766" s="27" t="str" cm="1">
        <f t="array" ref="O766">_xlfn.IFS($F766&gt;=750,"Excellent",$F766&gt;=700,"Good",$F766&gt;=650,"Moderate",
$F766&lt;650,"Risky"
)</f>
        <v>Excellent</v>
      </c>
      <c r="P766" s="27" t="str" cm="1">
        <f t="array" ref="P766">_xlfn.IFS(
AND(F766&gt;=750,H766&lt;=2),"Low Risk",
AND(F766&gt;=700,H766&lt;=5),"Medium Risk",
TRUE,"High Risk"
)</f>
        <v>High Risk</v>
      </c>
      <c r="Q766" s="5"/>
      <c r="R766" s="5"/>
      <c r="S766" s="5"/>
      <c r="T766" s="5"/>
      <c r="U766" s="5"/>
      <c r="V766" s="5"/>
      <c r="W766" s="5"/>
      <c r="X766" s="5"/>
      <c r="Y766" s="5"/>
    </row>
    <row r="767" spans="1:25" ht="15.75" customHeight="1" x14ac:dyDescent="0.25">
      <c r="A767" s="2">
        <v>43856</v>
      </c>
      <c r="B767" s="3">
        <v>14820</v>
      </c>
      <c r="C767" s="4" t="s">
        <v>20</v>
      </c>
      <c r="D767" s="4" t="str">
        <f t="shared" ref="D767:D1021" si="24">TRIM(LEFT(C767,FIND("-",C767,1)-1))</f>
        <v>Operation</v>
      </c>
      <c r="E767" s="4" t="str">
        <f t="shared" ref="E767:E1021" si="25">TRIM(RIGHT(C767,LEN(C767)-(FIND("-",C767,1))))</f>
        <v>Manager</v>
      </c>
      <c r="F767" s="13">
        <v>784</v>
      </c>
      <c r="G767" s="13">
        <v>2</v>
      </c>
      <c r="H767" s="13">
        <v>6</v>
      </c>
      <c r="I767" s="2">
        <v>33720</v>
      </c>
      <c r="J767" s="15">
        <v>959169</v>
      </c>
      <c r="K767" s="4" t="s">
        <v>18</v>
      </c>
      <c r="L767" s="27">
        <f t="shared" ref="L767:L1021" si="26">YEAR(I767)</f>
        <v>1992</v>
      </c>
      <c r="M767" s="27">
        <f t="shared" ref="M767:M1021" si="27">MONTH(A767)</f>
        <v>1</v>
      </c>
      <c r="N767" s="27">
        <f t="shared" ca="1" si="23"/>
        <v>34</v>
      </c>
      <c r="O767" s="27" t="str" cm="1">
        <f t="array" ref="O767">_xlfn.IFS($F767&gt;=750,"Excellent",$F767&gt;=700,"Good",$F767&gt;=650,"Moderate",
$F767&lt;650,"Risky"
)</f>
        <v>Excellent</v>
      </c>
      <c r="P767" s="27" t="str" cm="1">
        <f t="array" ref="P767">_xlfn.IFS(
AND(F767&gt;=750,H767&lt;=2),"Low Risk",
AND(F767&gt;=700,H767&lt;=5),"Medium Risk",
TRUE,"High Risk"
)</f>
        <v>High Risk</v>
      </c>
      <c r="Q767" s="5"/>
      <c r="R767" s="5"/>
      <c r="S767" s="5"/>
      <c r="T767" s="5"/>
      <c r="U767" s="5"/>
      <c r="V767" s="5"/>
      <c r="W767" s="5"/>
      <c r="X767" s="5"/>
      <c r="Y767" s="5"/>
    </row>
    <row r="768" spans="1:25" ht="15.75" customHeight="1" x14ac:dyDescent="0.25">
      <c r="A768" s="2">
        <v>43877</v>
      </c>
      <c r="B768" s="3">
        <v>94706</v>
      </c>
      <c r="C768" s="4" t="s">
        <v>33</v>
      </c>
      <c r="D768" s="4" t="str">
        <f t="shared" si="24"/>
        <v>Sales</v>
      </c>
      <c r="E768" s="4" t="str">
        <f t="shared" si="25"/>
        <v>Executive</v>
      </c>
      <c r="F768" s="13">
        <v>718</v>
      </c>
      <c r="G768" s="13">
        <v>1</v>
      </c>
      <c r="H768" s="13">
        <v>2</v>
      </c>
      <c r="I768" s="2">
        <v>32325</v>
      </c>
      <c r="J768" s="15">
        <v>765265</v>
      </c>
      <c r="K768" s="4" t="s">
        <v>21</v>
      </c>
      <c r="L768" s="27">
        <f t="shared" si="26"/>
        <v>1988</v>
      </c>
      <c r="M768" s="27">
        <f t="shared" si="27"/>
        <v>2</v>
      </c>
      <c r="N768" s="27">
        <f t="shared" ca="1" si="23"/>
        <v>38</v>
      </c>
      <c r="O768" s="27" t="str" cm="1">
        <f t="array" ref="O768">_xlfn.IFS($F768&gt;=750,"Excellent",$F768&gt;=700,"Good",$F768&gt;=650,"Moderate",
$F768&lt;650,"Risky"
)</f>
        <v>Good</v>
      </c>
      <c r="P768" s="27" t="str" cm="1">
        <f t="array" ref="P768">_xlfn.IFS(
AND(F768&gt;=750,H768&lt;=2),"Low Risk",
AND(F768&gt;=700,H768&lt;=5),"Medium Risk",
TRUE,"High Risk"
)</f>
        <v>Medium Risk</v>
      </c>
      <c r="Q768" s="5"/>
      <c r="R768" s="5"/>
      <c r="S768" s="5"/>
      <c r="T768" s="5"/>
      <c r="U768" s="5"/>
      <c r="V768" s="5"/>
      <c r="W768" s="5"/>
      <c r="X768" s="5"/>
      <c r="Y768" s="5"/>
    </row>
    <row r="769" spans="1:25" ht="15.75" customHeight="1" x14ac:dyDescent="0.25">
      <c r="A769" s="2">
        <v>43992</v>
      </c>
      <c r="B769" s="3">
        <v>18287</v>
      </c>
      <c r="C769" s="4" t="s">
        <v>23</v>
      </c>
      <c r="D769" s="4" t="str">
        <f t="shared" si="24"/>
        <v>Marketing</v>
      </c>
      <c r="E769" s="4" t="str">
        <f t="shared" si="25"/>
        <v>Intern</v>
      </c>
      <c r="F769" s="13">
        <v>703</v>
      </c>
      <c r="G769" s="13">
        <v>3</v>
      </c>
      <c r="H769" s="13">
        <v>3</v>
      </c>
      <c r="I769" s="2">
        <v>31477</v>
      </c>
      <c r="J769" s="15">
        <v>651096</v>
      </c>
      <c r="K769" s="4" t="s">
        <v>18</v>
      </c>
      <c r="L769" s="27">
        <f t="shared" si="26"/>
        <v>1986</v>
      </c>
      <c r="M769" s="27">
        <f t="shared" si="27"/>
        <v>6</v>
      </c>
      <c r="N769" s="27">
        <f t="shared" ca="1" si="23"/>
        <v>40</v>
      </c>
      <c r="O769" s="27" t="str" cm="1">
        <f t="array" ref="O769">_xlfn.IFS($F769&gt;=750,"Excellent",$F769&gt;=700,"Good",$F769&gt;=650,"Moderate",
$F769&lt;650,"Risky"
)</f>
        <v>Good</v>
      </c>
      <c r="P769" s="27" t="str" cm="1">
        <f t="array" ref="P769">_xlfn.IFS(
AND(F769&gt;=750,H769&lt;=2),"Low Risk",
AND(F769&gt;=700,H769&lt;=5),"Medium Risk",
TRUE,"High Risk"
)</f>
        <v>Medium Risk</v>
      </c>
      <c r="Q769" s="5"/>
      <c r="R769" s="5"/>
      <c r="S769" s="5"/>
      <c r="T769" s="5"/>
      <c r="U769" s="5"/>
      <c r="V769" s="5"/>
      <c r="W769" s="5"/>
      <c r="X769" s="5"/>
      <c r="Y769" s="5"/>
    </row>
    <row r="770" spans="1:25" ht="15.75" customHeight="1" x14ac:dyDescent="0.25">
      <c r="A770" s="2">
        <v>44101</v>
      </c>
      <c r="B770" s="3">
        <v>33013</v>
      </c>
      <c r="C770" s="4" t="s">
        <v>26</v>
      </c>
      <c r="D770" s="4" t="str">
        <f t="shared" si="24"/>
        <v>Strategy</v>
      </c>
      <c r="E770" s="4" t="str">
        <f t="shared" si="25"/>
        <v>Manager</v>
      </c>
      <c r="F770" s="13">
        <v>766</v>
      </c>
      <c r="G770" s="13">
        <v>4</v>
      </c>
      <c r="H770" s="13">
        <v>10</v>
      </c>
      <c r="I770" s="2">
        <v>33006</v>
      </c>
      <c r="J770" s="15">
        <v>609677</v>
      </c>
      <c r="K770" s="4" t="s">
        <v>21</v>
      </c>
      <c r="L770" s="27">
        <f t="shared" si="26"/>
        <v>1990</v>
      </c>
      <c r="M770" s="27">
        <f t="shared" si="27"/>
        <v>9</v>
      </c>
      <c r="N770" s="27">
        <f t="shared" ca="1" si="23"/>
        <v>36</v>
      </c>
      <c r="O770" s="27" t="str" cm="1">
        <f t="array" ref="O770">_xlfn.IFS($F770&gt;=750,"Excellent",$F770&gt;=700,"Good",$F770&gt;=650,"Moderate",
$F770&lt;650,"Risky"
)</f>
        <v>Excellent</v>
      </c>
      <c r="P770" s="27" t="str" cm="1">
        <f t="array" ref="P770">_xlfn.IFS(
AND(F770&gt;=750,H770&lt;=2),"Low Risk",
AND(F770&gt;=700,H770&lt;=5),"Medium Risk",
TRUE,"High Risk"
)</f>
        <v>High Risk</v>
      </c>
      <c r="Q770" s="5"/>
      <c r="R770" s="5"/>
      <c r="S770" s="5"/>
      <c r="T770" s="5"/>
      <c r="U770" s="5"/>
      <c r="V770" s="5"/>
      <c r="W770" s="5"/>
      <c r="X770" s="5"/>
      <c r="Y770" s="5"/>
    </row>
    <row r="771" spans="1:25" ht="15.75" customHeight="1" x14ac:dyDescent="0.25">
      <c r="A771" s="2">
        <v>43938</v>
      </c>
      <c r="B771" s="3">
        <v>71151</v>
      </c>
      <c r="C771" s="4" t="s">
        <v>28</v>
      </c>
      <c r="D771" s="4" t="str">
        <f t="shared" si="24"/>
        <v>Growth</v>
      </c>
      <c r="E771" s="4" t="str">
        <f t="shared" si="25"/>
        <v>Director</v>
      </c>
      <c r="F771" s="13">
        <v>737</v>
      </c>
      <c r="G771" s="13">
        <v>1</v>
      </c>
      <c r="H771" s="13">
        <v>10</v>
      </c>
      <c r="I771" s="2">
        <v>31120</v>
      </c>
      <c r="J771" s="15">
        <v>582154</v>
      </c>
      <c r="K771" s="4" t="s">
        <v>21</v>
      </c>
      <c r="L771" s="27">
        <f t="shared" si="26"/>
        <v>1985</v>
      </c>
      <c r="M771" s="27">
        <f t="shared" si="27"/>
        <v>4</v>
      </c>
      <c r="N771" s="27">
        <f t="shared" ref="N771:N834" ca="1" si="28" xml:space="preserve"> YEAR(TODAY()) - $L771</f>
        <v>41</v>
      </c>
      <c r="O771" s="27" t="str" cm="1">
        <f t="array" ref="O771">_xlfn.IFS($F771&gt;=750,"Excellent",$F771&gt;=700,"Good",$F771&gt;=650,"Moderate",
$F771&lt;650,"Risky"
)</f>
        <v>Good</v>
      </c>
      <c r="P771" s="27" t="str" cm="1">
        <f t="array" ref="P771">_xlfn.IFS(
AND(F771&gt;=750,H771&lt;=2),"Low Risk",
AND(F771&gt;=700,H771&lt;=5),"Medium Risk",
TRUE,"High Risk"
)</f>
        <v>High Risk</v>
      </c>
      <c r="Q771" s="5"/>
      <c r="R771" s="5"/>
      <c r="S771" s="5"/>
      <c r="T771" s="5"/>
      <c r="U771" s="5"/>
      <c r="V771" s="5"/>
      <c r="W771" s="5"/>
      <c r="X771" s="5"/>
      <c r="Y771" s="5"/>
    </row>
    <row r="772" spans="1:25" ht="15.75" customHeight="1" x14ac:dyDescent="0.25">
      <c r="A772" s="2">
        <v>44081</v>
      </c>
      <c r="B772" s="3">
        <v>77027</v>
      </c>
      <c r="C772" s="4" t="s">
        <v>38</v>
      </c>
      <c r="D772" s="4" t="str">
        <f t="shared" si="24"/>
        <v>Finance</v>
      </c>
      <c r="E772" s="4" t="str">
        <f t="shared" si="25"/>
        <v>Manager</v>
      </c>
      <c r="F772" s="13">
        <v>783</v>
      </c>
      <c r="G772" s="13">
        <v>2</v>
      </c>
      <c r="H772" s="13">
        <v>1</v>
      </c>
      <c r="I772" s="2">
        <v>29243</v>
      </c>
      <c r="J772" s="15">
        <v>773882</v>
      </c>
      <c r="K772" s="4" t="s">
        <v>18</v>
      </c>
      <c r="L772" s="27">
        <f t="shared" si="26"/>
        <v>1980</v>
      </c>
      <c r="M772" s="27">
        <f t="shared" si="27"/>
        <v>9</v>
      </c>
      <c r="N772" s="27">
        <f t="shared" ca="1" si="28"/>
        <v>46</v>
      </c>
      <c r="O772" s="27" t="str" cm="1">
        <f t="array" ref="O772">_xlfn.IFS($F772&gt;=750,"Excellent",$F772&gt;=700,"Good",$F772&gt;=650,"Moderate",
$F772&lt;650,"Risky"
)</f>
        <v>Excellent</v>
      </c>
      <c r="P772" s="27" t="str" cm="1">
        <f t="array" ref="P772">_xlfn.IFS(
AND(F772&gt;=750,H772&lt;=2),"Low Risk",
AND(F772&gt;=700,H772&lt;=5),"Medium Risk",
TRUE,"High Risk"
)</f>
        <v>Low Risk</v>
      </c>
      <c r="Q772" s="5"/>
      <c r="R772" s="5"/>
      <c r="S772" s="5"/>
      <c r="T772" s="5"/>
      <c r="U772" s="5"/>
      <c r="V772" s="5"/>
      <c r="W772" s="5"/>
      <c r="X772" s="5"/>
      <c r="Y772" s="5"/>
    </row>
    <row r="773" spans="1:25" ht="15.75" customHeight="1" x14ac:dyDescent="0.25">
      <c r="A773" s="2">
        <v>43888</v>
      </c>
      <c r="B773" s="3">
        <v>66416</v>
      </c>
      <c r="C773" s="4" t="s">
        <v>30</v>
      </c>
      <c r="D773" s="4" t="str">
        <f t="shared" si="24"/>
        <v>Operation</v>
      </c>
      <c r="E773" s="4" t="str">
        <f t="shared" si="25"/>
        <v>Director</v>
      </c>
      <c r="F773" s="13">
        <v>715</v>
      </c>
      <c r="G773" s="13">
        <v>2</v>
      </c>
      <c r="H773" s="13">
        <v>9</v>
      </c>
      <c r="I773" s="2">
        <v>31122</v>
      </c>
      <c r="J773" s="15">
        <v>599224</v>
      </c>
      <c r="K773" s="4" t="s">
        <v>18</v>
      </c>
      <c r="L773" s="27">
        <f t="shared" si="26"/>
        <v>1985</v>
      </c>
      <c r="M773" s="27">
        <f t="shared" si="27"/>
        <v>2</v>
      </c>
      <c r="N773" s="27">
        <f t="shared" ca="1" si="28"/>
        <v>41</v>
      </c>
      <c r="O773" s="27" t="str" cm="1">
        <f t="array" ref="O773">_xlfn.IFS($F773&gt;=750,"Excellent",$F773&gt;=700,"Good",$F773&gt;=650,"Moderate",
$F773&lt;650,"Risky"
)</f>
        <v>Good</v>
      </c>
      <c r="P773" s="27" t="str" cm="1">
        <f t="array" ref="P773">_xlfn.IFS(
AND(F773&gt;=750,H773&lt;=2),"Low Risk",
AND(F773&gt;=700,H773&lt;=5),"Medium Risk",
TRUE,"High Risk"
)</f>
        <v>High Risk</v>
      </c>
      <c r="Q773" s="5"/>
      <c r="R773" s="5"/>
      <c r="S773" s="5"/>
      <c r="T773" s="5"/>
      <c r="U773" s="5"/>
      <c r="V773" s="5"/>
      <c r="W773" s="5"/>
      <c r="X773" s="5"/>
      <c r="Y773" s="5"/>
    </row>
    <row r="774" spans="1:25" ht="15.75" customHeight="1" x14ac:dyDescent="0.25">
      <c r="A774" s="2">
        <v>43859</v>
      </c>
      <c r="B774" s="3">
        <v>56294</v>
      </c>
      <c r="C774" s="4" t="s">
        <v>23</v>
      </c>
      <c r="D774" s="4" t="str">
        <f t="shared" si="24"/>
        <v>Marketing</v>
      </c>
      <c r="E774" s="4" t="str">
        <f t="shared" si="25"/>
        <v>Intern</v>
      </c>
      <c r="F774" s="13">
        <v>711</v>
      </c>
      <c r="G774" s="13">
        <v>3</v>
      </c>
      <c r="H774" s="13">
        <v>10</v>
      </c>
      <c r="I774" s="2">
        <v>30925</v>
      </c>
      <c r="J774" s="15">
        <v>765713</v>
      </c>
      <c r="K774" s="4" t="s">
        <v>14</v>
      </c>
      <c r="L774" s="27">
        <f t="shared" si="26"/>
        <v>1984</v>
      </c>
      <c r="M774" s="27">
        <f t="shared" si="27"/>
        <v>1</v>
      </c>
      <c r="N774" s="27">
        <f t="shared" ca="1" si="28"/>
        <v>42</v>
      </c>
      <c r="O774" s="27" t="str" cm="1">
        <f t="array" ref="O774">_xlfn.IFS($F774&gt;=750,"Excellent",$F774&gt;=700,"Good",$F774&gt;=650,"Moderate",
$F774&lt;650,"Risky"
)</f>
        <v>Good</v>
      </c>
      <c r="P774" s="27" t="str" cm="1">
        <f t="array" ref="P774">_xlfn.IFS(
AND(F774&gt;=750,H774&lt;=2),"Low Risk",
AND(F774&gt;=700,H774&lt;=5),"Medium Risk",
TRUE,"High Risk"
)</f>
        <v>High Risk</v>
      </c>
      <c r="Q774" s="5"/>
      <c r="R774" s="5"/>
      <c r="S774" s="5"/>
      <c r="T774" s="5"/>
      <c r="U774" s="5"/>
      <c r="V774" s="5"/>
      <c r="W774" s="5"/>
      <c r="X774" s="5"/>
      <c r="Y774" s="5"/>
    </row>
    <row r="775" spans="1:25" ht="15.75" customHeight="1" x14ac:dyDescent="0.25">
      <c r="A775" s="2">
        <v>43891</v>
      </c>
      <c r="B775" s="3">
        <v>44734</v>
      </c>
      <c r="C775" s="4" t="s">
        <v>38</v>
      </c>
      <c r="D775" s="4" t="str">
        <f t="shared" si="24"/>
        <v>Finance</v>
      </c>
      <c r="E775" s="4" t="str">
        <f t="shared" si="25"/>
        <v>Manager</v>
      </c>
      <c r="F775" s="13">
        <v>796</v>
      </c>
      <c r="G775" s="13">
        <v>1</v>
      </c>
      <c r="H775" s="13">
        <v>6</v>
      </c>
      <c r="I775" s="2">
        <v>33274</v>
      </c>
      <c r="J775" s="15">
        <v>776281</v>
      </c>
      <c r="K775" s="4" t="s">
        <v>18</v>
      </c>
      <c r="L775" s="27">
        <f t="shared" si="26"/>
        <v>1991</v>
      </c>
      <c r="M775" s="27">
        <f t="shared" si="27"/>
        <v>3</v>
      </c>
      <c r="N775" s="27">
        <f t="shared" ca="1" si="28"/>
        <v>35</v>
      </c>
      <c r="O775" s="27" t="str" cm="1">
        <f t="array" ref="O775">_xlfn.IFS($F775&gt;=750,"Excellent",$F775&gt;=700,"Good",$F775&gt;=650,"Moderate",
$F775&lt;650,"Risky"
)</f>
        <v>Excellent</v>
      </c>
      <c r="P775" s="27" t="str" cm="1">
        <f t="array" ref="P775">_xlfn.IFS(
AND(F775&gt;=750,H775&lt;=2),"Low Risk",
AND(F775&gt;=700,H775&lt;=5),"Medium Risk",
TRUE,"High Risk"
)</f>
        <v>High Risk</v>
      </c>
      <c r="Q775" s="5"/>
      <c r="R775" s="5"/>
      <c r="S775" s="5"/>
      <c r="T775" s="5"/>
      <c r="U775" s="5"/>
      <c r="V775" s="5"/>
      <c r="W775" s="5"/>
      <c r="X775" s="5"/>
      <c r="Y775" s="5"/>
    </row>
    <row r="776" spans="1:25" ht="15.75" customHeight="1" x14ac:dyDescent="0.25">
      <c r="A776" s="2">
        <v>44043</v>
      </c>
      <c r="B776" s="3">
        <v>78090</v>
      </c>
      <c r="C776" s="4" t="s">
        <v>34</v>
      </c>
      <c r="D776" s="4" t="str">
        <f t="shared" si="24"/>
        <v>Finance</v>
      </c>
      <c r="E776" s="4" t="str">
        <f t="shared" si="25"/>
        <v>Director</v>
      </c>
      <c r="F776" s="13">
        <v>779</v>
      </c>
      <c r="G776" s="13">
        <v>4</v>
      </c>
      <c r="H776" s="13">
        <v>1</v>
      </c>
      <c r="I776" s="2">
        <v>30549</v>
      </c>
      <c r="J776" s="15">
        <v>511371</v>
      </c>
      <c r="K776" s="4" t="s">
        <v>14</v>
      </c>
      <c r="L776" s="27">
        <f t="shared" si="26"/>
        <v>1983</v>
      </c>
      <c r="M776" s="27">
        <f t="shared" si="27"/>
        <v>7</v>
      </c>
      <c r="N776" s="27">
        <f t="shared" ca="1" si="28"/>
        <v>43</v>
      </c>
      <c r="O776" s="27" t="str" cm="1">
        <f t="array" ref="O776">_xlfn.IFS($F776&gt;=750,"Excellent",$F776&gt;=700,"Good",$F776&gt;=650,"Moderate",
$F776&lt;650,"Risky"
)</f>
        <v>Excellent</v>
      </c>
      <c r="P776" s="27" t="str" cm="1">
        <f t="array" ref="P776">_xlfn.IFS(
AND(F776&gt;=750,H776&lt;=2),"Low Risk",
AND(F776&gt;=700,H776&lt;=5),"Medium Risk",
TRUE,"High Risk"
)</f>
        <v>Low Risk</v>
      </c>
      <c r="Q776" s="5"/>
      <c r="R776" s="5"/>
      <c r="S776" s="5"/>
      <c r="T776" s="5"/>
      <c r="U776" s="5"/>
      <c r="V776" s="5"/>
      <c r="W776" s="5"/>
      <c r="X776" s="5"/>
      <c r="Y776" s="5"/>
    </row>
    <row r="777" spans="1:25" ht="15.75" customHeight="1" x14ac:dyDescent="0.25">
      <c r="A777" s="2">
        <v>44089</v>
      </c>
      <c r="B777" s="3">
        <v>96451</v>
      </c>
      <c r="C777" s="4" t="s">
        <v>22</v>
      </c>
      <c r="D777" s="4" t="str">
        <f t="shared" si="24"/>
        <v>Strategy</v>
      </c>
      <c r="E777" s="4" t="str">
        <f t="shared" si="25"/>
        <v>Executive</v>
      </c>
      <c r="F777" s="13">
        <v>732</v>
      </c>
      <c r="G777" s="13">
        <v>4</v>
      </c>
      <c r="H777" s="13">
        <v>5</v>
      </c>
      <c r="I777" s="2">
        <v>33790</v>
      </c>
      <c r="J777" s="15">
        <v>948797</v>
      </c>
      <c r="K777" s="4" t="s">
        <v>18</v>
      </c>
      <c r="L777" s="27">
        <f t="shared" si="26"/>
        <v>1992</v>
      </c>
      <c r="M777" s="27">
        <f t="shared" si="27"/>
        <v>9</v>
      </c>
      <c r="N777" s="27">
        <f t="shared" ca="1" si="28"/>
        <v>34</v>
      </c>
      <c r="O777" s="27" t="str" cm="1">
        <f t="array" ref="O777">_xlfn.IFS($F777&gt;=750,"Excellent",$F777&gt;=700,"Good",$F777&gt;=650,"Moderate",
$F777&lt;650,"Risky"
)</f>
        <v>Good</v>
      </c>
      <c r="P777" s="27" t="str" cm="1">
        <f t="array" ref="P777">_xlfn.IFS(
AND(F777&gt;=750,H777&lt;=2),"Low Risk",
AND(F777&gt;=700,H777&lt;=5),"Medium Risk",
TRUE,"High Risk"
)</f>
        <v>Medium Risk</v>
      </c>
      <c r="Q777" s="5"/>
      <c r="R777" s="5"/>
      <c r="S777" s="5"/>
      <c r="T777" s="5"/>
      <c r="U777" s="5"/>
      <c r="V777" s="5"/>
      <c r="W777" s="5"/>
      <c r="X777" s="5"/>
      <c r="Y777" s="5"/>
    </row>
    <row r="778" spans="1:25" ht="15.75" customHeight="1" x14ac:dyDescent="0.25">
      <c r="A778" s="2">
        <v>43982</v>
      </c>
      <c r="B778" s="3">
        <v>18301</v>
      </c>
      <c r="C778" s="4" t="s">
        <v>32</v>
      </c>
      <c r="D778" s="4" t="str">
        <f t="shared" si="24"/>
        <v>Finance</v>
      </c>
      <c r="E778" s="4" t="str">
        <f t="shared" si="25"/>
        <v>Executive</v>
      </c>
      <c r="F778" s="13">
        <v>700</v>
      </c>
      <c r="G778" s="13">
        <v>5</v>
      </c>
      <c r="H778" s="13">
        <v>10</v>
      </c>
      <c r="I778" s="2">
        <v>33548</v>
      </c>
      <c r="J778" s="15">
        <v>532162</v>
      </c>
      <c r="K778" s="4" t="s">
        <v>14</v>
      </c>
      <c r="L778" s="27">
        <f t="shared" si="26"/>
        <v>1991</v>
      </c>
      <c r="M778" s="27">
        <f t="shared" si="27"/>
        <v>5</v>
      </c>
      <c r="N778" s="27">
        <f t="shared" ca="1" si="28"/>
        <v>35</v>
      </c>
      <c r="O778" s="27" t="str" cm="1">
        <f t="array" ref="O778">_xlfn.IFS($F778&gt;=750,"Excellent",$F778&gt;=700,"Good",$F778&gt;=650,"Moderate",
$F778&lt;650,"Risky"
)</f>
        <v>Good</v>
      </c>
      <c r="P778" s="27" t="str" cm="1">
        <f t="array" ref="P778">_xlfn.IFS(
AND(F778&gt;=750,H778&lt;=2),"Low Risk",
AND(F778&gt;=700,H778&lt;=5),"Medium Risk",
TRUE,"High Risk"
)</f>
        <v>High Risk</v>
      </c>
      <c r="Q778" s="5"/>
      <c r="R778" s="5"/>
      <c r="S778" s="5"/>
      <c r="T778" s="5"/>
      <c r="U778" s="5"/>
      <c r="V778" s="5"/>
      <c r="W778" s="5"/>
      <c r="X778" s="5"/>
      <c r="Y778" s="5"/>
    </row>
    <row r="779" spans="1:25" ht="15.75" customHeight="1" x14ac:dyDescent="0.25">
      <c r="A779" s="2">
        <v>43983</v>
      </c>
      <c r="B779" s="3">
        <v>46301</v>
      </c>
      <c r="C779" s="4" t="s">
        <v>38</v>
      </c>
      <c r="D779" s="4" t="str">
        <f t="shared" si="24"/>
        <v>Finance</v>
      </c>
      <c r="E779" s="4" t="str">
        <f t="shared" si="25"/>
        <v>Manager</v>
      </c>
      <c r="F779" s="13">
        <v>789</v>
      </c>
      <c r="G779" s="13">
        <v>2</v>
      </c>
      <c r="H779" s="13">
        <v>3</v>
      </c>
      <c r="I779" s="2">
        <v>32434</v>
      </c>
      <c r="J779" s="15">
        <v>522574</v>
      </c>
      <c r="K779" s="4" t="s">
        <v>21</v>
      </c>
      <c r="L779" s="27">
        <f t="shared" si="26"/>
        <v>1988</v>
      </c>
      <c r="M779" s="27">
        <f t="shared" si="27"/>
        <v>6</v>
      </c>
      <c r="N779" s="27">
        <f t="shared" ca="1" si="28"/>
        <v>38</v>
      </c>
      <c r="O779" s="27" t="str" cm="1">
        <f t="array" ref="O779">_xlfn.IFS($F779&gt;=750,"Excellent",$F779&gt;=700,"Good",$F779&gt;=650,"Moderate",
$F779&lt;650,"Risky"
)</f>
        <v>Excellent</v>
      </c>
      <c r="P779" s="27" t="str" cm="1">
        <f t="array" ref="P779">_xlfn.IFS(
AND(F779&gt;=750,H779&lt;=2),"Low Risk",
AND(F779&gt;=700,H779&lt;=5),"Medium Risk",
TRUE,"High Risk"
)</f>
        <v>Medium Risk</v>
      </c>
      <c r="Q779" s="5"/>
      <c r="R779" s="5"/>
      <c r="S779" s="5"/>
      <c r="T779" s="5"/>
      <c r="U779" s="5"/>
      <c r="V779" s="5"/>
      <c r="W779" s="5"/>
      <c r="X779" s="5"/>
      <c r="Y779" s="5"/>
    </row>
    <row r="780" spans="1:25" ht="15.75" customHeight="1" x14ac:dyDescent="0.25">
      <c r="A780" s="2">
        <v>43978</v>
      </c>
      <c r="B780" s="3">
        <v>79812</v>
      </c>
      <c r="C780" s="4" t="s">
        <v>29</v>
      </c>
      <c r="D780" s="4" t="str">
        <f t="shared" si="24"/>
        <v>Sales</v>
      </c>
      <c r="E780" s="4" t="str">
        <f t="shared" si="25"/>
        <v>Director</v>
      </c>
      <c r="F780" s="13">
        <v>703</v>
      </c>
      <c r="G780" s="13">
        <v>2</v>
      </c>
      <c r="H780" s="13">
        <v>6</v>
      </c>
      <c r="I780" s="2">
        <v>31042</v>
      </c>
      <c r="J780" s="15">
        <v>749612</v>
      </c>
      <c r="K780" s="4" t="s">
        <v>14</v>
      </c>
      <c r="L780" s="27">
        <f t="shared" si="26"/>
        <v>1984</v>
      </c>
      <c r="M780" s="27">
        <f t="shared" si="27"/>
        <v>5</v>
      </c>
      <c r="N780" s="27">
        <f t="shared" ca="1" si="28"/>
        <v>42</v>
      </c>
      <c r="O780" s="27" t="str" cm="1">
        <f t="array" ref="O780">_xlfn.IFS($F780&gt;=750,"Excellent",$F780&gt;=700,"Good",$F780&gt;=650,"Moderate",
$F780&lt;650,"Risky"
)</f>
        <v>Good</v>
      </c>
      <c r="P780" s="27" t="str" cm="1">
        <f t="array" ref="P780">_xlfn.IFS(
AND(F780&gt;=750,H780&lt;=2),"Low Risk",
AND(F780&gt;=700,H780&lt;=5),"Medium Risk",
TRUE,"High Risk"
)</f>
        <v>High Risk</v>
      </c>
      <c r="Q780" s="5"/>
      <c r="R780" s="5"/>
      <c r="S780" s="5"/>
      <c r="T780" s="5"/>
      <c r="U780" s="5"/>
      <c r="V780" s="5"/>
      <c r="W780" s="5"/>
      <c r="X780" s="5"/>
      <c r="Y780" s="5"/>
    </row>
    <row r="781" spans="1:25" ht="15.75" customHeight="1" x14ac:dyDescent="0.25">
      <c r="A781" s="2">
        <v>44123</v>
      </c>
      <c r="B781" s="3">
        <v>29381</v>
      </c>
      <c r="C781" s="4" t="s">
        <v>38</v>
      </c>
      <c r="D781" s="4" t="str">
        <f t="shared" si="24"/>
        <v>Finance</v>
      </c>
      <c r="E781" s="4" t="str">
        <f t="shared" si="25"/>
        <v>Manager</v>
      </c>
      <c r="F781" s="13">
        <v>762</v>
      </c>
      <c r="G781" s="13">
        <v>3</v>
      </c>
      <c r="H781" s="13">
        <v>4</v>
      </c>
      <c r="I781" s="2">
        <v>31540</v>
      </c>
      <c r="J781" s="15">
        <v>856227</v>
      </c>
      <c r="K781" s="4" t="s">
        <v>14</v>
      </c>
      <c r="L781" s="27">
        <f t="shared" si="26"/>
        <v>1986</v>
      </c>
      <c r="M781" s="27">
        <f t="shared" si="27"/>
        <v>10</v>
      </c>
      <c r="N781" s="27">
        <f t="shared" ca="1" si="28"/>
        <v>40</v>
      </c>
      <c r="O781" s="27" t="str" cm="1">
        <f t="array" ref="O781">_xlfn.IFS($F781&gt;=750,"Excellent",$F781&gt;=700,"Good",$F781&gt;=650,"Moderate",
$F781&lt;650,"Risky"
)</f>
        <v>Excellent</v>
      </c>
      <c r="P781" s="27" t="str" cm="1">
        <f t="array" ref="P781">_xlfn.IFS(
AND(F781&gt;=750,H781&lt;=2),"Low Risk",
AND(F781&gt;=700,H781&lt;=5),"Medium Risk",
TRUE,"High Risk"
)</f>
        <v>Medium Risk</v>
      </c>
      <c r="Q781" s="5"/>
      <c r="R781" s="5"/>
      <c r="S781" s="5"/>
      <c r="T781" s="5"/>
      <c r="U781" s="5"/>
      <c r="V781" s="5"/>
      <c r="W781" s="5"/>
      <c r="X781" s="5"/>
      <c r="Y781" s="5"/>
    </row>
    <row r="782" spans="1:25" ht="15.75" customHeight="1" x14ac:dyDescent="0.25">
      <c r="A782" s="2">
        <v>43965</v>
      </c>
      <c r="B782" s="3">
        <v>49301</v>
      </c>
      <c r="C782" s="4" t="s">
        <v>39</v>
      </c>
      <c r="D782" s="4" t="str">
        <f t="shared" si="24"/>
        <v>Growth</v>
      </c>
      <c r="E782" s="4" t="str">
        <f t="shared" si="25"/>
        <v>Executive</v>
      </c>
      <c r="F782" s="13">
        <v>760</v>
      </c>
      <c r="G782" s="13">
        <v>5</v>
      </c>
      <c r="H782" s="13">
        <v>3</v>
      </c>
      <c r="I782" s="2">
        <v>32442</v>
      </c>
      <c r="J782" s="15">
        <v>930103</v>
      </c>
      <c r="K782" s="4" t="s">
        <v>14</v>
      </c>
      <c r="L782" s="27">
        <f t="shared" si="26"/>
        <v>1988</v>
      </c>
      <c r="M782" s="27">
        <f t="shared" si="27"/>
        <v>5</v>
      </c>
      <c r="N782" s="27">
        <f t="shared" ca="1" si="28"/>
        <v>38</v>
      </c>
      <c r="O782" s="27" t="str" cm="1">
        <f t="array" ref="O782">_xlfn.IFS($F782&gt;=750,"Excellent",$F782&gt;=700,"Good",$F782&gt;=650,"Moderate",
$F782&lt;650,"Risky"
)</f>
        <v>Excellent</v>
      </c>
      <c r="P782" s="27" t="str" cm="1">
        <f t="array" ref="P782">_xlfn.IFS(
AND(F782&gt;=750,H782&lt;=2),"Low Risk",
AND(F782&gt;=700,H782&lt;=5),"Medium Risk",
TRUE,"High Risk"
)</f>
        <v>Medium Risk</v>
      </c>
      <c r="Q782" s="5"/>
      <c r="R782" s="5"/>
      <c r="S782" s="5"/>
      <c r="T782" s="5"/>
      <c r="U782" s="5"/>
      <c r="V782" s="5"/>
      <c r="W782" s="5"/>
      <c r="X782" s="5"/>
      <c r="Y782" s="5"/>
    </row>
    <row r="783" spans="1:25" ht="15.75" customHeight="1" x14ac:dyDescent="0.25">
      <c r="A783" s="2">
        <v>44017</v>
      </c>
      <c r="B783" s="3">
        <v>27484</v>
      </c>
      <c r="C783" s="4" t="s">
        <v>26</v>
      </c>
      <c r="D783" s="4" t="str">
        <f t="shared" si="24"/>
        <v>Strategy</v>
      </c>
      <c r="E783" s="4" t="str">
        <f t="shared" si="25"/>
        <v>Manager</v>
      </c>
      <c r="F783" s="13">
        <v>792</v>
      </c>
      <c r="G783" s="13">
        <v>3</v>
      </c>
      <c r="H783" s="13">
        <v>7</v>
      </c>
      <c r="I783" s="2">
        <v>29627</v>
      </c>
      <c r="J783" s="15">
        <v>894228</v>
      </c>
      <c r="K783" s="4" t="s">
        <v>14</v>
      </c>
      <c r="L783" s="27">
        <f t="shared" si="26"/>
        <v>1981</v>
      </c>
      <c r="M783" s="27">
        <f t="shared" si="27"/>
        <v>7</v>
      </c>
      <c r="N783" s="27">
        <f t="shared" ca="1" si="28"/>
        <v>45</v>
      </c>
      <c r="O783" s="27" t="str" cm="1">
        <f t="array" ref="O783">_xlfn.IFS($F783&gt;=750,"Excellent",$F783&gt;=700,"Good",$F783&gt;=650,"Moderate",
$F783&lt;650,"Risky"
)</f>
        <v>Excellent</v>
      </c>
      <c r="P783" s="27" t="str" cm="1">
        <f t="array" ref="P783">_xlfn.IFS(
AND(F783&gt;=750,H783&lt;=2),"Low Risk",
AND(F783&gt;=700,H783&lt;=5),"Medium Risk",
TRUE,"High Risk"
)</f>
        <v>High Risk</v>
      </c>
      <c r="Q783" s="5"/>
      <c r="R783" s="5"/>
      <c r="S783" s="5"/>
      <c r="T783" s="5"/>
      <c r="U783" s="5"/>
      <c r="V783" s="5"/>
      <c r="W783" s="5"/>
      <c r="X783" s="5"/>
      <c r="Y783" s="5"/>
    </row>
    <row r="784" spans="1:25" ht="15.75" customHeight="1" x14ac:dyDescent="0.25">
      <c r="A784" s="2">
        <v>43991</v>
      </c>
      <c r="B784" s="3">
        <v>22173</v>
      </c>
      <c r="C784" s="4" t="s">
        <v>35</v>
      </c>
      <c r="D784" s="4" t="str">
        <f t="shared" si="24"/>
        <v>Growth</v>
      </c>
      <c r="E784" s="4" t="str">
        <f t="shared" si="25"/>
        <v>Intern</v>
      </c>
      <c r="F784" s="13">
        <v>730</v>
      </c>
      <c r="G784" s="13">
        <v>5</v>
      </c>
      <c r="H784" s="13">
        <v>9</v>
      </c>
      <c r="I784" s="2">
        <v>33541</v>
      </c>
      <c r="J784" s="15">
        <v>606031</v>
      </c>
      <c r="K784" s="4" t="s">
        <v>18</v>
      </c>
      <c r="L784" s="27">
        <f t="shared" si="26"/>
        <v>1991</v>
      </c>
      <c r="M784" s="27">
        <f t="shared" si="27"/>
        <v>6</v>
      </c>
      <c r="N784" s="27">
        <f t="shared" ca="1" si="28"/>
        <v>35</v>
      </c>
      <c r="O784" s="27" t="str" cm="1">
        <f t="array" ref="O784">_xlfn.IFS($F784&gt;=750,"Excellent",$F784&gt;=700,"Good",$F784&gt;=650,"Moderate",
$F784&lt;650,"Risky"
)</f>
        <v>Good</v>
      </c>
      <c r="P784" s="27" t="str" cm="1">
        <f t="array" ref="P784">_xlfn.IFS(
AND(F784&gt;=750,H784&lt;=2),"Low Risk",
AND(F784&gt;=700,H784&lt;=5),"Medium Risk",
TRUE,"High Risk"
)</f>
        <v>High Risk</v>
      </c>
      <c r="Q784" s="5"/>
      <c r="R784" s="5"/>
      <c r="S784" s="5"/>
      <c r="T784" s="5"/>
      <c r="U784" s="5"/>
      <c r="V784" s="5"/>
      <c r="W784" s="5"/>
      <c r="X784" s="5"/>
      <c r="Y784" s="5"/>
    </row>
    <row r="785" spans="1:25" ht="15.75" customHeight="1" x14ac:dyDescent="0.25">
      <c r="A785" s="2">
        <v>44037</v>
      </c>
      <c r="B785" s="3">
        <v>54376</v>
      </c>
      <c r="C785" s="4" t="s">
        <v>35</v>
      </c>
      <c r="D785" s="4" t="str">
        <f t="shared" si="24"/>
        <v>Growth</v>
      </c>
      <c r="E785" s="4" t="str">
        <f t="shared" si="25"/>
        <v>Intern</v>
      </c>
      <c r="F785" s="13">
        <v>788</v>
      </c>
      <c r="G785" s="13">
        <v>2</v>
      </c>
      <c r="H785" s="13">
        <v>10</v>
      </c>
      <c r="I785" s="2">
        <v>32432</v>
      </c>
      <c r="J785" s="15">
        <v>826701</v>
      </c>
      <c r="K785" s="4" t="s">
        <v>21</v>
      </c>
      <c r="L785" s="27">
        <f t="shared" si="26"/>
        <v>1988</v>
      </c>
      <c r="M785" s="27">
        <f t="shared" si="27"/>
        <v>7</v>
      </c>
      <c r="N785" s="27">
        <f t="shared" ca="1" si="28"/>
        <v>38</v>
      </c>
      <c r="O785" s="27" t="str" cm="1">
        <f t="array" ref="O785">_xlfn.IFS($F785&gt;=750,"Excellent",$F785&gt;=700,"Good",$F785&gt;=650,"Moderate",
$F785&lt;650,"Risky"
)</f>
        <v>Excellent</v>
      </c>
      <c r="P785" s="27" t="str" cm="1">
        <f t="array" ref="P785">_xlfn.IFS(
AND(F785&gt;=750,H785&lt;=2),"Low Risk",
AND(F785&gt;=700,H785&lt;=5),"Medium Risk",
TRUE,"High Risk"
)</f>
        <v>High Risk</v>
      </c>
      <c r="Q785" s="5"/>
      <c r="R785" s="5"/>
      <c r="S785" s="5"/>
      <c r="T785" s="5"/>
      <c r="U785" s="5"/>
      <c r="V785" s="5"/>
      <c r="W785" s="5"/>
      <c r="X785" s="5"/>
      <c r="Y785" s="5"/>
    </row>
    <row r="786" spans="1:25" ht="15.75" customHeight="1" x14ac:dyDescent="0.25">
      <c r="A786" s="2">
        <v>43975</v>
      </c>
      <c r="B786" s="3">
        <v>65661</v>
      </c>
      <c r="C786" s="4" t="s">
        <v>34</v>
      </c>
      <c r="D786" s="4" t="str">
        <f t="shared" si="24"/>
        <v>Finance</v>
      </c>
      <c r="E786" s="4" t="str">
        <f t="shared" si="25"/>
        <v>Director</v>
      </c>
      <c r="F786" s="13">
        <v>735</v>
      </c>
      <c r="G786" s="13">
        <v>3</v>
      </c>
      <c r="H786" s="13">
        <v>5</v>
      </c>
      <c r="I786" s="2">
        <v>33407</v>
      </c>
      <c r="J786" s="15">
        <v>669792</v>
      </c>
      <c r="K786" s="4" t="s">
        <v>21</v>
      </c>
      <c r="L786" s="27">
        <f t="shared" si="26"/>
        <v>1991</v>
      </c>
      <c r="M786" s="27">
        <f t="shared" si="27"/>
        <v>5</v>
      </c>
      <c r="N786" s="27">
        <f t="shared" ca="1" si="28"/>
        <v>35</v>
      </c>
      <c r="O786" s="27" t="str" cm="1">
        <f t="array" ref="O786">_xlfn.IFS($F786&gt;=750,"Excellent",$F786&gt;=700,"Good",$F786&gt;=650,"Moderate",
$F786&lt;650,"Risky"
)</f>
        <v>Good</v>
      </c>
      <c r="P786" s="27" t="str" cm="1">
        <f t="array" ref="P786">_xlfn.IFS(
AND(F786&gt;=750,H786&lt;=2),"Low Risk",
AND(F786&gt;=700,H786&lt;=5),"Medium Risk",
TRUE,"High Risk"
)</f>
        <v>Medium Risk</v>
      </c>
      <c r="Q786" s="5"/>
      <c r="R786" s="5"/>
      <c r="S786" s="5"/>
      <c r="T786" s="5"/>
      <c r="U786" s="5"/>
      <c r="V786" s="5"/>
      <c r="W786" s="5"/>
      <c r="X786" s="5"/>
      <c r="Y786" s="5"/>
    </row>
    <row r="787" spans="1:25" ht="15.75" customHeight="1" x14ac:dyDescent="0.25">
      <c r="A787" s="2">
        <v>44149</v>
      </c>
      <c r="B787" s="3">
        <v>61481</v>
      </c>
      <c r="C787" s="4" t="s">
        <v>19</v>
      </c>
      <c r="D787" s="4" t="str">
        <f t="shared" si="24"/>
        <v>Marketing</v>
      </c>
      <c r="E787" s="4" t="str">
        <f t="shared" si="25"/>
        <v>Manager</v>
      </c>
      <c r="F787" s="13">
        <v>722</v>
      </c>
      <c r="G787" s="13">
        <v>1</v>
      </c>
      <c r="H787" s="13">
        <v>9</v>
      </c>
      <c r="I787" s="2">
        <v>32968</v>
      </c>
      <c r="J787" s="15">
        <v>875570</v>
      </c>
      <c r="K787" s="4" t="s">
        <v>14</v>
      </c>
      <c r="L787" s="27">
        <f t="shared" si="26"/>
        <v>1990</v>
      </c>
      <c r="M787" s="27">
        <f t="shared" si="27"/>
        <v>11</v>
      </c>
      <c r="N787" s="27">
        <f t="shared" ca="1" si="28"/>
        <v>36</v>
      </c>
      <c r="O787" s="27" t="str" cm="1">
        <f t="array" ref="O787">_xlfn.IFS($F787&gt;=750,"Excellent",$F787&gt;=700,"Good",$F787&gt;=650,"Moderate",
$F787&lt;650,"Risky"
)</f>
        <v>Good</v>
      </c>
      <c r="P787" s="27" t="str" cm="1">
        <f t="array" ref="P787">_xlfn.IFS(
AND(F787&gt;=750,H787&lt;=2),"Low Risk",
AND(F787&gt;=700,H787&lt;=5),"Medium Risk",
TRUE,"High Risk"
)</f>
        <v>High Risk</v>
      </c>
      <c r="Q787" s="5"/>
      <c r="R787" s="5"/>
      <c r="S787" s="5"/>
      <c r="T787" s="5"/>
      <c r="U787" s="5"/>
      <c r="V787" s="5"/>
      <c r="W787" s="5"/>
      <c r="X787" s="5"/>
      <c r="Y787" s="5"/>
    </row>
    <row r="788" spans="1:25" ht="15.75" customHeight="1" x14ac:dyDescent="0.25">
      <c r="A788" s="2">
        <v>43832</v>
      </c>
      <c r="B788" s="3">
        <v>94928</v>
      </c>
      <c r="C788" s="4" t="s">
        <v>28</v>
      </c>
      <c r="D788" s="4" t="str">
        <f t="shared" si="24"/>
        <v>Growth</v>
      </c>
      <c r="E788" s="4" t="str">
        <f t="shared" si="25"/>
        <v>Director</v>
      </c>
      <c r="F788" s="13">
        <v>767</v>
      </c>
      <c r="G788" s="13">
        <v>4</v>
      </c>
      <c r="H788" s="13">
        <v>8</v>
      </c>
      <c r="I788" s="2">
        <v>30824</v>
      </c>
      <c r="J788" s="15">
        <v>646484</v>
      </c>
      <c r="K788" s="4" t="s">
        <v>18</v>
      </c>
      <c r="L788" s="27">
        <f t="shared" si="26"/>
        <v>1984</v>
      </c>
      <c r="M788" s="27">
        <f t="shared" si="27"/>
        <v>1</v>
      </c>
      <c r="N788" s="27">
        <f t="shared" ca="1" si="28"/>
        <v>42</v>
      </c>
      <c r="O788" s="27" t="str" cm="1">
        <f t="array" ref="O788">_xlfn.IFS($F788&gt;=750,"Excellent",$F788&gt;=700,"Good",$F788&gt;=650,"Moderate",
$F788&lt;650,"Risky"
)</f>
        <v>Excellent</v>
      </c>
      <c r="P788" s="27" t="str" cm="1">
        <f t="array" ref="P788">_xlfn.IFS(
AND(F788&gt;=750,H788&lt;=2),"Low Risk",
AND(F788&gt;=700,H788&lt;=5),"Medium Risk",
TRUE,"High Risk"
)</f>
        <v>High Risk</v>
      </c>
      <c r="Q788" s="5"/>
      <c r="R788" s="5"/>
      <c r="S788" s="5"/>
      <c r="T788" s="5"/>
      <c r="U788" s="5"/>
      <c r="V788" s="5"/>
      <c r="W788" s="5"/>
      <c r="X788" s="5"/>
      <c r="Y788" s="5"/>
    </row>
    <row r="789" spans="1:25" ht="15.75" customHeight="1" x14ac:dyDescent="0.25">
      <c r="A789" s="2">
        <v>44004</v>
      </c>
      <c r="B789" s="3">
        <v>40486</v>
      </c>
      <c r="C789" s="4" t="s">
        <v>35</v>
      </c>
      <c r="D789" s="4" t="str">
        <f t="shared" si="24"/>
        <v>Growth</v>
      </c>
      <c r="E789" s="4" t="str">
        <f t="shared" si="25"/>
        <v>Intern</v>
      </c>
      <c r="F789" s="13">
        <v>759</v>
      </c>
      <c r="G789" s="13">
        <v>5</v>
      </c>
      <c r="H789" s="13">
        <v>3</v>
      </c>
      <c r="I789" s="2">
        <v>30944</v>
      </c>
      <c r="J789" s="15">
        <v>668078</v>
      </c>
      <c r="K789" s="4" t="s">
        <v>14</v>
      </c>
      <c r="L789" s="27">
        <f t="shared" si="26"/>
        <v>1984</v>
      </c>
      <c r="M789" s="27">
        <f t="shared" si="27"/>
        <v>6</v>
      </c>
      <c r="N789" s="27">
        <f t="shared" ca="1" si="28"/>
        <v>42</v>
      </c>
      <c r="O789" s="27" t="str" cm="1">
        <f t="array" ref="O789">_xlfn.IFS($F789&gt;=750,"Excellent",$F789&gt;=700,"Good",$F789&gt;=650,"Moderate",
$F789&lt;650,"Risky"
)</f>
        <v>Excellent</v>
      </c>
      <c r="P789" s="27" t="str" cm="1">
        <f t="array" ref="P789">_xlfn.IFS(
AND(F789&gt;=750,H789&lt;=2),"Low Risk",
AND(F789&gt;=700,H789&lt;=5),"Medium Risk",
TRUE,"High Risk"
)</f>
        <v>Medium Risk</v>
      </c>
      <c r="Q789" s="5"/>
      <c r="R789" s="5"/>
      <c r="S789" s="5"/>
      <c r="T789" s="5"/>
      <c r="U789" s="5"/>
      <c r="V789" s="5"/>
      <c r="W789" s="5"/>
      <c r="X789" s="5"/>
      <c r="Y789" s="5"/>
    </row>
    <row r="790" spans="1:25" ht="15.75" customHeight="1" x14ac:dyDescent="0.25">
      <c r="A790" s="2">
        <v>43907</v>
      </c>
      <c r="B790" s="3">
        <v>64958</v>
      </c>
      <c r="C790" s="4" t="s">
        <v>27</v>
      </c>
      <c r="D790" s="4" t="str">
        <f t="shared" si="24"/>
        <v>Operation</v>
      </c>
      <c r="E790" s="4" t="str">
        <f t="shared" si="25"/>
        <v>Intern</v>
      </c>
      <c r="F790" s="13">
        <v>754</v>
      </c>
      <c r="G790" s="13">
        <v>5</v>
      </c>
      <c r="H790" s="13">
        <v>4</v>
      </c>
      <c r="I790" s="2">
        <v>30595</v>
      </c>
      <c r="J790" s="15">
        <v>937616</v>
      </c>
      <c r="K790" s="4" t="s">
        <v>21</v>
      </c>
      <c r="L790" s="27">
        <f t="shared" si="26"/>
        <v>1983</v>
      </c>
      <c r="M790" s="27">
        <f t="shared" si="27"/>
        <v>3</v>
      </c>
      <c r="N790" s="27">
        <f t="shared" ca="1" si="28"/>
        <v>43</v>
      </c>
      <c r="O790" s="27" t="str" cm="1">
        <f t="array" ref="O790">_xlfn.IFS($F790&gt;=750,"Excellent",$F790&gt;=700,"Good",$F790&gt;=650,"Moderate",
$F790&lt;650,"Risky"
)</f>
        <v>Excellent</v>
      </c>
      <c r="P790" s="27" t="str" cm="1">
        <f t="array" ref="P790">_xlfn.IFS(
AND(F790&gt;=750,H790&lt;=2),"Low Risk",
AND(F790&gt;=700,H790&lt;=5),"Medium Risk",
TRUE,"High Risk"
)</f>
        <v>Medium Risk</v>
      </c>
      <c r="Q790" s="5"/>
      <c r="R790" s="5"/>
      <c r="S790" s="5"/>
      <c r="T790" s="5"/>
      <c r="U790" s="5"/>
      <c r="V790" s="5"/>
      <c r="W790" s="5"/>
      <c r="X790" s="5"/>
      <c r="Y790" s="5"/>
    </row>
    <row r="791" spans="1:25" ht="15.75" customHeight="1" x14ac:dyDescent="0.25">
      <c r="A791" s="2">
        <v>44087</v>
      </c>
      <c r="B791" s="3">
        <v>70729</v>
      </c>
      <c r="C791" s="4" t="s">
        <v>38</v>
      </c>
      <c r="D791" s="4" t="str">
        <f t="shared" si="24"/>
        <v>Finance</v>
      </c>
      <c r="E791" s="4" t="str">
        <f t="shared" si="25"/>
        <v>Manager</v>
      </c>
      <c r="F791" s="13">
        <v>764</v>
      </c>
      <c r="G791" s="13">
        <v>5</v>
      </c>
      <c r="H791" s="13">
        <v>6</v>
      </c>
      <c r="I791" s="2">
        <v>33367</v>
      </c>
      <c r="J791" s="15">
        <v>677063</v>
      </c>
      <c r="K791" s="4" t="s">
        <v>18</v>
      </c>
      <c r="L791" s="27">
        <f t="shared" si="26"/>
        <v>1991</v>
      </c>
      <c r="M791" s="27">
        <f t="shared" si="27"/>
        <v>9</v>
      </c>
      <c r="N791" s="27">
        <f t="shared" ca="1" si="28"/>
        <v>35</v>
      </c>
      <c r="O791" s="27" t="str" cm="1">
        <f t="array" ref="O791">_xlfn.IFS($F791&gt;=750,"Excellent",$F791&gt;=700,"Good",$F791&gt;=650,"Moderate",
$F791&lt;650,"Risky"
)</f>
        <v>Excellent</v>
      </c>
      <c r="P791" s="27" t="str" cm="1">
        <f t="array" ref="P791">_xlfn.IFS(
AND(F791&gt;=750,H791&lt;=2),"Low Risk",
AND(F791&gt;=700,H791&lt;=5),"Medium Risk",
TRUE,"High Risk"
)</f>
        <v>High Risk</v>
      </c>
      <c r="Q791" s="5"/>
      <c r="R791" s="5"/>
      <c r="S791" s="5"/>
      <c r="T791" s="5"/>
      <c r="U791" s="5"/>
      <c r="V791" s="5"/>
      <c r="W791" s="5"/>
      <c r="X791" s="5"/>
      <c r="Y791" s="5"/>
    </row>
    <row r="792" spans="1:25" ht="15.75" customHeight="1" x14ac:dyDescent="0.25">
      <c r="A792" s="2">
        <v>44163</v>
      </c>
      <c r="B792" s="3">
        <v>96414</v>
      </c>
      <c r="C792" s="4" t="s">
        <v>23</v>
      </c>
      <c r="D792" s="4" t="str">
        <f t="shared" si="24"/>
        <v>Marketing</v>
      </c>
      <c r="E792" s="4" t="str">
        <f t="shared" si="25"/>
        <v>Intern</v>
      </c>
      <c r="F792" s="13">
        <v>745</v>
      </c>
      <c r="G792" s="13">
        <v>5</v>
      </c>
      <c r="H792" s="13">
        <v>9</v>
      </c>
      <c r="I792" s="2">
        <v>32930</v>
      </c>
      <c r="J792" s="15">
        <v>803817</v>
      </c>
      <c r="K792" s="4" t="s">
        <v>14</v>
      </c>
      <c r="L792" s="27">
        <f t="shared" si="26"/>
        <v>1990</v>
      </c>
      <c r="M792" s="27">
        <f t="shared" si="27"/>
        <v>11</v>
      </c>
      <c r="N792" s="27">
        <f t="shared" ca="1" si="28"/>
        <v>36</v>
      </c>
      <c r="O792" s="27" t="str" cm="1">
        <f t="array" ref="O792">_xlfn.IFS($F792&gt;=750,"Excellent",$F792&gt;=700,"Good",$F792&gt;=650,"Moderate",
$F792&lt;650,"Risky"
)</f>
        <v>Good</v>
      </c>
      <c r="P792" s="27" t="str" cm="1">
        <f t="array" ref="P792">_xlfn.IFS(
AND(F792&gt;=750,H792&lt;=2),"Low Risk",
AND(F792&gt;=700,H792&lt;=5),"Medium Risk",
TRUE,"High Risk"
)</f>
        <v>High Risk</v>
      </c>
      <c r="Q792" s="5"/>
      <c r="R792" s="5"/>
      <c r="S792" s="5"/>
      <c r="T792" s="5"/>
      <c r="U792" s="5"/>
      <c r="V792" s="5"/>
      <c r="W792" s="5"/>
      <c r="X792" s="5"/>
      <c r="Y792" s="5"/>
    </row>
    <row r="793" spans="1:25" ht="15.75" customHeight="1" x14ac:dyDescent="0.25">
      <c r="A793" s="2">
        <v>44045</v>
      </c>
      <c r="B793" s="3">
        <v>33677</v>
      </c>
      <c r="C793" s="4" t="s">
        <v>28</v>
      </c>
      <c r="D793" s="4" t="str">
        <f t="shared" si="24"/>
        <v>Growth</v>
      </c>
      <c r="E793" s="4" t="str">
        <f t="shared" si="25"/>
        <v>Director</v>
      </c>
      <c r="F793" s="13">
        <v>782</v>
      </c>
      <c r="G793" s="13">
        <v>4</v>
      </c>
      <c r="H793" s="13">
        <v>6</v>
      </c>
      <c r="I793" s="2">
        <v>33809</v>
      </c>
      <c r="J793" s="15">
        <v>821477</v>
      </c>
      <c r="K793" s="4" t="s">
        <v>18</v>
      </c>
      <c r="L793" s="27">
        <f t="shared" si="26"/>
        <v>1992</v>
      </c>
      <c r="M793" s="27">
        <f t="shared" si="27"/>
        <v>8</v>
      </c>
      <c r="N793" s="27">
        <f t="shared" ca="1" si="28"/>
        <v>34</v>
      </c>
      <c r="O793" s="27" t="str" cm="1">
        <f t="array" ref="O793">_xlfn.IFS($F793&gt;=750,"Excellent",$F793&gt;=700,"Good",$F793&gt;=650,"Moderate",
$F793&lt;650,"Risky"
)</f>
        <v>Excellent</v>
      </c>
      <c r="P793" s="27" t="str" cm="1">
        <f t="array" ref="P793">_xlfn.IFS(
AND(F793&gt;=750,H793&lt;=2),"Low Risk",
AND(F793&gt;=700,H793&lt;=5),"Medium Risk",
TRUE,"High Risk"
)</f>
        <v>High Risk</v>
      </c>
      <c r="Q793" s="5"/>
      <c r="R793" s="5"/>
      <c r="S793" s="5"/>
      <c r="T793" s="5"/>
      <c r="U793" s="5"/>
      <c r="V793" s="5"/>
      <c r="W793" s="5"/>
      <c r="X793" s="5"/>
      <c r="Y793" s="5"/>
    </row>
    <row r="794" spans="1:25" ht="15.75" customHeight="1" x14ac:dyDescent="0.25">
      <c r="A794" s="2">
        <v>44008</v>
      </c>
      <c r="B794" s="3">
        <v>58063</v>
      </c>
      <c r="C794" s="4" t="s">
        <v>38</v>
      </c>
      <c r="D794" s="4" t="str">
        <f t="shared" si="24"/>
        <v>Finance</v>
      </c>
      <c r="E794" s="4" t="str">
        <f t="shared" si="25"/>
        <v>Manager</v>
      </c>
      <c r="F794" s="13">
        <v>765</v>
      </c>
      <c r="G794" s="13">
        <v>2</v>
      </c>
      <c r="H794" s="13">
        <v>9</v>
      </c>
      <c r="I794" s="2">
        <v>30256</v>
      </c>
      <c r="J794" s="15">
        <v>657984</v>
      </c>
      <c r="K794" s="4" t="s">
        <v>18</v>
      </c>
      <c r="L794" s="27">
        <f t="shared" si="26"/>
        <v>1982</v>
      </c>
      <c r="M794" s="27">
        <f t="shared" si="27"/>
        <v>6</v>
      </c>
      <c r="N794" s="27">
        <f t="shared" ca="1" si="28"/>
        <v>44</v>
      </c>
      <c r="O794" s="27" t="str" cm="1">
        <f t="array" ref="O794">_xlfn.IFS($F794&gt;=750,"Excellent",$F794&gt;=700,"Good",$F794&gt;=650,"Moderate",
$F794&lt;650,"Risky"
)</f>
        <v>Excellent</v>
      </c>
      <c r="P794" s="27" t="str" cm="1">
        <f t="array" ref="P794">_xlfn.IFS(
AND(F794&gt;=750,H794&lt;=2),"Low Risk",
AND(F794&gt;=700,H794&lt;=5),"Medium Risk",
TRUE,"High Risk"
)</f>
        <v>High Risk</v>
      </c>
      <c r="Q794" s="5"/>
      <c r="R794" s="5"/>
      <c r="S794" s="5"/>
      <c r="T794" s="5"/>
      <c r="U794" s="5"/>
      <c r="V794" s="5"/>
      <c r="W794" s="5"/>
      <c r="X794" s="5"/>
      <c r="Y794" s="5"/>
    </row>
    <row r="795" spans="1:25" ht="15.75" customHeight="1" x14ac:dyDescent="0.25">
      <c r="A795" s="2">
        <v>44131</v>
      </c>
      <c r="B795" s="3">
        <v>81615</v>
      </c>
      <c r="C795" s="4" t="s">
        <v>15</v>
      </c>
      <c r="D795" s="4" t="str">
        <f t="shared" si="24"/>
        <v>Operation</v>
      </c>
      <c r="E795" s="4" t="str">
        <f t="shared" si="25"/>
        <v>Executive</v>
      </c>
      <c r="F795" s="13">
        <v>712</v>
      </c>
      <c r="G795" s="13">
        <v>3</v>
      </c>
      <c r="H795" s="13">
        <v>2</v>
      </c>
      <c r="I795" s="2">
        <v>29945</v>
      </c>
      <c r="J795" s="15">
        <v>679377</v>
      </c>
      <c r="K795" s="4" t="s">
        <v>21</v>
      </c>
      <c r="L795" s="27">
        <f t="shared" si="26"/>
        <v>1981</v>
      </c>
      <c r="M795" s="27">
        <f t="shared" si="27"/>
        <v>10</v>
      </c>
      <c r="N795" s="27">
        <f t="shared" ca="1" si="28"/>
        <v>45</v>
      </c>
      <c r="O795" s="27" t="str" cm="1">
        <f t="array" ref="O795">_xlfn.IFS($F795&gt;=750,"Excellent",$F795&gt;=700,"Good",$F795&gt;=650,"Moderate",
$F795&lt;650,"Risky"
)</f>
        <v>Good</v>
      </c>
      <c r="P795" s="27" t="str" cm="1">
        <f t="array" ref="P795">_xlfn.IFS(
AND(F795&gt;=750,H795&lt;=2),"Low Risk",
AND(F795&gt;=700,H795&lt;=5),"Medium Risk",
TRUE,"High Risk"
)</f>
        <v>Medium Risk</v>
      </c>
      <c r="Q795" s="5"/>
      <c r="R795" s="5"/>
      <c r="S795" s="5"/>
      <c r="T795" s="5"/>
      <c r="U795" s="5"/>
      <c r="V795" s="5"/>
      <c r="W795" s="5"/>
      <c r="X795" s="5"/>
      <c r="Y795" s="5"/>
    </row>
    <row r="796" spans="1:25" ht="15.75" customHeight="1" x14ac:dyDescent="0.25">
      <c r="A796" s="2">
        <v>43989</v>
      </c>
      <c r="B796" s="3">
        <v>20244</v>
      </c>
      <c r="C796" s="4" t="s">
        <v>35</v>
      </c>
      <c r="D796" s="4" t="str">
        <f t="shared" si="24"/>
        <v>Growth</v>
      </c>
      <c r="E796" s="4" t="str">
        <f t="shared" si="25"/>
        <v>Intern</v>
      </c>
      <c r="F796" s="13">
        <v>767</v>
      </c>
      <c r="G796" s="13">
        <v>1</v>
      </c>
      <c r="H796" s="13">
        <v>10</v>
      </c>
      <c r="I796" s="2">
        <v>33963</v>
      </c>
      <c r="J796" s="15">
        <v>962286</v>
      </c>
      <c r="K796" s="4" t="s">
        <v>18</v>
      </c>
      <c r="L796" s="27">
        <f t="shared" si="26"/>
        <v>1992</v>
      </c>
      <c r="M796" s="27">
        <f t="shared" si="27"/>
        <v>6</v>
      </c>
      <c r="N796" s="27">
        <f t="shared" ca="1" si="28"/>
        <v>34</v>
      </c>
      <c r="O796" s="27" t="str" cm="1">
        <f t="array" ref="O796">_xlfn.IFS($F796&gt;=750,"Excellent",$F796&gt;=700,"Good",$F796&gt;=650,"Moderate",
$F796&lt;650,"Risky"
)</f>
        <v>Excellent</v>
      </c>
      <c r="P796" s="27" t="str" cm="1">
        <f t="array" ref="P796">_xlfn.IFS(
AND(F796&gt;=750,H796&lt;=2),"Low Risk",
AND(F796&gt;=700,H796&lt;=5),"Medium Risk",
TRUE,"High Risk"
)</f>
        <v>High Risk</v>
      </c>
      <c r="Q796" s="5"/>
      <c r="R796" s="5"/>
      <c r="S796" s="5"/>
      <c r="T796" s="5"/>
      <c r="U796" s="5"/>
      <c r="V796" s="5"/>
      <c r="W796" s="5"/>
      <c r="X796" s="5"/>
      <c r="Y796" s="5"/>
    </row>
    <row r="797" spans="1:25" ht="15.75" customHeight="1" x14ac:dyDescent="0.25">
      <c r="A797" s="2">
        <v>43962</v>
      </c>
      <c r="B797" s="3">
        <v>97648</v>
      </c>
      <c r="C797" s="4" t="s">
        <v>17</v>
      </c>
      <c r="D797" s="4" t="str">
        <f t="shared" si="24"/>
        <v>Growth</v>
      </c>
      <c r="E797" s="4" t="str">
        <f t="shared" si="25"/>
        <v>Manager</v>
      </c>
      <c r="F797" s="13">
        <v>775</v>
      </c>
      <c r="G797" s="13">
        <v>3</v>
      </c>
      <c r="H797" s="13">
        <v>9</v>
      </c>
      <c r="I797" s="2">
        <v>33174</v>
      </c>
      <c r="J797" s="15">
        <v>860215</v>
      </c>
      <c r="K797" s="4" t="s">
        <v>21</v>
      </c>
      <c r="L797" s="27">
        <f t="shared" si="26"/>
        <v>1990</v>
      </c>
      <c r="M797" s="27">
        <f t="shared" si="27"/>
        <v>5</v>
      </c>
      <c r="N797" s="27">
        <f t="shared" ca="1" si="28"/>
        <v>36</v>
      </c>
      <c r="O797" s="27" t="str" cm="1">
        <f t="array" ref="O797">_xlfn.IFS($F797&gt;=750,"Excellent",$F797&gt;=700,"Good",$F797&gt;=650,"Moderate",
$F797&lt;650,"Risky"
)</f>
        <v>Excellent</v>
      </c>
      <c r="P797" s="27" t="str" cm="1">
        <f t="array" ref="P797">_xlfn.IFS(
AND(F797&gt;=750,H797&lt;=2),"Low Risk",
AND(F797&gt;=700,H797&lt;=5),"Medium Risk",
TRUE,"High Risk"
)</f>
        <v>High Risk</v>
      </c>
      <c r="Q797" s="5"/>
      <c r="R797" s="5"/>
      <c r="S797" s="5"/>
      <c r="T797" s="5"/>
      <c r="U797" s="5"/>
      <c r="V797" s="5"/>
      <c r="W797" s="5"/>
      <c r="X797" s="5"/>
      <c r="Y797" s="5"/>
    </row>
    <row r="798" spans="1:25" ht="15.75" customHeight="1" x14ac:dyDescent="0.25">
      <c r="A798" s="2">
        <v>44051</v>
      </c>
      <c r="B798" s="3">
        <v>50647</v>
      </c>
      <c r="C798" s="4" t="s">
        <v>20</v>
      </c>
      <c r="D798" s="4" t="str">
        <f t="shared" si="24"/>
        <v>Operation</v>
      </c>
      <c r="E798" s="4" t="str">
        <f t="shared" si="25"/>
        <v>Manager</v>
      </c>
      <c r="F798" s="13">
        <v>753</v>
      </c>
      <c r="G798" s="13">
        <v>5</v>
      </c>
      <c r="H798" s="13">
        <v>2</v>
      </c>
      <c r="I798" s="2">
        <v>31077</v>
      </c>
      <c r="J798" s="15">
        <v>522681</v>
      </c>
      <c r="K798" s="4" t="s">
        <v>18</v>
      </c>
      <c r="L798" s="27">
        <f t="shared" si="26"/>
        <v>1985</v>
      </c>
      <c r="M798" s="27">
        <f t="shared" si="27"/>
        <v>8</v>
      </c>
      <c r="N798" s="27">
        <f t="shared" ca="1" si="28"/>
        <v>41</v>
      </c>
      <c r="O798" s="27" t="str" cm="1">
        <f t="array" ref="O798">_xlfn.IFS($F798&gt;=750,"Excellent",$F798&gt;=700,"Good",$F798&gt;=650,"Moderate",
$F798&lt;650,"Risky"
)</f>
        <v>Excellent</v>
      </c>
      <c r="P798" s="27" t="str" cm="1">
        <f t="array" ref="P798">_xlfn.IFS(
AND(F798&gt;=750,H798&lt;=2),"Low Risk",
AND(F798&gt;=700,H798&lt;=5),"Medium Risk",
TRUE,"High Risk"
)</f>
        <v>Low Risk</v>
      </c>
      <c r="Q798" s="5"/>
      <c r="R798" s="5"/>
      <c r="S798" s="5"/>
      <c r="T798" s="5"/>
      <c r="U798" s="5"/>
      <c r="V798" s="5"/>
      <c r="W798" s="5"/>
      <c r="X798" s="5"/>
      <c r="Y798" s="5"/>
    </row>
    <row r="799" spans="1:25" ht="15.75" customHeight="1" x14ac:dyDescent="0.25">
      <c r="A799" s="2">
        <v>43856</v>
      </c>
      <c r="B799" s="3">
        <v>13236</v>
      </c>
      <c r="C799" s="4" t="s">
        <v>32</v>
      </c>
      <c r="D799" s="4" t="str">
        <f t="shared" si="24"/>
        <v>Finance</v>
      </c>
      <c r="E799" s="4" t="str">
        <f t="shared" si="25"/>
        <v>Executive</v>
      </c>
      <c r="F799" s="13">
        <v>728</v>
      </c>
      <c r="G799" s="13">
        <v>2</v>
      </c>
      <c r="H799" s="13">
        <v>3</v>
      </c>
      <c r="I799" s="2">
        <v>32176</v>
      </c>
      <c r="J799" s="15">
        <v>555277</v>
      </c>
      <c r="K799" s="4" t="s">
        <v>14</v>
      </c>
      <c r="L799" s="27">
        <f t="shared" si="26"/>
        <v>1988</v>
      </c>
      <c r="M799" s="27">
        <f t="shared" si="27"/>
        <v>1</v>
      </c>
      <c r="N799" s="27">
        <f t="shared" ca="1" si="28"/>
        <v>38</v>
      </c>
      <c r="O799" s="27" t="str" cm="1">
        <f t="array" ref="O799">_xlfn.IFS($F799&gt;=750,"Excellent",$F799&gt;=700,"Good",$F799&gt;=650,"Moderate",
$F799&lt;650,"Risky"
)</f>
        <v>Good</v>
      </c>
      <c r="P799" s="27" t="str" cm="1">
        <f t="array" ref="P799">_xlfn.IFS(
AND(F799&gt;=750,H799&lt;=2),"Low Risk",
AND(F799&gt;=700,H799&lt;=5),"Medium Risk",
TRUE,"High Risk"
)</f>
        <v>Medium Risk</v>
      </c>
      <c r="Q799" s="5"/>
      <c r="R799" s="5"/>
      <c r="S799" s="5"/>
      <c r="T799" s="5"/>
      <c r="U799" s="5"/>
      <c r="V799" s="5"/>
      <c r="W799" s="5"/>
      <c r="X799" s="5"/>
      <c r="Y799" s="5"/>
    </row>
    <row r="800" spans="1:25" ht="15.75" customHeight="1" x14ac:dyDescent="0.25">
      <c r="A800" s="2">
        <v>44018</v>
      </c>
      <c r="B800" s="3">
        <v>61444</v>
      </c>
      <c r="C800" s="4" t="s">
        <v>23</v>
      </c>
      <c r="D800" s="4" t="str">
        <f t="shared" si="24"/>
        <v>Marketing</v>
      </c>
      <c r="E800" s="4" t="str">
        <f t="shared" si="25"/>
        <v>Intern</v>
      </c>
      <c r="F800" s="13">
        <v>783</v>
      </c>
      <c r="G800" s="13">
        <v>1</v>
      </c>
      <c r="H800" s="13">
        <v>2</v>
      </c>
      <c r="I800" s="2">
        <v>30644</v>
      </c>
      <c r="J800" s="15">
        <v>857148</v>
      </c>
      <c r="K800" s="4" t="s">
        <v>14</v>
      </c>
      <c r="L800" s="27">
        <f t="shared" si="26"/>
        <v>1983</v>
      </c>
      <c r="M800" s="27">
        <f t="shared" si="27"/>
        <v>7</v>
      </c>
      <c r="N800" s="27">
        <f t="shared" ca="1" si="28"/>
        <v>43</v>
      </c>
      <c r="O800" s="27" t="str" cm="1">
        <f t="array" ref="O800">_xlfn.IFS($F800&gt;=750,"Excellent",$F800&gt;=700,"Good",$F800&gt;=650,"Moderate",
$F800&lt;650,"Risky"
)</f>
        <v>Excellent</v>
      </c>
      <c r="P800" s="27" t="str" cm="1">
        <f t="array" ref="P800">_xlfn.IFS(
AND(F800&gt;=750,H800&lt;=2),"Low Risk",
AND(F800&gt;=700,H800&lt;=5),"Medium Risk",
TRUE,"High Risk"
)</f>
        <v>Low Risk</v>
      </c>
      <c r="Q800" s="5"/>
      <c r="R800" s="5"/>
      <c r="S800" s="5"/>
      <c r="T800" s="5"/>
      <c r="U800" s="5"/>
      <c r="V800" s="5"/>
      <c r="W800" s="5"/>
      <c r="X800" s="5"/>
      <c r="Y800" s="5"/>
    </row>
    <row r="801" spans="1:25" ht="15.75" customHeight="1" x14ac:dyDescent="0.25">
      <c r="A801" s="2">
        <v>44004</v>
      </c>
      <c r="B801" s="3">
        <v>26611</v>
      </c>
      <c r="C801" s="4" t="s">
        <v>23</v>
      </c>
      <c r="D801" s="4" t="str">
        <f t="shared" si="24"/>
        <v>Marketing</v>
      </c>
      <c r="E801" s="4" t="str">
        <f t="shared" si="25"/>
        <v>Intern</v>
      </c>
      <c r="F801" s="13">
        <v>726</v>
      </c>
      <c r="G801" s="13">
        <v>5</v>
      </c>
      <c r="H801" s="13">
        <v>3</v>
      </c>
      <c r="I801" s="2">
        <v>29721</v>
      </c>
      <c r="J801" s="15">
        <v>870214</v>
      </c>
      <c r="K801" s="4" t="s">
        <v>18</v>
      </c>
      <c r="L801" s="27">
        <f t="shared" si="26"/>
        <v>1981</v>
      </c>
      <c r="M801" s="27">
        <f t="shared" si="27"/>
        <v>6</v>
      </c>
      <c r="N801" s="27">
        <f t="shared" ca="1" si="28"/>
        <v>45</v>
      </c>
      <c r="O801" s="27" t="str" cm="1">
        <f t="array" ref="O801">_xlfn.IFS($F801&gt;=750,"Excellent",$F801&gt;=700,"Good",$F801&gt;=650,"Moderate",
$F801&lt;650,"Risky"
)</f>
        <v>Good</v>
      </c>
      <c r="P801" s="27" t="str" cm="1">
        <f t="array" ref="P801">_xlfn.IFS(
AND(F801&gt;=750,H801&lt;=2),"Low Risk",
AND(F801&gt;=700,H801&lt;=5),"Medium Risk",
TRUE,"High Risk"
)</f>
        <v>Medium Risk</v>
      </c>
      <c r="Q801" s="5"/>
      <c r="R801" s="5"/>
      <c r="S801" s="5"/>
      <c r="T801" s="5"/>
      <c r="U801" s="5"/>
      <c r="V801" s="5"/>
      <c r="W801" s="5"/>
      <c r="X801" s="5"/>
      <c r="Y801" s="5"/>
    </row>
    <row r="802" spans="1:25" ht="15.75" customHeight="1" x14ac:dyDescent="0.25">
      <c r="A802" s="2">
        <v>44023</v>
      </c>
      <c r="B802" s="3">
        <v>91537</v>
      </c>
      <c r="C802" s="4" t="s">
        <v>33</v>
      </c>
      <c r="D802" s="4" t="str">
        <f t="shared" si="24"/>
        <v>Sales</v>
      </c>
      <c r="E802" s="4" t="str">
        <f t="shared" si="25"/>
        <v>Executive</v>
      </c>
      <c r="F802" s="13">
        <v>756</v>
      </c>
      <c r="G802" s="13">
        <v>5</v>
      </c>
      <c r="H802" s="13">
        <v>2</v>
      </c>
      <c r="I802" s="2">
        <v>33289</v>
      </c>
      <c r="J802" s="15">
        <v>627376</v>
      </c>
      <c r="K802" s="4" t="s">
        <v>14</v>
      </c>
      <c r="L802" s="27">
        <f t="shared" si="26"/>
        <v>1991</v>
      </c>
      <c r="M802" s="27">
        <f t="shared" si="27"/>
        <v>7</v>
      </c>
      <c r="N802" s="27">
        <f t="shared" ca="1" si="28"/>
        <v>35</v>
      </c>
      <c r="O802" s="27" t="str" cm="1">
        <f t="array" ref="O802">_xlfn.IFS($F802&gt;=750,"Excellent",$F802&gt;=700,"Good",$F802&gt;=650,"Moderate",
$F802&lt;650,"Risky"
)</f>
        <v>Excellent</v>
      </c>
      <c r="P802" s="27" t="str" cm="1">
        <f t="array" ref="P802">_xlfn.IFS(
AND(F802&gt;=750,H802&lt;=2),"Low Risk",
AND(F802&gt;=700,H802&lt;=5),"Medium Risk",
TRUE,"High Risk"
)</f>
        <v>Low Risk</v>
      </c>
      <c r="Q802" s="5"/>
      <c r="R802" s="5"/>
      <c r="S802" s="5"/>
      <c r="T802" s="5"/>
      <c r="U802" s="5"/>
      <c r="V802" s="5"/>
      <c r="W802" s="5"/>
      <c r="X802" s="5"/>
      <c r="Y802" s="5"/>
    </row>
    <row r="803" spans="1:25" ht="15.75" customHeight="1" x14ac:dyDescent="0.25">
      <c r="A803" s="2">
        <v>44128</v>
      </c>
      <c r="B803" s="3">
        <v>32099</v>
      </c>
      <c r="C803" s="4" t="s">
        <v>34</v>
      </c>
      <c r="D803" s="4" t="str">
        <f t="shared" si="24"/>
        <v>Finance</v>
      </c>
      <c r="E803" s="4" t="str">
        <f t="shared" si="25"/>
        <v>Director</v>
      </c>
      <c r="F803" s="13">
        <v>756</v>
      </c>
      <c r="G803" s="13">
        <v>4</v>
      </c>
      <c r="H803" s="13">
        <v>10</v>
      </c>
      <c r="I803" s="2">
        <v>30878</v>
      </c>
      <c r="J803" s="15">
        <v>954359</v>
      </c>
      <c r="K803" s="4" t="s">
        <v>21</v>
      </c>
      <c r="L803" s="27">
        <f t="shared" si="26"/>
        <v>1984</v>
      </c>
      <c r="M803" s="27">
        <f t="shared" si="27"/>
        <v>10</v>
      </c>
      <c r="N803" s="27">
        <f t="shared" ca="1" si="28"/>
        <v>42</v>
      </c>
      <c r="O803" s="27" t="str" cm="1">
        <f t="array" ref="O803">_xlfn.IFS($F803&gt;=750,"Excellent",$F803&gt;=700,"Good",$F803&gt;=650,"Moderate",
$F803&lt;650,"Risky"
)</f>
        <v>Excellent</v>
      </c>
      <c r="P803" s="27" t="str" cm="1">
        <f t="array" ref="P803">_xlfn.IFS(
AND(F803&gt;=750,H803&lt;=2),"Low Risk",
AND(F803&gt;=700,H803&lt;=5),"Medium Risk",
TRUE,"High Risk"
)</f>
        <v>High Risk</v>
      </c>
      <c r="Q803" s="5"/>
      <c r="R803" s="5"/>
      <c r="S803" s="5"/>
      <c r="T803" s="5"/>
      <c r="U803" s="5"/>
      <c r="V803" s="5"/>
      <c r="W803" s="5"/>
      <c r="X803" s="5"/>
      <c r="Y803" s="5"/>
    </row>
    <row r="804" spans="1:25" ht="15.75" customHeight="1" x14ac:dyDescent="0.25">
      <c r="A804" s="2">
        <v>43975</v>
      </c>
      <c r="B804" s="3">
        <v>28619</v>
      </c>
      <c r="C804" s="4" t="s">
        <v>26</v>
      </c>
      <c r="D804" s="4" t="str">
        <f t="shared" si="24"/>
        <v>Strategy</v>
      </c>
      <c r="E804" s="4" t="str">
        <f t="shared" si="25"/>
        <v>Manager</v>
      </c>
      <c r="F804" s="13">
        <v>704</v>
      </c>
      <c r="G804" s="13">
        <v>4</v>
      </c>
      <c r="H804" s="13">
        <v>1</v>
      </c>
      <c r="I804" s="2">
        <v>31759</v>
      </c>
      <c r="J804" s="15">
        <v>646469</v>
      </c>
      <c r="K804" s="4" t="s">
        <v>14</v>
      </c>
      <c r="L804" s="27">
        <f t="shared" si="26"/>
        <v>1986</v>
      </c>
      <c r="M804" s="27">
        <f t="shared" si="27"/>
        <v>5</v>
      </c>
      <c r="N804" s="27">
        <f t="shared" ca="1" si="28"/>
        <v>40</v>
      </c>
      <c r="O804" s="27" t="str" cm="1">
        <f t="array" ref="O804">_xlfn.IFS($F804&gt;=750,"Excellent",$F804&gt;=700,"Good",$F804&gt;=650,"Moderate",
$F804&lt;650,"Risky"
)</f>
        <v>Good</v>
      </c>
      <c r="P804" s="27" t="str" cm="1">
        <f t="array" ref="P804">_xlfn.IFS(
AND(F804&gt;=750,H804&lt;=2),"Low Risk",
AND(F804&gt;=700,H804&lt;=5),"Medium Risk",
TRUE,"High Risk"
)</f>
        <v>Medium Risk</v>
      </c>
      <c r="Q804" s="5"/>
      <c r="R804" s="5"/>
      <c r="S804" s="5"/>
      <c r="T804" s="5"/>
      <c r="U804" s="5"/>
      <c r="V804" s="5"/>
      <c r="W804" s="5"/>
      <c r="X804" s="5"/>
      <c r="Y804" s="5"/>
    </row>
    <row r="805" spans="1:25" ht="15.75" customHeight="1" x14ac:dyDescent="0.25">
      <c r="A805" s="2">
        <v>44055</v>
      </c>
      <c r="B805" s="3">
        <v>20711</v>
      </c>
      <c r="C805" s="4" t="s">
        <v>37</v>
      </c>
      <c r="D805" s="4" t="str">
        <f t="shared" si="24"/>
        <v>Strategy</v>
      </c>
      <c r="E805" s="4" t="str">
        <f t="shared" si="25"/>
        <v>Director</v>
      </c>
      <c r="F805" s="13">
        <v>761</v>
      </c>
      <c r="G805" s="13">
        <v>1</v>
      </c>
      <c r="H805" s="13">
        <v>2</v>
      </c>
      <c r="I805" s="2">
        <v>32288</v>
      </c>
      <c r="J805" s="15">
        <v>826223</v>
      </c>
      <c r="K805" s="4" t="s">
        <v>21</v>
      </c>
      <c r="L805" s="27">
        <f t="shared" si="26"/>
        <v>1988</v>
      </c>
      <c r="M805" s="27">
        <f t="shared" si="27"/>
        <v>8</v>
      </c>
      <c r="N805" s="27">
        <f t="shared" ca="1" si="28"/>
        <v>38</v>
      </c>
      <c r="O805" s="27" t="str" cm="1">
        <f t="array" ref="O805">_xlfn.IFS($F805&gt;=750,"Excellent",$F805&gt;=700,"Good",$F805&gt;=650,"Moderate",
$F805&lt;650,"Risky"
)</f>
        <v>Excellent</v>
      </c>
      <c r="P805" s="27" t="str" cm="1">
        <f t="array" ref="P805">_xlfn.IFS(
AND(F805&gt;=750,H805&lt;=2),"Low Risk",
AND(F805&gt;=700,H805&lt;=5),"Medium Risk",
TRUE,"High Risk"
)</f>
        <v>Low Risk</v>
      </c>
      <c r="Q805" s="5"/>
      <c r="R805" s="5"/>
      <c r="S805" s="5"/>
      <c r="T805" s="5"/>
      <c r="U805" s="5"/>
      <c r="V805" s="5"/>
      <c r="W805" s="5"/>
      <c r="X805" s="5"/>
      <c r="Y805" s="5"/>
    </row>
    <row r="806" spans="1:25" ht="15.75" customHeight="1" x14ac:dyDescent="0.25">
      <c r="A806" s="2">
        <v>44037</v>
      </c>
      <c r="B806" s="3">
        <v>75218</v>
      </c>
      <c r="C806" s="4" t="s">
        <v>24</v>
      </c>
      <c r="D806" s="4" t="str">
        <f t="shared" si="24"/>
        <v>Strategy</v>
      </c>
      <c r="E806" s="4" t="str">
        <f t="shared" si="25"/>
        <v>Intern</v>
      </c>
      <c r="F806" s="13">
        <v>713</v>
      </c>
      <c r="G806" s="13">
        <v>2</v>
      </c>
      <c r="H806" s="13">
        <v>5</v>
      </c>
      <c r="I806" s="2">
        <v>32879</v>
      </c>
      <c r="J806" s="15">
        <v>876627</v>
      </c>
      <c r="K806" s="4" t="s">
        <v>14</v>
      </c>
      <c r="L806" s="27">
        <f t="shared" si="26"/>
        <v>1990</v>
      </c>
      <c r="M806" s="27">
        <f t="shared" si="27"/>
        <v>7</v>
      </c>
      <c r="N806" s="27">
        <f t="shared" ca="1" si="28"/>
        <v>36</v>
      </c>
      <c r="O806" s="27" t="str" cm="1">
        <f t="array" ref="O806">_xlfn.IFS($F806&gt;=750,"Excellent",$F806&gt;=700,"Good",$F806&gt;=650,"Moderate",
$F806&lt;650,"Risky"
)</f>
        <v>Good</v>
      </c>
      <c r="P806" s="27" t="str" cm="1">
        <f t="array" ref="P806">_xlfn.IFS(
AND(F806&gt;=750,H806&lt;=2),"Low Risk",
AND(F806&gt;=700,H806&lt;=5),"Medium Risk",
TRUE,"High Risk"
)</f>
        <v>Medium Risk</v>
      </c>
      <c r="Q806" s="5"/>
      <c r="R806" s="5"/>
      <c r="S806" s="5"/>
      <c r="T806" s="5"/>
      <c r="U806" s="5"/>
      <c r="V806" s="5"/>
      <c r="W806" s="5"/>
      <c r="X806" s="5"/>
      <c r="Y806" s="5"/>
    </row>
    <row r="807" spans="1:25" ht="15.75" customHeight="1" x14ac:dyDescent="0.25">
      <c r="A807" s="2">
        <v>44025</v>
      </c>
      <c r="B807" s="3">
        <v>22308</v>
      </c>
      <c r="C807" s="4" t="s">
        <v>16</v>
      </c>
      <c r="D807" s="4" t="str">
        <f t="shared" si="24"/>
        <v>Marketing</v>
      </c>
      <c r="E807" s="4" t="str">
        <f t="shared" si="25"/>
        <v>Executive</v>
      </c>
      <c r="F807" s="13">
        <v>782</v>
      </c>
      <c r="G807" s="13">
        <v>3</v>
      </c>
      <c r="H807" s="13">
        <v>4</v>
      </c>
      <c r="I807" s="2">
        <v>29641</v>
      </c>
      <c r="J807" s="15">
        <v>695501</v>
      </c>
      <c r="K807" s="4" t="s">
        <v>21</v>
      </c>
      <c r="L807" s="27">
        <f t="shared" si="26"/>
        <v>1981</v>
      </c>
      <c r="M807" s="27">
        <f t="shared" si="27"/>
        <v>7</v>
      </c>
      <c r="N807" s="27">
        <f t="shared" ca="1" si="28"/>
        <v>45</v>
      </c>
      <c r="O807" s="27" t="str" cm="1">
        <f t="array" ref="O807">_xlfn.IFS($F807&gt;=750,"Excellent",$F807&gt;=700,"Good",$F807&gt;=650,"Moderate",
$F807&lt;650,"Risky"
)</f>
        <v>Excellent</v>
      </c>
      <c r="P807" s="27" t="str" cm="1">
        <f t="array" ref="P807">_xlfn.IFS(
AND(F807&gt;=750,H807&lt;=2),"Low Risk",
AND(F807&gt;=700,H807&lt;=5),"Medium Risk",
TRUE,"High Risk"
)</f>
        <v>Medium Risk</v>
      </c>
      <c r="Q807" s="5"/>
      <c r="R807" s="5"/>
      <c r="S807" s="5"/>
      <c r="T807" s="5"/>
      <c r="U807" s="5"/>
      <c r="V807" s="5"/>
      <c r="W807" s="5"/>
      <c r="X807" s="5"/>
      <c r="Y807" s="5"/>
    </row>
    <row r="808" spans="1:25" ht="15.75" customHeight="1" x14ac:dyDescent="0.25">
      <c r="A808" s="2">
        <v>43951</v>
      </c>
      <c r="B808" s="3">
        <v>40929</v>
      </c>
      <c r="C808" s="4" t="s">
        <v>32</v>
      </c>
      <c r="D808" s="4" t="str">
        <f t="shared" si="24"/>
        <v>Finance</v>
      </c>
      <c r="E808" s="4" t="str">
        <f t="shared" si="25"/>
        <v>Executive</v>
      </c>
      <c r="F808" s="13">
        <v>718</v>
      </c>
      <c r="G808" s="13">
        <v>1</v>
      </c>
      <c r="H808" s="13">
        <v>3</v>
      </c>
      <c r="I808" s="2">
        <v>32493</v>
      </c>
      <c r="J808" s="15">
        <v>533267</v>
      </c>
      <c r="K808" s="4" t="s">
        <v>21</v>
      </c>
      <c r="L808" s="27">
        <f t="shared" si="26"/>
        <v>1988</v>
      </c>
      <c r="M808" s="27">
        <f t="shared" si="27"/>
        <v>4</v>
      </c>
      <c r="N808" s="27">
        <f t="shared" ca="1" si="28"/>
        <v>38</v>
      </c>
      <c r="O808" s="27" t="str" cm="1">
        <f t="array" ref="O808">_xlfn.IFS($F808&gt;=750,"Excellent",$F808&gt;=700,"Good",$F808&gt;=650,"Moderate",
$F808&lt;650,"Risky"
)</f>
        <v>Good</v>
      </c>
      <c r="P808" s="27" t="str" cm="1">
        <f t="array" ref="P808">_xlfn.IFS(
AND(F808&gt;=750,H808&lt;=2),"Low Risk",
AND(F808&gt;=700,H808&lt;=5),"Medium Risk",
TRUE,"High Risk"
)</f>
        <v>Medium Risk</v>
      </c>
      <c r="Q808" s="5"/>
      <c r="R808" s="5"/>
      <c r="S808" s="5"/>
      <c r="T808" s="5"/>
      <c r="U808" s="5"/>
      <c r="V808" s="5"/>
      <c r="W808" s="5"/>
      <c r="X808" s="5"/>
      <c r="Y808" s="5"/>
    </row>
    <row r="809" spans="1:25" ht="15.75" customHeight="1" x14ac:dyDescent="0.25">
      <c r="A809" s="2">
        <v>43877</v>
      </c>
      <c r="B809" s="3">
        <v>57724</v>
      </c>
      <c r="C809" s="4" t="s">
        <v>27</v>
      </c>
      <c r="D809" s="4" t="str">
        <f t="shared" si="24"/>
        <v>Operation</v>
      </c>
      <c r="E809" s="4" t="str">
        <f t="shared" si="25"/>
        <v>Intern</v>
      </c>
      <c r="F809" s="13">
        <v>786</v>
      </c>
      <c r="G809" s="13">
        <v>5</v>
      </c>
      <c r="H809" s="13">
        <v>1</v>
      </c>
      <c r="I809" s="2">
        <v>30305</v>
      </c>
      <c r="J809" s="15">
        <v>887534</v>
      </c>
      <c r="K809" s="4" t="s">
        <v>18</v>
      </c>
      <c r="L809" s="27">
        <f t="shared" si="26"/>
        <v>1982</v>
      </c>
      <c r="M809" s="27">
        <f t="shared" si="27"/>
        <v>2</v>
      </c>
      <c r="N809" s="27">
        <f t="shared" ca="1" si="28"/>
        <v>44</v>
      </c>
      <c r="O809" s="27" t="str" cm="1">
        <f t="array" ref="O809">_xlfn.IFS($F809&gt;=750,"Excellent",$F809&gt;=700,"Good",$F809&gt;=650,"Moderate",
$F809&lt;650,"Risky"
)</f>
        <v>Excellent</v>
      </c>
      <c r="P809" s="27" t="str" cm="1">
        <f t="array" ref="P809">_xlfn.IFS(
AND(F809&gt;=750,H809&lt;=2),"Low Risk",
AND(F809&gt;=700,H809&lt;=5),"Medium Risk",
TRUE,"High Risk"
)</f>
        <v>Low Risk</v>
      </c>
      <c r="Q809" s="5"/>
      <c r="R809" s="5"/>
      <c r="S809" s="5"/>
      <c r="T809" s="5"/>
      <c r="U809" s="5"/>
      <c r="V809" s="5"/>
      <c r="W809" s="5"/>
      <c r="X809" s="5"/>
      <c r="Y809" s="5"/>
    </row>
    <row r="810" spans="1:25" ht="15.75" customHeight="1" x14ac:dyDescent="0.25">
      <c r="A810" s="2">
        <v>44082</v>
      </c>
      <c r="B810" s="3">
        <v>97800</v>
      </c>
      <c r="C810" s="4" t="s">
        <v>25</v>
      </c>
      <c r="D810" s="4" t="str">
        <f t="shared" si="24"/>
        <v>Sales</v>
      </c>
      <c r="E810" s="4" t="str">
        <f t="shared" si="25"/>
        <v>Manager</v>
      </c>
      <c r="F810" s="13">
        <v>763</v>
      </c>
      <c r="G810" s="13">
        <v>3</v>
      </c>
      <c r="H810" s="13">
        <v>4</v>
      </c>
      <c r="I810" s="2">
        <v>29873</v>
      </c>
      <c r="J810" s="15">
        <v>861672</v>
      </c>
      <c r="K810" s="4" t="s">
        <v>18</v>
      </c>
      <c r="L810" s="27">
        <f t="shared" si="26"/>
        <v>1981</v>
      </c>
      <c r="M810" s="27">
        <f t="shared" si="27"/>
        <v>9</v>
      </c>
      <c r="N810" s="27">
        <f t="shared" ca="1" si="28"/>
        <v>45</v>
      </c>
      <c r="O810" s="27" t="str" cm="1">
        <f t="array" ref="O810">_xlfn.IFS($F810&gt;=750,"Excellent",$F810&gt;=700,"Good",$F810&gt;=650,"Moderate",
$F810&lt;650,"Risky"
)</f>
        <v>Excellent</v>
      </c>
      <c r="P810" s="27" t="str" cm="1">
        <f t="array" ref="P810">_xlfn.IFS(
AND(F810&gt;=750,H810&lt;=2),"Low Risk",
AND(F810&gt;=700,H810&lt;=5),"Medium Risk",
TRUE,"High Risk"
)</f>
        <v>Medium Risk</v>
      </c>
      <c r="Q810" s="5"/>
      <c r="R810" s="5"/>
      <c r="S810" s="5"/>
      <c r="T810" s="5"/>
      <c r="U810" s="5"/>
      <c r="V810" s="5"/>
      <c r="W810" s="5"/>
      <c r="X810" s="5"/>
      <c r="Y810" s="5"/>
    </row>
    <row r="811" spans="1:25" ht="15.75" customHeight="1" x14ac:dyDescent="0.25">
      <c r="A811" s="2">
        <v>44112</v>
      </c>
      <c r="B811" s="3">
        <v>11126</v>
      </c>
      <c r="C811" s="4" t="s">
        <v>15</v>
      </c>
      <c r="D811" s="4" t="str">
        <f t="shared" si="24"/>
        <v>Operation</v>
      </c>
      <c r="E811" s="4" t="str">
        <f t="shared" si="25"/>
        <v>Executive</v>
      </c>
      <c r="F811" s="13">
        <v>777</v>
      </c>
      <c r="G811" s="13">
        <v>5</v>
      </c>
      <c r="H811" s="13">
        <v>1</v>
      </c>
      <c r="I811" s="2">
        <v>32739</v>
      </c>
      <c r="J811" s="15">
        <v>672213</v>
      </c>
      <c r="K811" s="4" t="s">
        <v>18</v>
      </c>
      <c r="L811" s="27">
        <f t="shared" si="26"/>
        <v>1989</v>
      </c>
      <c r="M811" s="27">
        <f t="shared" si="27"/>
        <v>10</v>
      </c>
      <c r="N811" s="27">
        <f t="shared" ca="1" si="28"/>
        <v>37</v>
      </c>
      <c r="O811" s="27" t="str" cm="1">
        <f t="array" ref="O811">_xlfn.IFS($F811&gt;=750,"Excellent",$F811&gt;=700,"Good",$F811&gt;=650,"Moderate",
$F811&lt;650,"Risky"
)</f>
        <v>Excellent</v>
      </c>
      <c r="P811" s="27" t="str" cm="1">
        <f t="array" ref="P811">_xlfn.IFS(
AND(F811&gt;=750,H811&lt;=2),"Low Risk",
AND(F811&gt;=700,H811&lt;=5),"Medium Risk",
TRUE,"High Risk"
)</f>
        <v>Low Risk</v>
      </c>
      <c r="Q811" s="5"/>
      <c r="R811" s="5"/>
      <c r="S811" s="5"/>
      <c r="T811" s="5"/>
      <c r="U811" s="5"/>
      <c r="V811" s="5"/>
      <c r="W811" s="5"/>
      <c r="X811" s="5"/>
      <c r="Y811" s="5"/>
    </row>
    <row r="812" spans="1:25" ht="15.75" customHeight="1" x14ac:dyDescent="0.25">
      <c r="A812" s="2">
        <v>44055</v>
      </c>
      <c r="B812" s="3">
        <v>94574</v>
      </c>
      <c r="C812" s="4" t="s">
        <v>34</v>
      </c>
      <c r="D812" s="4" t="str">
        <f t="shared" si="24"/>
        <v>Finance</v>
      </c>
      <c r="E812" s="4" t="str">
        <f t="shared" si="25"/>
        <v>Director</v>
      </c>
      <c r="F812" s="13">
        <v>720</v>
      </c>
      <c r="G812" s="13">
        <v>5</v>
      </c>
      <c r="H812" s="13">
        <v>9</v>
      </c>
      <c r="I812" s="2">
        <v>33508</v>
      </c>
      <c r="J812" s="15">
        <v>906952</v>
      </c>
      <c r="K812" s="4" t="s">
        <v>18</v>
      </c>
      <c r="L812" s="27">
        <f t="shared" si="26"/>
        <v>1991</v>
      </c>
      <c r="M812" s="27">
        <f t="shared" si="27"/>
        <v>8</v>
      </c>
      <c r="N812" s="27">
        <f t="shared" ca="1" si="28"/>
        <v>35</v>
      </c>
      <c r="O812" s="27" t="str" cm="1">
        <f t="array" ref="O812">_xlfn.IFS($F812&gt;=750,"Excellent",$F812&gt;=700,"Good",$F812&gt;=650,"Moderate",
$F812&lt;650,"Risky"
)</f>
        <v>Good</v>
      </c>
      <c r="P812" s="27" t="str" cm="1">
        <f t="array" ref="P812">_xlfn.IFS(
AND(F812&gt;=750,H812&lt;=2),"Low Risk",
AND(F812&gt;=700,H812&lt;=5),"Medium Risk",
TRUE,"High Risk"
)</f>
        <v>High Risk</v>
      </c>
      <c r="Q812" s="5"/>
      <c r="R812" s="5"/>
      <c r="S812" s="5"/>
      <c r="T812" s="5"/>
      <c r="U812" s="5"/>
      <c r="V812" s="5"/>
      <c r="W812" s="5"/>
      <c r="X812" s="5"/>
      <c r="Y812" s="5"/>
    </row>
    <row r="813" spans="1:25" ht="15.75" customHeight="1" x14ac:dyDescent="0.25">
      <c r="A813" s="2">
        <v>44092</v>
      </c>
      <c r="B813" s="3">
        <v>16350</v>
      </c>
      <c r="C813" s="4" t="s">
        <v>31</v>
      </c>
      <c r="D813" s="4" t="str">
        <f t="shared" si="24"/>
        <v>Finance</v>
      </c>
      <c r="E813" s="4" t="str">
        <f t="shared" si="25"/>
        <v>Intern</v>
      </c>
      <c r="F813" s="13">
        <v>716</v>
      </c>
      <c r="G813" s="13">
        <v>5</v>
      </c>
      <c r="H813" s="13">
        <v>10</v>
      </c>
      <c r="I813" s="2">
        <v>30795</v>
      </c>
      <c r="J813" s="15">
        <v>821944</v>
      </c>
      <c r="K813" s="4" t="s">
        <v>14</v>
      </c>
      <c r="L813" s="27">
        <f t="shared" si="26"/>
        <v>1984</v>
      </c>
      <c r="M813" s="27">
        <f t="shared" si="27"/>
        <v>9</v>
      </c>
      <c r="N813" s="27">
        <f t="shared" ca="1" si="28"/>
        <v>42</v>
      </c>
      <c r="O813" s="27" t="str" cm="1">
        <f t="array" ref="O813">_xlfn.IFS($F813&gt;=750,"Excellent",$F813&gt;=700,"Good",$F813&gt;=650,"Moderate",
$F813&lt;650,"Risky"
)</f>
        <v>Good</v>
      </c>
      <c r="P813" s="27" t="str" cm="1">
        <f t="array" ref="P813">_xlfn.IFS(
AND(F813&gt;=750,H813&lt;=2),"Low Risk",
AND(F813&gt;=700,H813&lt;=5),"Medium Risk",
TRUE,"High Risk"
)</f>
        <v>High Risk</v>
      </c>
      <c r="Q813" s="5"/>
      <c r="R813" s="5"/>
      <c r="S813" s="5"/>
      <c r="T813" s="5"/>
      <c r="U813" s="5"/>
      <c r="V813" s="5"/>
      <c r="W813" s="5"/>
      <c r="X813" s="5"/>
      <c r="Y813" s="5"/>
    </row>
    <row r="814" spans="1:25" ht="15.75" customHeight="1" x14ac:dyDescent="0.25">
      <c r="A814" s="2">
        <v>43962</v>
      </c>
      <c r="B814" s="3">
        <v>82645</v>
      </c>
      <c r="C814" s="4" t="s">
        <v>38</v>
      </c>
      <c r="D814" s="4" t="str">
        <f t="shared" si="24"/>
        <v>Finance</v>
      </c>
      <c r="E814" s="4" t="str">
        <f t="shared" si="25"/>
        <v>Manager</v>
      </c>
      <c r="F814" s="13">
        <v>743</v>
      </c>
      <c r="G814" s="13">
        <v>3</v>
      </c>
      <c r="H814" s="13">
        <v>1</v>
      </c>
      <c r="I814" s="2">
        <v>29308</v>
      </c>
      <c r="J814" s="15">
        <v>680862</v>
      </c>
      <c r="K814" s="4" t="s">
        <v>18</v>
      </c>
      <c r="L814" s="27">
        <f t="shared" si="26"/>
        <v>1980</v>
      </c>
      <c r="M814" s="27">
        <f t="shared" si="27"/>
        <v>5</v>
      </c>
      <c r="N814" s="27">
        <f t="shared" ca="1" si="28"/>
        <v>46</v>
      </c>
      <c r="O814" s="27" t="str" cm="1">
        <f t="array" ref="O814">_xlfn.IFS($F814&gt;=750,"Excellent",$F814&gt;=700,"Good",$F814&gt;=650,"Moderate",
$F814&lt;650,"Risky"
)</f>
        <v>Good</v>
      </c>
      <c r="P814" s="27" t="str" cm="1">
        <f t="array" ref="P814">_xlfn.IFS(
AND(F814&gt;=750,H814&lt;=2),"Low Risk",
AND(F814&gt;=700,H814&lt;=5),"Medium Risk",
TRUE,"High Risk"
)</f>
        <v>Medium Risk</v>
      </c>
      <c r="Q814" s="5"/>
      <c r="R814" s="5"/>
      <c r="S814" s="5"/>
      <c r="T814" s="5"/>
      <c r="U814" s="5"/>
      <c r="V814" s="5"/>
      <c r="W814" s="5"/>
      <c r="X814" s="5"/>
      <c r="Y814" s="5"/>
    </row>
    <row r="815" spans="1:25" ht="15.75" customHeight="1" x14ac:dyDescent="0.25">
      <c r="A815" s="2">
        <v>44144</v>
      </c>
      <c r="B815" s="3">
        <v>38073</v>
      </c>
      <c r="C815" s="4" t="s">
        <v>37</v>
      </c>
      <c r="D815" s="4" t="str">
        <f t="shared" si="24"/>
        <v>Strategy</v>
      </c>
      <c r="E815" s="4" t="str">
        <f t="shared" si="25"/>
        <v>Director</v>
      </c>
      <c r="F815" s="13">
        <v>798</v>
      </c>
      <c r="G815" s="13">
        <v>3</v>
      </c>
      <c r="H815" s="13">
        <v>3</v>
      </c>
      <c r="I815" s="2">
        <v>31743</v>
      </c>
      <c r="J815" s="15">
        <v>693830</v>
      </c>
      <c r="K815" s="4" t="s">
        <v>21</v>
      </c>
      <c r="L815" s="27">
        <f t="shared" si="26"/>
        <v>1986</v>
      </c>
      <c r="M815" s="27">
        <f t="shared" si="27"/>
        <v>11</v>
      </c>
      <c r="N815" s="27">
        <f t="shared" ca="1" si="28"/>
        <v>40</v>
      </c>
      <c r="O815" s="27" t="str" cm="1">
        <f t="array" ref="O815">_xlfn.IFS($F815&gt;=750,"Excellent",$F815&gt;=700,"Good",$F815&gt;=650,"Moderate",
$F815&lt;650,"Risky"
)</f>
        <v>Excellent</v>
      </c>
      <c r="P815" s="27" t="str" cm="1">
        <f t="array" ref="P815">_xlfn.IFS(
AND(F815&gt;=750,H815&lt;=2),"Low Risk",
AND(F815&gt;=700,H815&lt;=5),"Medium Risk",
TRUE,"High Risk"
)</f>
        <v>Medium Risk</v>
      </c>
      <c r="Q815" s="5"/>
      <c r="R815" s="5"/>
      <c r="S815" s="5"/>
      <c r="T815" s="5"/>
      <c r="U815" s="5"/>
      <c r="V815" s="5"/>
      <c r="W815" s="5"/>
      <c r="X815" s="5"/>
      <c r="Y815" s="5"/>
    </row>
    <row r="816" spans="1:25" ht="15.75" customHeight="1" x14ac:dyDescent="0.25">
      <c r="A816" s="2">
        <v>44160</v>
      </c>
      <c r="B816" s="3">
        <v>14716</v>
      </c>
      <c r="C816" s="4" t="s">
        <v>17</v>
      </c>
      <c r="D816" s="4" t="str">
        <f t="shared" si="24"/>
        <v>Growth</v>
      </c>
      <c r="E816" s="4" t="str">
        <f t="shared" si="25"/>
        <v>Manager</v>
      </c>
      <c r="F816" s="13">
        <v>745</v>
      </c>
      <c r="G816" s="13">
        <v>1</v>
      </c>
      <c r="H816" s="13">
        <v>5</v>
      </c>
      <c r="I816" s="2">
        <v>31667</v>
      </c>
      <c r="J816" s="15">
        <v>777241</v>
      </c>
      <c r="K816" s="4" t="s">
        <v>21</v>
      </c>
      <c r="L816" s="27">
        <f t="shared" si="26"/>
        <v>1986</v>
      </c>
      <c r="M816" s="27">
        <f t="shared" si="27"/>
        <v>11</v>
      </c>
      <c r="N816" s="27">
        <f t="shared" ca="1" si="28"/>
        <v>40</v>
      </c>
      <c r="O816" s="27" t="str" cm="1">
        <f t="array" ref="O816">_xlfn.IFS($F816&gt;=750,"Excellent",$F816&gt;=700,"Good",$F816&gt;=650,"Moderate",
$F816&lt;650,"Risky"
)</f>
        <v>Good</v>
      </c>
      <c r="P816" s="27" t="str" cm="1">
        <f t="array" ref="P816">_xlfn.IFS(
AND(F816&gt;=750,H816&lt;=2),"Low Risk",
AND(F816&gt;=700,H816&lt;=5),"Medium Risk",
TRUE,"High Risk"
)</f>
        <v>Medium Risk</v>
      </c>
      <c r="Q816" s="5"/>
      <c r="R816" s="5"/>
      <c r="S816" s="5"/>
      <c r="T816" s="5"/>
      <c r="U816" s="5"/>
      <c r="V816" s="5"/>
      <c r="W816" s="5"/>
      <c r="X816" s="5"/>
      <c r="Y816" s="5"/>
    </row>
    <row r="817" spans="1:25" ht="15.75" customHeight="1" x14ac:dyDescent="0.25">
      <c r="A817" s="2">
        <v>43978</v>
      </c>
      <c r="B817" s="3">
        <v>81159</v>
      </c>
      <c r="C817" s="4" t="s">
        <v>24</v>
      </c>
      <c r="D817" s="4" t="str">
        <f t="shared" si="24"/>
        <v>Strategy</v>
      </c>
      <c r="E817" s="4" t="str">
        <f t="shared" si="25"/>
        <v>Intern</v>
      </c>
      <c r="F817" s="13">
        <v>763</v>
      </c>
      <c r="G817" s="13">
        <v>3</v>
      </c>
      <c r="H817" s="13">
        <v>9</v>
      </c>
      <c r="I817" s="2">
        <v>30101</v>
      </c>
      <c r="J817" s="15">
        <v>975228</v>
      </c>
      <c r="K817" s="4" t="s">
        <v>14</v>
      </c>
      <c r="L817" s="27">
        <f t="shared" si="26"/>
        <v>1982</v>
      </c>
      <c r="M817" s="27">
        <f t="shared" si="27"/>
        <v>5</v>
      </c>
      <c r="N817" s="27">
        <f t="shared" ca="1" si="28"/>
        <v>44</v>
      </c>
      <c r="O817" s="27" t="str" cm="1">
        <f t="array" ref="O817">_xlfn.IFS($F817&gt;=750,"Excellent",$F817&gt;=700,"Good",$F817&gt;=650,"Moderate",
$F817&lt;650,"Risky"
)</f>
        <v>Excellent</v>
      </c>
      <c r="P817" s="27" t="str" cm="1">
        <f t="array" ref="P817">_xlfn.IFS(
AND(F817&gt;=750,H817&lt;=2),"Low Risk",
AND(F817&gt;=700,H817&lt;=5),"Medium Risk",
TRUE,"High Risk"
)</f>
        <v>High Risk</v>
      </c>
      <c r="Q817" s="5"/>
      <c r="R817" s="5"/>
      <c r="S817" s="5"/>
      <c r="T817" s="5"/>
      <c r="U817" s="5"/>
      <c r="V817" s="5"/>
      <c r="W817" s="5"/>
      <c r="X817" s="5"/>
      <c r="Y817" s="5"/>
    </row>
    <row r="818" spans="1:25" ht="15.75" customHeight="1" x14ac:dyDescent="0.25">
      <c r="A818" s="2">
        <v>44031</v>
      </c>
      <c r="B818" s="3">
        <v>53880</v>
      </c>
      <c r="C818" s="4" t="s">
        <v>24</v>
      </c>
      <c r="D818" s="4" t="str">
        <f t="shared" si="24"/>
        <v>Strategy</v>
      </c>
      <c r="E818" s="4" t="str">
        <f t="shared" si="25"/>
        <v>Intern</v>
      </c>
      <c r="F818" s="13">
        <v>701</v>
      </c>
      <c r="G818" s="13">
        <v>5</v>
      </c>
      <c r="H818" s="13">
        <v>7</v>
      </c>
      <c r="I818" s="2">
        <v>30664</v>
      </c>
      <c r="J818" s="15">
        <v>771214</v>
      </c>
      <c r="K818" s="4" t="s">
        <v>21</v>
      </c>
      <c r="L818" s="27">
        <f t="shared" si="26"/>
        <v>1983</v>
      </c>
      <c r="M818" s="27">
        <f t="shared" si="27"/>
        <v>7</v>
      </c>
      <c r="N818" s="27">
        <f t="shared" ca="1" si="28"/>
        <v>43</v>
      </c>
      <c r="O818" s="27" t="str" cm="1">
        <f t="array" ref="O818">_xlfn.IFS($F818&gt;=750,"Excellent",$F818&gt;=700,"Good",$F818&gt;=650,"Moderate",
$F818&lt;650,"Risky"
)</f>
        <v>Good</v>
      </c>
      <c r="P818" s="27" t="str" cm="1">
        <f t="array" ref="P818">_xlfn.IFS(
AND(F818&gt;=750,H818&lt;=2),"Low Risk",
AND(F818&gt;=700,H818&lt;=5),"Medium Risk",
TRUE,"High Risk"
)</f>
        <v>High Risk</v>
      </c>
      <c r="Q818" s="5"/>
      <c r="R818" s="5"/>
      <c r="S818" s="5"/>
      <c r="T818" s="5"/>
      <c r="U818" s="5"/>
      <c r="V818" s="5"/>
      <c r="W818" s="5"/>
      <c r="X818" s="5"/>
      <c r="Y818" s="5"/>
    </row>
    <row r="819" spans="1:25" ht="15.75" customHeight="1" x14ac:dyDescent="0.25">
      <c r="A819" s="2">
        <v>44008</v>
      </c>
      <c r="B819" s="3">
        <v>99629</v>
      </c>
      <c r="C819" s="4" t="s">
        <v>16</v>
      </c>
      <c r="D819" s="4" t="str">
        <f t="shared" si="24"/>
        <v>Marketing</v>
      </c>
      <c r="E819" s="4" t="str">
        <f t="shared" si="25"/>
        <v>Executive</v>
      </c>
      <c r="F819" s="13">
        <v>740</v>
      </c>
      <c r="G819" s="13">
        <v>2</v>
      </c>
      <c r="H819" s="13">
        <v>10</v>
      </c>
      <c r="I819" s="2">
        <v>33645</v>
      </c>
      <c r="J819" s="15">
        <v>565545</v>
      </c>
      <c r="K819" s="4" t="s">
        <v>18</v>
      </c>
      <c r="L819" s="27">
        <f t="shared" si="26"/>
        <v>1992</v>
      </c>
      <c r="M819" s="27">
        <f t="shared" si="27"/>
        <v>6</v>
      </c>
      <c r="N819" s="27">
        <f t="shared" ca="1" si="28"/>
        <v>34</v>
      </c>
      <c r="O819" s="27" t="str" cm="1">
        <f t="array" ref="O819">_xlfn.IFS($F819&gt;=750,"Excellent",$F819&gt;=700,"Good",$F819&gt;=650,"Moderate",
$F819&lt;650,"Risky"
)</f>
        <v>Good</v>
      </c>
      <c r="P819" s="27" t="str" cm="1">
        <f t="array" ref="P819">_xlfn.IFS(
AND(F819&gt;=750,H819&lt;=2),"Low Risk",
AND(F819&gt;=700,H819&lt;=5),"Medium Risk",
TRUE,"High Risk"
)</f>
        <v>High Risk</v>
      </c>
      <c r="Q819" s="5"/>
      <c r="R819" s="5"/>
      <c r="S819" s="5"/>
      <c r="T819" s="5"/>
      <c r="U819" s="5"/>
      <c r="V819" s="5"/>
      <c r="W819" s="5"/>
      <c r="X819" s="5"/>
      <c r="Y819" s="5"/>
    </row>
    <row r="820" spans="1:25" ht="15.75" customHeight="1" x14ac:dyDescent="0.25">
      <c r="A820" s="2">
        <v>44012</v>
      </c>
      <c r="B820" s="3">
        <v>24234</v>
      </c>
      <c r="C820" s="4" t="s">
        <v>28</v>
      </c>
      <c r="D820" s="4" t="str">
        <f t="shared" si="24"/>
        <v>Growth</v>
      </c>
      <c r="E820" s="4" t="str">
        <f t="shared" si="25"/>
        <v>Director</v>
      </c>
      <c r="F820" s="13">
        <v>747</v>
      </c>
      <c r="G820" s="13">
        <v>3</v>
      </c>
      <c r="H820" s="13">
        <v>10</v>
      </c>
      <c r="I820" s="2">
        <v>33916</v>
      </c>
      <c r="J820" s="15">
        <v>765449</v>
      </c>
      <c r="K820" s="4" t="s">
        <v>14</v>
      </c>
      <c r="L820" s="27">
        <f t="shared" si="26"/>
        <v>1992</v>
      </c>
      <c r="M820" s="27">
        <f t="shared" si="27"/>
        <v>6</v>
      </c>
      <c r="N820" s="27">
        <f t="shared" ca="1" si="28"/>
        <v>34</v>
      </c>
      <c r="O820" s="27" t="str" cm="1">
        <f t="array" ref="O820">_xlfn.IFS($F820&gt;=750,"Excellent",$F820&gt;=700,"Good",$F820&gt;=650,"Moderate",
$F820&lt;650,"Risky"
)</f>
        <v>Good</v>
      </c>
      <c r="P820" s="27" t="str" cm="1">
        <f t="array" ref="P820">_xlfn.IFS(
AND(F820&gt;=750,H820&lt;=2),"Low Risk",
AND(F820&gt;=700,H820&lt;=5),"Medium Risk",
TRUE,"High Risk"
)</f>
        <v>High Risk</v>
      </c>
      <c r="Q820" s="5"/>
      <c r="R820" s="5"/>
      <c r="S820" s="5"/>
      <c r="T820" s="5"/>
      <c r="U820" s="5"/>
      <c r="V820" s="5"/>
      <c r="W820" s="5"/>
      <c r="X820" s="5"/>
      <c r="Y820" s="5"/>
    </row>
    <row r="821" spans="1:25" ht="15.75" customHeight="1" x14ac:dyDescent="0.25">
      <c r="A821" s="2">
        <v>43942</v>
      </c>
      <c r="B821" s="3">
        <v>31539</v>
      </c>
      <c r="C821" s="4" t="s">
        <v>13</v>
      </c>
      <c r="D821" s="4" t="str">
        <f t="shared" si="24"/>
        <v>Marketing</v>
      </c>
      <c r="E821" s="4" t="str">
        <f t="shared" si="25"/>
        <v>Director</v>
      </c>
      <c r="F821" s="13">
        <v>790</v>
      </c>
      <c r="G821" s="13">
        <v>1</v>
      </c>
      <c r="H821" s="13">
        <v>7</v>
      </c>
      <c r="I821" s="2">
        <v>31065</v>
      </c>
      <c r="J821" s="15">
        <v>682740</v>
      </c>
      <c r="K821" s="4" t="s">
        <v>21</v>
      </c>
      <c r="L821" s="27">
        <f t="shared" si="26"/>
        <v>1985</v>
      </c>
      <c r="M821" s="27">
        <f t="shared" si="27"/>
        <v>4</v>
      </c>
      <c r="N821" s="27">
        <f t="shared" ca="1" si="28"/>
        <v>41</v>
      </c>
      <c r="O821" s="27" t="str" cm="1">
        <f t="array" ref="O821">_xlfn.IFS($F821&gt;=750,"Excellent",$F821&gt;=700,"Good",$F821&gt;=650,"Moderate",
$F821&lt;650,"Risky"
)</f>
        <v>Excellent</v>
      </c>
      <c r="P821" s="27" t="str" cm="1">
        <f t="array" ref="P821">_xlfn.IFS(
AND(F821&gt;=750,H821&lt;=2),"Low Risk",
AND(F821&gt;=700,H821&lt;=5),"Medium Risk",
TRUE,"High Risk"
)</f>
        <v>High Risk</v>
      </c>
      <c r="Q821" s="5"/>
      <c r="R821" s="5"/>
      <c r="S821" s="5"/>
      <c r="T821" s="5"/>
      <c r="U821" s="5"/>
      <c r="V821" s="5"/>
      <c r="W821" s="5"/>
      <c r="X821" s="5"/>
      <c r="Y821" s="5"/>
    </row>
    <row r="822" spans="1:25" ht="15.75" customHeight="1" x14ac:dyDescent="0.25">
      <c r="A822" s="2">
        <v>44088</v>
      </c>
      <c r="B822" s="3">
        <v>81827</v>
      </c>
      <c r="C822" s="4" t="s">
        <v>17</v>
      </c>
      <c r="D822" s="4" t="str">
        <f t="shared" si="24"/>
        <v>Growth</v>
      </c>
      <c r="E822" s="4" t="str">
        <f t="shared" si="25"/>
        <v>Manager</v>
      </c>
      <c r="F822" s="13">
        <v>785</v>
      </c>
      <c r="G822" s="13">
        <v>5</v>
      </c>
      <c r="H822" s="13">
        <v>3</v>
      </c>
      <c r="I822" s="2">
        <v>31495</v>
      </c>
      <c r="J822" s="15">
        <v>980836</v>
      </c>
      <c r="K822" s="4" t="s">
        <v>18</v>
      </c>
      <c r="L822" s="27">
        <f t="shared" si="26"/>
        <v>1986</v>
      </c>
      <c r="M822" s="27">
        <f t="shared" si="27"/>
        <v>9</v>
      </c>
      <c r="N822" s="27">
        <f t="shared" ca="1" si="28"/>
        <v>40</v>
      </c>
      <c r="O822" s="27" t="str" cm="1">
        <f t="array" ref="O822">_xlfn.IFS($F822&gt;=750,"Excellent",$F822&gt;=700,"Good",$F822&gt;=650,"Moderate",
$F822&lt;650,"Risky"
)</f>
        <v>Excellent</v>
      </c>
      <c r="P822" s="27" t="str" cm="1">
        <f t="array" ref="P822">_xlfn.IFS(
AND(F822&gt;=750,H822&lt;=2),"Low Risk",
AND(F822&gt;=700,H822&lt;=5),"Medium Risk",
TRUE,"High Risk"
)</f>
        <v>Medium Risk</v>
      </c>
      <c r="Q822" s="5"/>
      <c r="R822" s="5"/>
      <c r="S822" s="5"/>
      <c r="T822" s="5"/>
      <c r="U822" s="5"/>
      <c r="V822" s="5"/>
      <c r="W822" s="5"/>
      <c r="X822" s="5"/>
      <c r="Y822" s="5"/>
    </row>
    <row r="823" spans="1:25" ht="15.75" customHeight="1" x14ac:dyDescent="0.25">
      <c r="A823" s="2">
        <v>44153</v>
      </c>
      <c r="B823" s="3">
        <v>45458</v>
      </c>
      <c r="C823" s="4" t="s">
        <v>37</v>
      </c>
      <c r="D823" s="4" t="str">
        <f t="shared" si="24"/>
        <v>Strategy</v>
      </c>
      <c r="E823" s="4" t="str">
        <f t="shared" si="25"/>
        <v>Director</v>
      </c>
      <c r="F823" s="13">
        <v>755</v>
      </c>
      <c r="G823" s="13">
        <v>1</v>
      </c>
      <c r="H823" s="13">
        <v>7</v>
      </c>
      <c r="I823" s="2">
        <v>32748</v>
      </c>
      <c r="J823" s="15">
        <v>689069</v>
      </c>
      <c r="K823" s="4" t="s">
        <v>21</v>
      </c>
      <c r="L823" s="27">
        <f t="shared" si="26"/>
        <v>1989</v>
      </c>
      <c r="M823" s="27">
        <f t="shared" si="27"/>
        <v>11</v>
      </c>
      <c r="N823" s="27">
        <f t="shared" ca="1" si="28"/>
        <v>37</v>
      </c>
      <c r="O823" s="27" t="str" cm="1">
        <f t="array" ref="O823">_xlfn.IFS($F823&gt;=750,"Excellent",$F823&gt;=700,"Good",$F823&gt;=650,"Moderate",
$F823&lt;650,"Risky"
)</f>
        <v>Excellent</v>
      </c>
      <c r="P823" s="27" t="str" cm="1">
        <f t="array" ref="P823">_xlfn.IFS(
AND(F823&gt;=750,H823&lt;=2),"Low Risk",
AND(F823&gt;=700,H823&lt;=5),"Medium Risk",
TRUE,"High Risk"
)</f>
        <v>High Risk</v>
      </c>
      <c r="Q823" s="5"/>
      <c r="R823" s="5"/>
      <c r="S823" s="5"/>
      <c r="T823" s="5"/>
      <c r="U823" s="5"/>
      <c r="V823" s="5"/>
      <c r="W823" s="5"/>
      <c r="X823" s="5"/>
      <c r="Y823" s="5"/>
    </row>
    <row r="824" spans="1:25" ht="15.75" customHeight="1" x14ac:dyDescent="0.25">
      <c r="A824" s="2">
        <v>43918</v>
      </c>
      <c r="B824" s="3">
        <v>67627</v>
      </c>
      <c r="C824" s="4" t="s">
        <v>20</v>
      </c>
      <c r="D824" s="4" t="str">
        <f t="shared" si="24"/>
        <v>Operation</v>
      </c>
      <c r="E824" s="4" t="str">
        <f t="shared" si="25"/>
        <v>Manager</v>
      </c>
      <c r="F824" s="13">
        <v>729</v>
      </c>
      <c r="G824" s="13">
        <v>3</v>
      </c>
      <c r="H824" s="13">
        <v>1</v>
      </c>
      <c r="I824" s="2">
        <v>33925</v>
      </c>
      <c r="J824" s="15">
        <v>806247</v>
      </c>
      <c r="K824" s="4" t="s">
        <v>18</v>
      </c>
      <c r="L824" s="27">
        <f t="shared" si="26"/>
        <v>1992</v>
      </c>
      <c r="M824" s="27">
        <f t="shared" si="27"/>
        <v>3</v>
      </c>
      <c r="N824" s="27">
        <f t="shared" ca="1" si="28"/>
        <v>34</v>
      </c>
      <c r="O824" s="27" t="str" cm="1">
        <f t="array" ref="O824">_xlfn.IFS($F824&gt;=750,"Excellent",$F824&gt;=700,"Good",$F824&gt;=650,"Moderate",
$F824&lt;650,"Risky"
)</f>
        <v>Good</v>
      </c>
      <c r="P824" s="27" t="str" cm="1">
        <f t="array" ref="P824">_xlfn.IFS(
AND(F824&gt;=750,H824&lt;=2),"Low Risk",
AND(F824&gt;=700,H824&lt;=5),"Medium Risk",
TRUE,"High Risk"
)</f>
        <v>Medium Risk</v>
      </c>
      <c r="Q824" s="5"/>
      <c r="R824" s="5"/>
      <c r="S824" s="5"/>
      <c r="T824" s="5"/>
      <c r="U824" s="5"/>
      <c r="V824" s="5"/>
      <c r="W824" s="5"/>
      <c r="X824" s="5"/>
      <c r="Y824" s="5"/>
    </row>
    <row r="825" spans="1:25" ht="15.75" customHeight="1" x14ac:dyDescent="0.25">
      <c r="A825" s="2">
        <v>44072</v>
      </c>
      <c r="B825" s="3">
        <v>72047</v>
      </c>
      <c r="C825" s="4" t="s">
        <v>19</v>
      </c>
      <c r="D825" s="4" t="str">
        <f t="shared" si="24"/>
        <v>Marketing</v>
      </c>
      <c r="E825" s="4" t="str">
        <f t="shared" si="25"/>
        <v>Manager</v>
      </c>
      <c r="F825" s="13">
        <v>705</v>
      </c>
      <c r="G825" s="13">
        <v>4</v>
      </c>
      <c r="H825" s="13">
        <v>1</v>
      </c>
      <c r="I825" s="2">
        <v>32386</v>
      </c>
      <c r="J825" s="15">
        <v>804174</v>
      </c>
      <c r="K825" s="4" t="s">
        <v>21</v>
      </c>
      <c r="L825" s="27">
        <f t="shared" si="26"/>
        <v>1988</v>
      </c>
      <c r="M825" s="27">
        <f t="shared" si="27"/>
        <v>8</v>
      </c>
      <c r="N825" s="27">
        <f t="shared" ca="1" si="28"/>
        <v>38</v>
      </c>
      <c r="O825" s="27" t="str" cm="1">
        <f t="array" ref="O825">_xlfn.IFS($F825&gt;=750,"Excellent",$F825&gt;=700,"Good",$F825&gt;=650,"Moderate",
$F825&lt;650,"Risky"
)</f>
        <v>Good</v>
      </c>
      <c r="P825" s="27" t="str" cm="1">
        <f t="array" ref="P825">_xlfn.IFS(
AND(F825&gt;=750,H825&lt;=2),"Low Risk",
AND(F825&gt;=700,H825&lt;=5),"Medium Risk",
TRUE,"High Risk"
)</f>
        <v>Medium Risk</v>
      </c>
      <c r="Q825" s="5"/>
      <c r="R825" s="5"/>
      <c r="S825" s="5"/>
      <c r="T825" s="5"/>
      <c r="U825" s="5"/>
      <c r="V825" s="5"/>
      <c r="W825" s="5"/>
      <c r="X825" s="5"/>
      <c r="Y825" s="5"/>
    </row>
    <row r="826" spans="1:25" ht="15.75" customHeight="1" x14ac:dyDescent="0.25">
      <c r="A826" s="2">
        <v>44078</v>
      </c>
      <c r="B826" s="3">
        <v>93155</v>
      </c>
      <c r="C826" s="4" t="s">
        <v>19</v>
      </c>
      <c r="D826" s="4" t="str">
        <f t="shared" si="24"/>
        <v>Marketing</v>
      </c>
      <c r="E826" s="4" t="str">
        <f t="shared" si="25"/>
        <v>Manager</v>
      </c>
      <c r="F826" s="13">
        <v>798</v>
      </c>
      <c r="G826" s="13">
        <v>2</v>
      </c>
      <c r="H826" s="13">
        <v>8</v>
      </c>
      <c r="I826" s="2">
        <v>33352</v>
      </c>
      <c r="J826" s="15">
        <v>966413</v>
      </c>
      <c r="K826" s="4" t="s">
        <v>21</v>
      </c>
      <c r="L826" s="27">
        <f t="shared" si="26"/>
        <v>1991</v>
      </c>
      <c r="M826" s="27">
        <f t="shared" si="27"/>
        <v>9</v>
      </c>
      <c r="N826" s="27">
        <f t="shared" ca="1" si="28"/>
        <v>35</v>
      </c>
      <c r="O826" s="27" t="str" cm="1">
        <f t="array" ref="O826">_xlfn.IFS($F826&gt;=750,"Excellent",$F826&gt;=700,"Good",$F826&gt;=650,"Moderate",
$F826&lt;650,"Risky"
)</f>
        <v>Excellent</v>
      </c>
      <c r="P826" s="27" t="str" cm="1">
        <f t="array" ref="P826">_xlfn.IFS(
AND(F826&gt;=750,H826&lt;=2),"Low Risk",
AND(F826&gt;=700,H826&lt;=5),"Medium Risk",
TRUE,"High Risk"
)</f>
        <v>High Risk</v>
      </c>
      <c r="Q826" s="5"/>
      <c r="R826" s="5"/>
      <c r="S826" s="5"/>
      <c r="T826" s="5"/>
      <c r="U826" s="5"/>
      <c r="V826" s="5"/>
      <c r="W826" s="5"/>
      <c r="X826" s="5"/>
      <c r="Y826" s="5"/>
    </row>
    <row r="827" spans="1:25" ht="15.75" customHeight="1" x14ac:dyDescent="0.25">
      <c r="A827" s="2">
        <v>43902</v>
      </c>
      <c r="B827" s="3">
        <v>80058</v>
      </c>
      <c r="C827" s="4" t="s">
        <v>20</v>
      </c>
      <c r="D827" s="4" t="str">
        <f t="shared" si="24"/>
        <v>Operation</v>
      </c>
      <c r="E827" s="4" t="str">
        <f t="shared" si="25"/>
        <v>Manager</v>
      </c>
      <c r="F827" s="13">
        <v>795</v>
      </c>
      <c r="G827" s="13">
        <v>4</v>
      </c>
      <c r="H827" s="13">
        <v>6</v>
      </c>
      <c r="I827" s="2">
        <v>29279</v>
      </c>
      <c r="J827" s="15">
        <v>617424</v>
      </c>
      <c r="K827" s="4" t="s">
        <v>18</v>
      </c>
      <c r="L827" s="27">
        <f t="shared" si="26"/>
        <v>1980</v>
      </c>
      <c r="M827" s="27">
        <f t="shared" si="27"/>
        <v>3</v>
      </c>
      <c r="N827" s="27">
        <f t="shared" ca="1" si="28"/>
        <v>46</v>
      </c>
      <c r="O827" s="27" t="str" cm="1">
        <f t="array" ref="O827">_xlfn.IFS($F827&gt;=750,"Excellent",$F827&gt;=700,"Good",$F827&gt;=650,"Moderate",
$F827&lt;650,"Risky"
)</f>
        <v>Excellent</v>
      </c>
      <c r="P827" s="27" t="str" cm="1">
        <f t="array" ref="P827">_xlfn.IFS(
AND(F827&gt;=750,H827&lt;=2),"Low Risk",
AND(F827&gt;=700,H827&lt;=5),"Medium Risk",
TRUE,"High Risk"
)</f>
        <v>High Risk</v>
      </c>
      <c r="Q827" s="5"/>
      <c r="R827" s="5"/>
      <c r="S827" s="5"/>
      <c r="T827" s="5"/>
      <c r="U827" s="5"/>
      <c r="V827" s="5"/>
      <c r="W827" s="5"/>
      <c r="X827" s="5"/>
      <c r="Y827" s="5"/>
    </row>
    <row r="828" spans="1:25" ht="15.75" customHeight="1" x14ac:dyDescent="0.25">
      <c r="A828" s="2">
        <v>43900</v>
      </c>
      <c r="B828" s="3">
        <v>79415</v>
      </c>
      <c r="C828" s="4" t="s">
        <v>13</v>
      </c>
      <c r="D828" s="4" t="str">
        <f t="shared" si="24"/>
        <v>Marketing</v>
      </c>
      <c r="E828" s="4" t="str">
        <f t="shared" si="25"/>
        <v>Director</v>
      </c>
      <c r="F828" s="13">
        <v>750</v>
      </c>
      <c r="G828" s="13">
        <v>4</v>
      </c>
      <c r="H828" s="13">
        <v>8</v>
      </c>
      <c r="I828" s="2">
        <v>32526</v>
      </c>
      <c r="J828" s="15">
        <v>539918</v>
      </c>
      <c r="K828" s="4" t="s">
        <v>21</v>
      </c>
      <c r="L828" s="27">
        <f t="shared" si="26"/>
        <v>1989</v>
      </c>
      <c r="M828" s="27">
        <f t="shared" si="27"/>
        <v>3</v>
      </c>
      <c r="N828" s="27">
        <f t="shared" ca="1" si="28"/>
        <v>37</v>
      </c>
      <c r="O828" s="27" t="str" cm="1">
        <f t="array" ref="O828">_xlfn.IFS($F828&gt;=750,"Excellent",$F828&gt;=700,"Good",$F828&gt;=650,"Moderate",
$F828&lt;650,"Risky"
)</f>
        <v>Excellent</v>
      </c>
      <c r="P828" s="27" t="str" cm="1">
        <f t="array" ref="P828">_xlfn.IFS(
AND(F828&gt;=750,H828&lt;=2),"Low Risk",
AND(F828&gt;=700,H828&lt;=5),"Medium Risk",
TRUE,"High Risk"
)</f>
        <v>High Risk</v>
      </c>
      <c r="Q828" s="5"/>
      <c r="R828" s="5"/>
      <c r="S828" s="5"/>
      <c r="T828" s="5"/>
      <c r="U828" s="5"/>
      <c r="V828" s="5"/>
      <c r="W828" s="5"/>
      <c r="X828" s="5"/>
      <c r="Y828" s="5"/>
    </row>
    <row r="829" spans="1:25" ht="15.75" customHeight="1" x14ac:dyDescent="0.25">
      <c r="A829" s="2">
        <v>43905</v>
      </c>
      <c r="B829" s="3">
        <v>46354</v>
      </c>
      <c r="C829" s="4" t="s">
        <v>36</v>
      </c>
      <c r="D829" s="4" t="str">
        <f t="shared" si="24"/>
        <v>Sales</v>
      </c>
      <c r="E829" s="4" t="str">
        <f t="shared" si="25"/>
        <v>Intern</v>
      </c>
      <c r="F829" s="13">
        <v>700</v>
      </c>
      <c r="G829" s="13">
        <v>3</v>
      </c>
      <c r="H829" s="13">
        <v>3</v>
      </c>
      <c r="I829" s="2">
        <v>31617</v>
      </c>
      <c r="J829" s="15">
        <v>598644</v>
      </c>
      <c r="K829" s="4" t="s">
        <v>18</v>
      </c>
      <c r="L829" s="27">
        <f t="shared" si="26"/>
        <v>1986</v>
      </c>
      <c r="M829" s="27">
        <f t="shared" si="27"/>
        <v>3</v>
      </c>
      <c r="N829" s="27">
        <f t="shared" ca="1" si="28"/>
        <v>40</v>
      </c>
      <c r="O829" s="27" t="str" cm="1">
        <f t="array" ref="O829">_xlfn.IFS($F829&gt;=750,"Excellent",$F829&gt;=700,"Good",$F829&gt;=650,"Moderate",
$F829&lt;650,"Risky"
)</f>
        <v>Good</v>
      </c>
      <c r="P829" s="27" t="str" cm="1">
        <f t="array" ref="P829">_xlfn.IFS(
AND(F829&gt;=750,H829&lt;=2),"Low Risk",
AND(F829&gt;=700,H829&lt;=5),"Medium Risk",
TRUE,"High Risk"
)</f>
        <v>Medium Risk</v>
      </c>
      <c r="Q829" s="5"/>
      <c r="R829" s="5"/>
      <c r="S829" s="5"/>
      <c r="T829" s="5"/>
      <c r="U829" s="5"/>
      <c r="V829" s="5"/>
      <c r="W829" s="5"/>
      <c r="X829" s="5"/>
      <c r="Y829" s="5"/>
    </row>
    <row r="830" spans="1:25" ht="15.75" customHeight="1" x14ac:dyDescent="0.25">
      <c r="A830" s="2">
        <v>43946</v>
      </c>
      <c r="B830" s="3">
        <v>12868</v>
      </c>
      <c r="C830" s="4" t="s">
        <v>37</v>
      </c>
      <c r="D830" s="4" t="str">
        <f t="shared" si="24"/>
        <v>Strategy</v>
      </c>
      <c r="E830" s="4" t="str">
        <f t="shared" si="25"/>
        <v>Director</v>
      </c>
      <c r="F830" s="13">
        <v>747</v>
      </c>
      <c r="G830" s="13">
        <v>4</v>
      </c>
      <c r="H830" s="13">
        <v>9</v>
      </c>
      <c r="I830" s="2">
        <v>34470</v>
      </c>
      <c r="J830" s="15">
        <v>624403</v>
      </c>
      <c r="K830" s="4" t="s">
        <v>14</v>
      </c>
      <c r="L830" s="27">
        <f t="shared" si="26"/>
        <v>1994</v>
      </c>
      <c r="M830" s="27">
        <f t="shared" si="27"/>
        <v>4</v>
      </c>
      <c r="N830" s="27">
        <f t="shared" ca="1" si="28"/>
        <v>32</v>
      </c>
      <c r="O830" s="27" t="str" cm="1">
        <f t="array" ref="O830">_xlfn.IFS($F830&gt;=750,"Excellent",$F830&gt;=700,"Good",$F830&gt;=650,"Moderate",
$F830&lt;650,"Risky"
)</f>
        <v>Good</v>
      </c>
      <c r="P830" s="27" t="str" cm="1">
        <f t="array" ref="P830">_xlfn.IFS(
AND(F830&gt;=750,H830&lt;=2),"Low Risk",
AND(F830&gt;=700,H830&lt;=5),"Medium Risk",
TRUE,"High Risk"
)</f>
        <v>High Risk</v>
      </c>
      <c r="Q830" s="5"/>
      <c r="R830" s="5"/>
      <c r="S830" s="5"/>
      <c r="T830" s="5"/>
      <c r="U830" s="5"/>
      <c r="V830" s="5"/>
      <c r="W830" s="5"/>
      <c r="X830" s="5"/>
      <c r="Y830" s="5"/>
    </row>
    <row r="831" spans="1:25" ht="15.75" customHeight="1" x14ac:dyDescent="0.25">
      <c r="A831" s="2">
        <v>44127</v>
      </c>
      <c r="B831" s="3">
        <v>54769</v>
      </c>
      <c r="C831" s="4" t="s">
        <v>20</v>
      </c>
      <c r="D831" s="4" t="str">
        <f t="shared" si="24"/>
        <v>Operation</v>
      </c>
      <c r="E831" s="4" t="str">
        <f t="shared" si="25"/>
        <v>Manager</v>
      </c>
      <c r="F831" s="13">
        <v>732</v>
      </c>
      <c r="G831" s="13">
        <v>2</v>
      </c>
      <c r="H831" s="13">
        <v>3</v>
      </c>
      <c r="I831" s="2">
        <v>30740</v>
      </c>
      <c r="J831" s="15">
        <v>788050</v>
      </c>
      <c r="K831" s="4" t="s">
        <v>21</v>
      </c>
      <c r="L831" s="27">
        <f t="shared" si="26"/>
        <v>1984</v>
      </c>
      <c r="M831" s="27">
        <f t="shared" si="27"/>
        <v>10</v>
      </c>
      <c r="N831" s="27">
        <f t="shared" ca="1" si="28"/>
        <v>42</v>
      </c>
      <c r="O831" s="27" t="str" cm="1">
        <f t="array" ref="O831">_xlfn.IFS($F831&gt;=750,"Excellent",$F831&gt;=700,"Good",$F831&gt;=650,"Moderate",
$F831&lt;650,"Risky"
)</f>
        <v>Good</v>
      </c>
      <c r="P831" s="27" t="str" cm="1">
        <f t="array" ref="P831">_xlfn.IFS(
AND(F831&gt;=750,H831&lt;=2),"Low Risk",
AND(F831&gt;=700,H831&lt;=5),"Medium Risk",
TRUE,"High Risk"
)</f>
        <v>Medium Risk</v>
      </c>
      <c r="Q831" s="5"/>
      <c r="R831" s="5"/>
      <c r="S831" s="5"/>
      <c r="T831" s="5"/>
      <c r="U831" s="5"/>
      <c r="V831" s="5"/>
      <c r="W831" s="5"/>
      <c r="X831" s="5"/>
      <c r="Y831" s="5"/>
    </row>
    <row r="832" spans="1:25" ht="15.75" customHeight="1" x14ac:dyDescent="0.25">
      <c r="A832" s="2">
        <v>43985</v>
      </c>
      <c r="B832" s="3">
        <v>18483</v>
      </c>
      <c r="C832" s="4" t="s">
        <v>24</v>
      </c>
      <c r="D832" s="4" t="str">
        <f t="shared" si="24"/>
        <v>Strategy</v>
      </c>
      <c r="E832" s="4" t="str">
        <f t="shared" si="25"/>
        <v>Intern</v>
      </c>
      <c r="F832" s="13">
        <v>800</v>
      </c>
      <c r="G832" s="13">
        <v>2</v>
      </c>
      <c r="H832" s="13">
        <v>6</v>
      </c>
      <c r="I832" s="2">
        <v>31976</v>
      </c>
      <c r="J832" s="15">
        <v>707675</v>
      </c>
      <c r="K832" s="4" t="s">
        <v>14</v>
      </c>
      <c r="L832" s="27">
        <f t="shared" si="26"/>
        <v>1987</v>
      </c>
      <c r="M832" s="27">
        <f t="shared" si="27"/>
        <v>6</v>
      </c>
      <c r="N832" s="27">
        <f t="shared" ca="1" si="28"/>
        <v>39</v>
      </c>
      <c r="O832" s="27" t="str" cm="1">
        <f t="array" ref="O832">_xlfn.IFS($F832&gt;=750,"Excellent",$F832&gt;=700,"Good",$F832&gt;=650,"Moderate",
$F832&lt;650,"Risky"
)</f>
        <v>Excellent</v>
      </c>
      <c r="P832" s="27" t="str" cm="1">
        <f t="array" ref="P832">_xlfn.IFS(
AND(F832&gt;=750,H832&lt;=2),"Low Risk",
AND(F832&gt;=700,H832&lt;=5),"Medium Risk",
TRUE,"High Risk"
)</f>
        <v>High Risk</v>
      </c>
      <c r="Q832" s="5"/>
      <c r="R832" s="5"/>
      <c r="S832" s="5"/>
      <c r="T832" s="5"/>
      <c r="U832" s="5"/>
      <c r="V832" s="5"/>
      <c r="W832" s="5"/>
      <c r="X832" s="5"/>
      <c r="Y832" s="5"/>
    </row>
    <row r="833" spans="1:25" ht="15.75" customHeight="1" x14ac:dyDescent="0.25">
      <c r="A833" s="2">
        <v>43932</v>
      </c>
      <c r="B833" s="3">
        <v>78797</v>
      </c>
      <c r="C833" s="4" t="s">
        <v>17</v>
      </c>
      <c r="D833" s="4" t="str">
        <f t="shared" si="24"/>
        <v>Growth</v>
      </c>
      <c r="E833" s="4" t="str">
        <f t="shared" si="25"/>
        <v>Manager</v>
      </c>
      <c r="F833" s="13">
        <v>735</v>
      </c>
      <c r="G833" s="13">
        <v>5</v>
      </c>
      <c r="H833" s="13">
        <v>5</v>
      </c>
      <c r="I833" s="2">
        <v>31683</v>
      </c>
      <c r="J833" s="15">
        <v>832627</v>
      </c>
      <c r="K833" s="4" t="s">
        <v>14</v>
      </c>
      <c r="L833" s="27">
        <f t="shared" si="26"/>
        <v>1986</v>
      </c>
      <c r="M833" s="27">
        <f t="shared" si="27"/>
        <v>4</v>
      </c>
      <c r="N833" s="27">
        <f t="shared" ca="1" si="28"/>
        <v>40</v>
      </c>
      <c r="O833" s="27" t="str" cm="1">
        <f t="array" ref="O833">_xlfn.IFS($F833&gt;=750,"Excellent",$F833&gt;=700,"Good",$F833&gt;=650,"Moderate",
$F833&lt;650,"Risky"
)</f>
        <v>Good</v>
      </c>
      <c r="P833" s="27" t="str" cm="1">
        <f t="array" ref="P833">_xlfn.IFS(
AND(F833&gt;=750,H833&lt;=2),"Low Risk",
AND(F833&gt;=700,H833&lt;=5),"Medium Risk",
TRUE,"High Risk"
)</f>
        <v>Medium Risk</v>
      </c>
      <c r="Q833" s="5"/>
      <c r="R833" s="5"/>
      <c r="S833" s="5"/>
      <c r="T833" s="5"/>
      <c r="U833" s="5"/>
      <c r="V833" s="5"/>
      <c r="W833" s="5"/>
      <c r="X833" s="5"/>
      <c r="Y833" s="5"/>
    </row>
    <row r="834" spans="1:25" ht="15.75" customHeight="1" x14ac:dyDescent="0.25">
      <c r="A834" s="2">
        <v>44150</v>
      </c>
      <c r="B834" s="3">
        <v>32940</v>
      </c>
      <c r="C834" s="4" t="s">
        <v>34</v>
      </c>
      <c r="D834" s="4" t="str">
        <f t="shared" si="24"/>
        <v>Finance</v>
      </c>
      <c r="E834" s="4" t="str">
        <f t="shared" si="25"/>
        <v>Director</v>
      </c>
      <c r="F834" s="13">
        <v>765</v>
      </c>
      <c r="G834" s="13">
        <v>1</v>
      </c>
      <c r="H834" s="13">
        <v>2</v>
      </c>
      <c r="I834" s="2">
        <v>31077</v>
      </c>
      <c r="J834" s="15">
        <v>804818</v>
      </c>
      <c r="K834" s="4" t="s">
        <v>14</v>
      </c>
      <c r="L834" s="27">
        <f t="shared" si="26"/>
        <v>1985</v>
      </c>
      <c r="M834" s="27">
        <f t="shared" si="27"/>
        <v>11</v>
      </c>
      <c r="N834" s="27">
        <f t="shared" ca="1" si="28"/>
        <v>41</v>
      </c>
      <c r="O834" s="27" t="str" cm="1">
        <f t="array" ref="O834">_xlfn.IFS($F834&gt;=750,"Excellent",$F834&gt;=700,"Good",$F834&gt;=650,"Moderate",
$F834&lt;650,"Risky"
)</f>
        <v>Excellent</v>
      </c>
      <c r="P834" s="27" t="str" cm="1">
        <f t="array" ref="P834">_xlfn.IFS(
AND(F834&gt;=750,H834&lt;=2),"Low Risk",
AND(F834&gt;=700,H834&lt;=5),"Medium Risk",
TRUE,"High Risk"
)</f>
        <v>Low Risk</v>
      </c>
      <c r="Q834" s="5"/>
      <c r="R834" s="5"/>
      <c r="S834" s="5"/>
      <c r="T834" s="5"/>
      <c r="U834" s="5"/>
      <c r="V834" s="5"/>
      <c r="W834" s="5"/>
      <c r="X834" s="5"/>
      <c r="Y834" s="5"/>
    </row>
    <row r="835" spans="1:25" ht="15.75" customHeight="1" x14ac:dyDescent="0.25">
      <c r="A835" s="2">
        <v>44120</v>
      </c>
      <c r="B835" s="3">
        <v>54381</v>
      </c>
      <c r="C835" s="4" t="s">
        <v>34</v>
      </c>
      <c r="D835" s="4" t="str">
        <f t="shared" si="24"/>
        <v>Finance</v>
      </c>
      <c r="E835" s="4" t="str">
        <f t="shared" si="25"/>
        <v>Director</v>
      </c>
      <c r="F835" s="13">
        <v>798</v>
      </c>
      <c r="G835" s="13">
        <v>2</v>
      </c>
      <c r="H835" s="13">
        <v>2</v>
      </c>
      <c r="I835" s="2">
        <v>31447</v>
      </c>
      <c r="J835" s="15">
        <v>869201</v>
      </c>
      <c r="K835" s="4" t="s">
        <v>18</v>
      </c>
      <c r="L835" s="27">
        <f t="shared" si="26"/>
        <v>1986</v>
      </c>
      <c r="M835" s="27">
        <f t="shared" si="27"/>
        <v>10</v>
      </c>
      <c r="N835" s="27">
        <f t="shared" ref="N835:N898" ca="1" si="29" xml:space="preserve"> YEAR(TODAY()) - $L835</f>
        <v>40</v>
      </c>
      <c r="O835" s="27" t="str" cm="1">
        <f t="array" ref="O835">_xlfn.IFS($F835&gt;=750,"Excellent",$F835&gt;=700,"Good",$F835&gt;=650,"Moderate",
$F835&lt;650,"Risky"
)</f>
        <v>Excellent</v>
      </c>
      <c r="P835" s="27" t="str" cm="1">
        <f t="array" ref="P835">_xlfn.IFS(
AND(F835&gt;=750,H835&lt;=2),"Low Risk",
AND(F835&gt;=700,H835&lt;=5),"Medium Risk",
TRUE,"High Risk"
)</f>
        <v>Low Risk</v>
      </c>
      <c r="Q835" s="5"/>
      <c r="R835" s="5"/>
      <c r="S835" s="5"/>
      <c r="T835" s="5"/>
      <c r="U835" s="5"/>
      <c r="V835" s="5"/>
      <c r="W835" s="5"/>
      <c r="X835" s="5"/>
      <c r="Y835" s="5"/>
    </row>
    <row r="836" spans="1:25" ht="15.75" customHeight="1" x14ac:dyDescent="0.25">
      <c r="A836" s="2">
        <v>44049</v>
      </c>
      <c r="B836" s="3">
        <v>64344</v>
      </c>
      <c r="C836" s="4" t="s">
        <v>33</v>
      </c>
      <c r="D836" s="4" t="str">
        <f t="shared" si="24"/>
        <v>Sales</v>
      </c>
      <c r="E836" s="4" t="str">
        <f t="shared" si="25"/>
        <v>Executive</v>
      </c>
      <c r="F836" s="13">
        <v>701</v>
      </c>
      <c r="G836" s="13">
        <v>2</v>
      </c>
      <c r="H836" s="13">
        <v>10</v>
      </c>
      <c r="I836" s="2">
        <v>30634</v>
      </c>
      <c r="J836" s="15">
        <v>824500</v>
      </c>
      <c r="K836" s="4" t="s">
        <v>18</v>
      </c>
      <c r="L836" s="27">
        <f t="shared" si="26"/>
        <v>1983</v>
      </c>
      <c r="M836" s="27">
        <f t="shared" si="27"/>
        <v>8</v>
      </c>
      <c r="N836" s="27">
        <f t="shared" ca="1" si="29"/>
        <v>43</v>
      </c>
      <c r="O836" s="27" t="str" cm="1">
        <f t="array" ref="O836">_xlfn.IFS($F836&gt;=750,"Excellent",$F836&gt;=700,"Good",$F836&gt;=650,"Moderate",
$F836&lt;650,"Risky"
)</f>
        <v>Good</v>
      </c>
      <c r="P836" s="27" t="str" cm="1">
        <f t="array" ref="P836">_xlfn.IFS(
AND(F836&gt;=750,H836&lt;=2),"Low Risk",
AND(F836&gt;=700,H836&lt;=5),"Medium Risk",
TRUE,"High Risk"
)</f>
        <v>High Risk</v>
      </c>
      <c r="Q836" s="5"/>
      <c r="R836" s="5"/>
      <c r="S836" s="5"/>
      <c r="T836" s="5"/>
      <c r="U836" s="5"/>
      <c r="V836" s="5"/>
      <c r="W836" s="5"/>
      <c r="X836" s="5"/>
      <c r="Y836" s="5"/>
    </row>
    <row r="837" spans="1:25" ht="15.75" customHeight="1" x14ac:dyDescent="0.25">
      <c r="A837" s="2">
        <v>43900</v>
      </c>
      <c r="B837" s="3">
        <v>41689</v>
      </c>
      <c r="C837" s="4" t="s">
        <v>17</v>
      </c>
      <c r="D837" s="4" t="str">
        <f t="shared" si="24"/>
        <v>Growth</v>
      </c>
      <c r="E837" s="4" t="str">
        <f t="shared" si="25"/>
        <v>Manager</v>
      </c>
      <c r="F837" s="13">
        <v>714</v>
      </c>
      <c r="G837" s="13">
        <v>4</v>
      </c>
      <c r="H837" s="13">
        <v>5</v>
      </c>
      <c r="I837" s="2">
        <v>33171</v>
      </c>
      <c r="J837" s="15">
        <v>631899</v>
      </c>
      <c r="K837" s="4" t="s">
        <v>14</v>
      </c>
      <c r="L837" s="27">
        <f t="shared" si="26"/>
        <v>1990</v>
      </c>
      <c r="M837" s="27">
        <f t="shared" si="27"/>
        <v>3</v>
      </c>
      <c r="N837" s="27">
        <f t="shared" ca="1" si="29"/>
        <v>36</v>
      </c>
      <c r="O837" s="27" t="str" cm="1">
        <f t="array" ref="O837">_xlfn.IFS($F837&gt;=750,"Excellent",$F837&gt;=700,"Good",$F837&gt;=650,"Moderate",
$F837&lt;650,"Risky"
)</f>
        <v>Good</v>
      </c>
      <c r="P837" s="27" t="str" cm="1">
        <f t="array" ref="P837">_xlfn.IFS(
AND(F837&gt;=750,H837&lt;=2),"Low Risk",
AND(F837&gt;=700,H837&lt;=5),"Medium Risk",
TRUE,"High Risk"
)</f>
        <v>Medium Risk</v>
      </c>
      <c r="Q837" s="5"/>
      <c r="R837" s="5"/>
      <c r="S837" s="5"/>
      <c r="T837" s="5"/>
      <c r="U837" s="5"/>
      <c r="V837" s="5"/>
      <c r="W837" s="5"/>
      <c r="X837" s="5"/>
      <c r="Y837" s="5"/>
    </row>
    <row r="838" spans="1:25" ht="15.75" customHeight="1" x14ac:dyDescent="0.25">
      <c r="A838" s="2">
        <v>44131</v>
      </c>
      <c r="B838" s="3">
        <v>95894</v>
      </c>
      <c r="C838" s="4" t="s">
        <v>25</v>
      </c>
      <c r="D838" s="4" t="str">
        <f t="shared" si="24"/>
        <v>Sales</v>
      </c>
      <c r="E838" s="4" t="str">
        <f t="shared" si="25"/>
        <v>Manager</v>
      </c>
      <c r="F838" s="13">
        <v>715</v>
      </c>
      <c r="G838" s="13">
        <v>3</v>
      </c>
      <c r="H838" s="13">
        <v>8</v>
      </c>
      <c r="I838" s="2">
        <v>29414</v>
      </c>
      <c r="J838" s="15">
        <v>695967</v>
      </c>
      <c r="K838" s="4" t="s">
        <v>14</v>
      </c>
      <c r="L838" s="27">
        <f t="shared" si="26"/>
        <v>1980</v>
      </c>
      <c r="M838" s="27">
        <f t="shared" si="27"/>
        <v>10</v>
      </c>
      <c r="N838" s="27">
        <f t="shared" ca="1" si="29"/>
        <v>46</v>
      </c>
      <c r="O838" s="27" t="str" cm="1">
        <f t="array" ref="O838">_xlfn.IFS($F838&gt;=750,"Excellent",$F838&gt;=700,"Good",$F838&gt;=650,"Moderate",
$F838&lt;650,"Risky"
)</f>
        <v>Good</v>
      </c>
      <c r="P838" s="27" t="str" cm="1">
        <f t="array" ref="P838">_xlfn.IFS(
AND(F838&gt;=750,H838&lt;=2),"Low Risk",
AND(F838&gt;=700,H838&lt;=5),"Medium Risk",
TRUE,"High Risk"
)</f>
        <v>High Risk</v>
      </c>
      <c r="Q838" s="5"/>
      <c r="R838" s="5"/>
      <c r="S838" s="5"/>
      <c r="T838" s="5"/>
      <c r="U838" s="5"/>
      <c r="V838" s="5"/>
      <c r="W838" s="5"/>
      <c r="X838" s="5"/>
      <c r="Y838" s="5"/>
    </row>
    <row r="839" spans="1:25" ht="15.75" customHeight="1" x14ac:dyDescent="0.25">
      <c r="A839" s="2">
        <v>43894</v>
      </c>
      <c r="B839" s="3">
        <v>35780</v>
      </c>
      <c r="C839" s="4" t="s">
        <v>16</v>
      </c>
      <c r="D839" s="4" t="str">
        <f t="shared" si="24"/>
        <v>Marketing</v>
      </c>
      <c r="E839" s="4" t="str">
        <f t="shared" si="25"/>
        <v>Executive</v>
      </c>
      <c r="F839" s="13">
        <v>763</v>
      </c>
      <c r="G839" s="13">
        <v>1</v>
      </c>
      <c r="H839" s="13">
        <v>7</v>
      </c>
      <c r="I839" s="2">
        <v>29809</v>
      </c>
      <c r="J839" s="15">
        <v>526782</v>
      </c>
      <c r="K839" s="4" t="s">
        <v>14</v>
      </c>
      <c r="L839" s="27">
        <f t="shared" si="26"/>
        <v>1981</v>
      </c>
      <c r="M839" s="27">
        <f t="shared" si="27"/>
        <v>3</v>
      </c>
      <c r="N839" s="27">
        <f t="shared" ca="1" si="29"/>
        <v>45</v>
      </c>
      <c r="O839" s="27" t="str" cm="1">
        <f t="array" ref="O839">_xlfn.IFS($F839&gt;=750,"Excellent",$F839&gt;=700,"Good",$F839&gt;=650,"Moderate",
$F839&lt;650,"Risky"
)</f>
        <v>Excellent</v>
      </c>
      <c r="P839" s="27" t="str" cm="1">
        <f t="array" ref="P839">_xlfn.IFS(
AND(F839&gt;=750,H839&lt;=2),"Low Risk",
AND(F839&gt;=700,H839&lt;=5),"Medium Risk",
TRUE,"High Risk"
)</f>
        <v>High Risk</v>
      </c>
      <c r="Q839" s="5"/>
      <c r="R839" s="5"/>
      <c r="S839" s="5"/>
      <c r="T839" s="5"/>
      <c r="U839" s="5"/>
      <c r="V839" s="5"/>
      <c r="W839" s="5"/>
      <c r="X839" s="5"/>
      <c r="Y839" s="5"/>
    </row>
    <row r="840" spans="1:25" ht="15.75" customHeight="1" x14ac:dyDescent="0.25">
      <c r="A840" s="2">
        <v>44019</v>
      </c>
      <c r="B840" s="3">
        <v>28120</v>
      </c>
      <c r="C840" s="4" t="s">
        <v>16</v>
      </c>
      <c r="D840" s="4" t="str">
        <f t="shared" si="24"/>
        <v>Marketing</v>
      </c>
      <c r="E840" s="4" t="str">
        <f t="shared" si="25"/>
        <v>Executive</v>
      </c>
      <c r="F840" s="13">
        <v>735</v>
      </c>
      <c r="G840" s="13">
        <v>3</v>
      </c>
      <c r="H840" s="13">
        <v>3</v>
      </c>
      <c r="I840" s="2">
        <v>34055</v>
      </c>
      <c r="J840" s="15">
        <v>761956</v>
      </c>
      <c r="K840" s="4" t="s">
        <v>14</v>
      </c>
      <c r="L840" s="27">
        <f t="shared" si="26"/>
        <v>1993</v>
      </c>
      <c r="M840" s="27">
        <f t="shared" si="27"/>
        <v>7</v>
      </c>
      <c r="N840" s="27">
        <f t="shared" ca="1" si="29"/>
        <v>33</v>
      </c>
      <c r="O840" s="27" t="str" cm="1">
        <f t="array" ref="O840">_xlfn.IFS($F840&gt;=750,"Excellent",$F840&gt;=700,"Good",$F840&gt;=650,"Moderate",
$F840&lt;650,"Risky"
)</f>
        <v>Good</v>
      </c>
      <c r="P840" s="27" t="str" cm="1">
        <f t="array" ref="P840">_xlfn.IFS(
AND(F840&gt;=750,H840&lt;=2),"Low Risk",
AND(F840&gt;=700,H840&lt;=5),"Medium Risk",
TRUE,"High Risk"
)</f>
        <v>Medium Risk</v>
      </c>
      <c r="Q840" s="5"/>
      <c r="R840" s="5"/>
      <c r="S840" s="5"/>
      <c r="T840" s="5"/>
      <c r="U840" s="5"/>
      <c r="V840" s="5"/>
      <c r="W840" s="5"/>
      <c r="X840" s="5"/>
      <c r="Y840" s="5"/>
    </row>
    <row r="841" spans="1:25" ht="15.75" customHeight="1" x14ac:dyDescent="0.25">
      <c r="A841" s="2">
        <v>44151</v>
      </c>
      <c r="B841" s="3">
        <v>98400</v>
      </c>
      <c r="C841" s="4" t="s">
        <v>19</v>
      </c>
      <c r="D841" s="4" t="str">
        <f t="shared" si="24"/>
        <v>Marketing</v>
      </c>
      <c r="E841" s="4" t="str">
        <f t="shared" si="25"/>
        <v>Manager</v>
      </c>
      <c r="F841" s="13">
        <v>728</v>
      </c>
      <c r="G841" s="13">
        <v>1</v>
      </c>
      <c r="H841" s="13">
        <v>3</v>
      </c>
      <c r="I841" s="2">
        <v>30365</v>
      </c>
      <c r="J841" s="15">
        <v>928898</v>
      </c>
      <c r="K841" s="4" t="s">
        <v>18</v>
      </c>
      <c r="L841" s="27">
        <f t="shared" si="26"/>
        <v>1983</v>
      </c>
      <c r="M841" s="27">
        <f t="shared" si="27"/>
        <v>11</v>
      </c>
      <c r="N841" s="27">
        <f t="shared" ca="1" si="29"/>
        <v>43</v>
      </c>
      <c r="O841" s="27" t="str" cm="1">
        <f t="array" ref="O841">_xlfn.IFS($F841&gt;=750,"Excellent",$F841&gt;=700,"Good",$F841&gt;=650,"Moderate",
$F841&lt;650,"Risky"
)</f>
        <v>Good</v>
      </c>
      <c r="P841" s="27" t="str" cm="1">
        <f t="array" ref="P841">_xlfn.IFS(
AND(F841&gt;=750,H841&lt;=2),"Low Risk",
AND(F841&gt;=700,H841&lt;=5),"Medium Risk",
TRUE,"High Risk"
)</f>
        <v>Medium Risk</v>
      </c>
      <c r="Q841" s="5"/>
      <c r="R841" s="5"/>
      <c r="S841" s="5"/>
      <c r="T841" s="5"/>
      <c r="U841" s="5"/>
      <c r="V841" s="5"/>
      <c r="W841" s="5"/>
      <c r="X841" s="5"/>
      <c r="Y841" s="5"/>
    </row>
    <row r="842" spans="1:25" ht="15.75" customHeight="1" x14ac:dyDescent="0.25">
      <c r="A842" s="2">
        <v>44019</v>
      </c>
      <c r="B842" s="3">
        <v>39285</v>
      </c>
      <c r="C842" s="4" t="s">
        <v>22</v>
      </c>
      <c r="D842" s="4" t="str">
        <f t="shared" si="24"/>
        <v>Strategy</v>
      </c>
      <c r="E842" s="4" t="str">
        <f t="shared" si="25"/>
        <v>Executive</v>
      </c>
      <c r="F842" s="13">
        <v>800</v>
      </c>
      <c r="G842" s="13">
        <v>5</v>
      </c>
      <c r="H842" s="13">
        <v>1</v>
      </c>
      <c r="I842" s="2">
        <v>29484</v>
      </c>
      <c r="J842" s="15">
        <v>845711</v>
      </c>
      <c r="K842" s="4" t="s">
        <v>14</v>
      </c>
      <c r="L842" s="27">
        <f t="shared" si="26"/>
        <v>1980</v>
      </c>
      <c r="M842" s="27">
        <f t="shared" si="27"/>
        <v>7</v>
      </c>
      <c r="N842" s="27">
        <f t="shared" ca="1" si="29"/>
        <v>46</v>
      </c>
      <c r="O842" s="27" t="str" cm="1">
        <f t="array" ref="O842">_xlfn.IFS($F842&gt;=750,"Excellent",$F842&gt;=700,"Good",$F842&gt;=650,"Moderate",
$F842&lt;650,"Risky"
)</f>
        <v>Excellent</v>
      </c>
      <c r="P842" s="27" t="str" cm="1">
        <f t="array" ref="P842">_xlfn.IFS(
AND(F842&gt;=750,H842&lt;=2),"Low Risk",
AND(F842&gt;=700,H842&lt;=5),"Medium Risk",
TRUE,"High Risk"
)</f>
        <v>Low Risk</v>
      </c>
      <c r="Q842" s="5"/>
      <c r="R842" s="5"/>
      <c r="S842" s="5"/>
      <c r="T842" s="5"/>
      <c r="U842" s="5"/>
      <c r="V842" s="5"/>
      <c r="W842" s="5"/>
      <c r="X842" s="5"/>
      <c r="Y842" s="5"/>
    </row>
    <row r="843" spans="1:25" ht="15.75" customHeight="1" x14ac:dyDescent="0.25">
      <c r="A843" s="2">
        <v>43919</v>
      </c>
      <c r="B843" s="3">
        <v>60601</v>
      </c>
      <c r="C843" s="4" t="s">
        <v>22</v>
      </c>
      <c r="D843" s="4" t="str">
        <f t="shared" si="24"/>
        <v>Strategy</v>
      </c>
      <c r="E843" s="4" t="str">
        <f t="shared" si="25"/>
        <v>Executive</v>
      </c>
      <c r="F843" s="13">
        <v>718</v>
      </c>
      <c r="G843" s="13">
        <v>1</v>
      </c>
      <c r="H843" s="13">
        <v>9</v>
      </c>
      <c r="I843" s="2">
        <v>31507</v>
      </c>
      <c r="J843" s="15">
        <v>659772</v>
      </c>
      <c r="K843" s="4" t="s">
        <v>21</v>
      </c>
      <c r="L843" s="27">
        <f t="shared" si="26"/>
        <v>1986</v>
      </c>
      <c r="M843" s="27">
        <f t="shared" si="27"/>
        <v>3</v>
      </c>
      <c r="N843" s="27">
        <f t="shared" ca="1" si="29"/>
        <v>40</v>
      </c>
      <c r="O843" s="27" t="str" cm="1">
        <f t="array" ref="O843">_xlfn.IFS($F843&gt;=750,"Excellent",$F843&gt;=700,"Good",$F843&gt;=650,"Moderate",
$F843&lt;650,"Risky"
)</f>
        <v>Good</v>
      </c>
      <c r="P843" s="27" t="str" cm="1">
        <f t="array" ref="P843">_xlfn.IFS(
AND(F843&gt;=750,H843&lt;=2),"Low Risk",
AND(F843&gt;=700,H843&lt;=5),"Medium Risk",
TRUE,"High Risk"
)</f>
        <v>High Risk</v>
      </c>
      <c r="Q843" s="5"/>
      <c r="R843" s="5"/>
      <c r="S843" s="5"/>
      <c r="T843" s="5"/>
      <c r="U843" s="5"/>
      <c r="V843" s="5"/>
      <c r="W843" s="5"/>
      <c r="X843" s="5"/>
      <c r="Y843" s="5"/>
    </row>
    <row r="844" spans="1:25" ht="15.75" customHeight="1" x14ac:dyDescent="0.25">
      <c r="A844" s="2">
        <v>43846</v>
      </c>
      <c r="B844" s="3">
        <v>52124</v>
      </c>
      <c r="C844" s="4" t="s">
        <v>24</v>
      </c>
      <c r="D844" s="4" t="str">
        <f t="shared" si="24"/>
        <v>Strategy</v>
      </c>
      <c r="E844" s="4" t="str">
        <f t="shared" si="25"/>
        <v>Intern</v>
      </c>
      <c r="F844" s="13">
        <v>704</v>
      </c>
      <c r="G844" s="13">
        <v>4</v>
      </c>
      <c r="H844" s="13">
        <v>4</v>
      </c>
      <c r="I844" s="2">
        <v>31406</v>
      </c>
      <c r="J844" s="15">
        <v>883451</v>
      </c>
      <c r="K844" s="4" t="s">
        <v>18</v>
      </c>
      <c r="L844" s="27">
        <f t="shared" si="26"/>
        <v>1985</v>
      </c>
      <c r="M844" s="27">
        <f t="shared" si="27"/>
        <v>1</v>
      </c>
      <c r="N844" s="27">
        <f t="shared" ca="1" si="29"/>
        <v>41</v>
      </c>
      <c r="O844" s="27" t="str" cm="1">
        <f t="array" ref="O844">_xlfn.IFS($F844&gt;=750,"Excellent",$F844&gt;=700,"Good",$F844&gt;=650,"Moderate",
$F844&lt;650,"Risky"
)</f>
        <v>Good</v>
      </c>
      <c r="P844" s="27" t="str" cm="1">
        <f t="array" ref="P844">_xlfn.IFS(
AND(F844&gt;=750,H844&lt;=2),"Low Risk",
AND(F844&gt;=700,H844&lt;=5),"Medium Risk",
TRUE,"High Risk"
)</f>
        <v>Medium Risk</v>
      </c>
      <c r="Q844" s="5"/>
      <c r="R844" s="5"/>
      <c r="S844" s="5"/>
      <c r="T844" s="5"/>
      <c r="U844" s="5"/>
      <c r="V844" s="5"/>
      <c r="W844" s="5"/>
      <c r="X844" s="5"/>
      <c r="Y844" s="5"/>
    </row>
    <row r="845" spans="1:25" ht="15.75" customHeight="1" x14ac:dyDescent="0.25">
      <c r="A845" s="2">
        <v>44137</v>
      </c>
      <c r="B845" s="3">
        <v>48906</v>
      </c>
      <c r="C845" s="4" t="s">
        <v>17</v>
      </c>
      <c r="D845" s="4" t="str">
        <f t="shared" si="24"/>
        <v>Growth</v>
      </c>
      <c r="E845" s="4" t="str">
        <f t="shared" si="25"/>
        <v>Manager</v>
      </c>
      <c r="F845" s="13">
        <v>764</v>
      </c>
      <c r="G845" s="13">
        <v>4</v>
      </c>
      <c r="H845" s="13">
        <v>3</v>
      </c>
      <c r="I845" s="2">
        <v>34265</v>
      </c>
      <c r="J845" s="15">
        <v>598402</v>
      </c>
      <c r="K845" s="4" t="s">
        <v>21</v>
      </c>
      <c r="L845" s="27">
        <f t="shared" si="26"/>
        <v>1993</v>
      </c>
      <c r="M845" s="27">
        <f t="shared" si="27"/>
        <v>11</v>
      </c>
      <c r="N845" s="27">
        <f t="shared" ca="1" si="29"/>
        <v>33</v>
      </c>
      <c r="O845" s="27" t="str" cm="1">
        <f t="array" ref="O845">_xlfn.IFS($F845&gt;=750,"Excellent",$F845&gt;=700,"Good",$F845&gt;=650,"Moderate",
$F845&lt;650,"Risky"
)</f>
        <v>Excellent</v>
      </c>
      <c r="P845" s="27" t="str" cm="1">
        <f t="array" ref="P845">_xlfn.IFS(
AND(F845&gt;=750,H845&lt;=2),"Low Risk",
AND(F845&gt;=700,H845&lt;=5),"Medium Risk",
TRUE,"High Risk"
)</f>
        <v>Medium Risk</v>
      </c>
      <c r="Q845" s="5"/>
      <c r="R845" s="5"/>
      <c r="S845" s="5"/>
      <c r="T845" s="5"/>
      <c r="U845" s="5"/>
      <c r="V845" s="5"/>
      <c r="W845" s="5"/>
      <c r="X845" s="5"/>
      <c r="Y845" s="5"/>
    </row>
    <row r="846" spans="1:25" ht="15.75" customHeight="1" x14ac:dyDescent="0.25">
      <c r="A846" s="2">
        <v>43984</v>
      </c>
      <c r="B846" s="3">
        <v>94013</v>
      </c>
      <c r="C846" s="4" t="s">
        <v>35</v>
      </c>
      <c r="D846" s="4" t="str">
        <f t="shared" si="24"/>
        <v>Growth</v>
      </c>
      <c r="E846" s="4" t="str">
        <f t="shared" si="25"/>
        <v>Intern</v>
      </c>
      <c r="F846" s="13">
        <v>746</v>
      </c>
      <c r="G846" s="13">
        <v>5</v>
      </c>
      <c r="H846" s="13">
        <v>3</v>
      </c>
      <c r="I846" s="2">
        <v>32525</v>
      </c>
      <c r="J846" s="15">
        <v>766825</v>
      </c>
      <c r="K846" s="4" t="s">
        <v>18</v>
      </c>
      <c r="L846" s="27">
        <f t="shared" si="26"/>
        <v>1989</v>
      </c>
      <c r="M846" s="27">
        <f t="shared" si="27"/>
        <v>6</v>
      </c>
      <c r="N846" s="27">
        <f t="shared" ca="1" si="29"/>
        <v>37</v>
      </c>
      <c r="O846" s="27" t="str" cm="1">
        <f t="array" ref="O846">_xlfn.IFS($F846&gt;=750,"Excellent",$F846&gt;=700,"Good",$F846&gt;=650,"Moderate",
$F846&lt;650,"Risky"
)</f>
        <v>Good</v>
      </c>
      <c r="P846" s="27" t="str" cm="1">
        <f t="array" ref="P846">_xlfn.IFS(
AND(F846&gt;=750,H846&lt;=2),"Low Risk",
AND(F846&gt;=700,H846&lt;=5),"Medium Risk",
TRUE,"High Risk"
)</f>
        <v>Medium Risk</v>
      </c>
      <c r="Q846" s="5"/>
      <c r="R846" s="5"/>
      <c r="S846" s="5"/>
      <c r="T846" s="5"/>
      <c r="U846" s="5"/>
      <c r="V846" s="5"/>
      <c r="W846" s="5"/>
      <c r="X846" s="5"/>
      <c r="Y846" s="5"/>
    </row>
    <row r="847" spans="1:25" ht="15.75" customHeight="1" x14ac:dyDescent="0.25">
      <c r="A847" s="2">
        <v>44139</v>
      </c>
      <c r="B847" s="3">
        <v>91564</v>
      </c>
      <c r="C847" s="4" t="s">
        <v>23</v>
      </c>
      <c r="D847" s="4" t="str">
        <f t="shared" si="24"/>
        <v>Marketing</v>
      </c>
      <c r="E847" s="4" t="str">
        <f t="shared" si="25"/>
        <v>Intern</v>
      </c>
      <c r="F847" s="13">
        <v>733</v>
      </c>
      <c r="G847" s="13">
        <v>3</v>
      </c>
      <c r="H847" s="13">
        <v>3</v>
      </c>
      <c r="I847" s="2">
        <v>34270</v>
      </c>
      <c r="J847" s="15">
        <v>520185</v>
      </c>
      <c r="K847" s="4" t="s">
        <v>21</v>
      </c>
      <c r="L847" s="27">
        <f t="shared" si="26"/>
        <v>1993</v>
      </c>
      <c r="M847" s="27">
        <f t="shared" si="27"/>
        <v>11</v>
      </c>
      <c r="N847" s="27">
        <f t="shared" ca="1" si="29"/>
        <v>33</v>
      </c>
      <c r="O847" s="27" t="str" cm="1">
        <f t="array" ref="O847">_xlfn.IFS($F847&gt;=750,"Excellent",$F847&gt;=700,"Good",$F847&gt;=650,"Moderate",
$F847&lt;650,"Risky"
)</f>
        <v>Good</v>
      </c>
      <c r="P847" s="27" t="str" cm="1">
        <f t="array" ref="P847">_xlfn.IFS(
AND(F847&gt;=750,H847&lt;=2),"Low Risk",
AND(F847&gt;=700,H847&lt;=5),"Medium Risk",
TRUE,"High Risk"
)</f>
        <v>Medium Risk</v>
      </c>
      <c r="Q847" s="5"/>
      <c r="R847" s="5"/>
      <c r="S847" s="5"/>
      <c r="T847" s="5"/>
      <c r="U847" s="5"/>
      <c r="V847" s="5"/>
      <c r="W847" s="5"/>
      <c r="X847" s="5"/>
      <c r="Y847" s="5"/>
    </row>
    <row r="848" spans="1:25" ht="15.75" customHeight="1" x14ac:dyDescent="0.25">
      <c r="A848" s="2">
        <v>44095</v>
      </c>
      <c r="B848" s="3">
        <v>77571</v>
      </c>
      <c r="C848" s="4" t="s">
        <v>24</v>
      </c>
      <c r="D848" s="4" t="str">
        <f t="shared" si="24"/>
        <v>Strategy</v>
      </c>
      <c r="E848" s="4" t="str">
        <f t="shared" si="25"/>
        <v>Intern</v>
      </c>
      <c r="F848" s="13">
        <v>768</v>
      </c>
      <c r="G848" s="13">
        <v>5</v>
      </c>
      <c r="H848" s="13">
        <v>3</v>
      </c>
      <c r="I848" s="2">
        <v>31253</v>
      </c>
      <c r="J848" s="15">
        <v>652693</v>
      </c>
      <c r="K848" s="4" t="s">
        <v>14</v>
      </c>
      <c r="L848" s="27">
        <f t="shared" si="26"/>
        <v>1985</v>
      </c>
      <c r="M848" s="27">
        <f t="shared" si="27"/>
        <v>9</v>
      </c>
      <c r="N848" s="27">
        <f t="shared" ca="1" si="29"/>
        <v>41</v>
      </c>
      <c r="O848" s="27" t="str" cm="1">
        <f t="array" ref="O848">_xlfn.IFS($F848&gt;=750,"Excellent",$F848&gt;=700,"Good",$F848&gt;=650,"Moderate",
$F848&lt;650,"Risky"
)</f>
        <v>Excellent</v>
      </c>
      <c r="P848" s="27" t="str" cm="1">
        <f t="array" ref="P848">_xlfn.IFS(
AND(F848&gt;=750,H848&lt;=2),"Low Risk",
AND(F848&gt;=700,H848&lt;=5),"Medium Risk",
TRUE,"High Risk"
)</f>
        <v>Medium Risk</v>
      </c>
      <c r="Q848" s="5"/>
      <c r="R848" s="5"/>
      <c r="S848" s="5"/>
      <c r="T848" s="5"/>
      <c r="U848" s="5"/>
      <c r="V848" s="5"/>
      <c r="W848" s="5"/>
      <c r="X848" s="5"/>
      <c r="Y848" s="5"/>
    </row>
    <row r="849" spans="1:25" ht="15.75" customHeight="1" x14ac:dyDescent="0.25">
      <c r="A849" s="2">
        <v>44012</v>
      </c>
      <c r="B849" s="3">
        <v>62920</v>
      </c>
      <c r="C849" s="4" t="s">
        <v>27</v>
      </c>
      <c r="D849" s="4" t="str">
        <f t="shared" si="24"/>
        <v>Operation</v>
      </c>
      <c r="E849" s="4" t="str">
        <f t="shared" si="25"/>
        <v>Intern</v>
      </c>
      <c r="F849" s="13">
        <v>797</v>
      </c>
      <c r="G849" s="13">
        <v>4</v>
      </c>
      <c r="H849" s="13">
        <v>1</v>
      </c>
      <c r="I849" s="2">
        <v>30886</v>
      </c>
      <c r="J849" s="15">
        <v>974604</v>
      </c>
      <c r="K849" s="4" t="s">
        <v>18</v>
      </c>
      <c r="L849" s="27">
        <f t="shared" si="26"/>
        <v>1984</v>
      </c>
      <c r="M849" s="27">
        <f t="shared" si="27"/>
        <v>6</v>
      </c>
      <c r="N849" s="27">
        <f t="shared" ca="1" si="29"/>
        <v>42</v>
      </c>
      <c r="O849" s="27" t="str" cm="1">
        <f t="array" ref="O849">_xlfn.IFS($F849&gt;=750,"Excellent",$F849&gt;=700,"Good",$F849&gt;=650,"Moderate",
$F849&lt;650,"Risky"
)</f>
        <v>Excellent</v>
      </c>
      <c r="P849" s="27" t="str" cm="1">
        <f t="array" ref="P849">_xlfn.IFS(
AND(F849&gt;=750,H849&lt;=2),"Low Risk",
AND(F849&gt;=700,H849&lt;=5),"Medium Risk",
TRUE,"High Risk"
)</f>
        <v>Low Risk</v>
      </c>
      <c r="Q849" s="5"/>
      <c r="R849" s="5"/>
      <c r="S849" s="5"/>
      <c r="T849" s="5"/>
      <c r="U849" s="5"/>
      <c r="V849" s="5"/>
      <c r="W849" s="5"/>
      <c r="X849" s="5"/>
      <c r="Y849" s="5"/>
    </row>
    <row r="850" spans="1:25" ht="15.75" customHeight="1" x14ac:dyDescent="0.25">
      <c r="A850" s="2">
        <v>44081</v>
      </c>
      <c r="B850" s="3">
        <v>51657</v>
      </c>
      <c r="C850" s="4" t="s">
        <v>32</v>
      </c>
      <c r="D850" s="4" t="str">
        <f t="shared" si="24"/>
        <v>Finance</v>
      </c>
      <c r="E850" s="4" t="str">
        <f t="shared" si="25"/>
        <v>Executive</v>
      </c>
      <c r="F850" s="13">
        <v>700</v>
      </c>
      <c r="G850" s="13">
        <v>3</v>
      </c>
      <c r="H850" s="13">
        <v>10</v>
      </c>
      <c r="I850" s="2">
        <v>34373</v>
      </c>
      <c r="J850" s="15">
        <v>652556</v>
      </c>
      <c r="K850" s="4" t="s">
        <v>14</v>
      </c>
      <c r="L850" s="27">
        <f t="shared" si="26"/>
        <v>1994</v>
      </c>
      <c r="M850" s="27">
        <f t="shared" si="27"/>
        <v>9</v>
      </c>
      <c r="N850" s="27">
        <f t="shared" ca="1" si="29"/>
        <v>32</v>
      </c>
      <c r="O850" s="27" t="str" cm="1">
        <f t="array" ref="O850">_xlfn.IFS($F850&gt;=750,"Excellent",$F850&gt;=700,"Good",$F850&gt;=650,"Moderate",
$F850&lt;650,"Risky"
)</f>
        <v>Good</v>
      </c>
      <c r="P850" s="27" t="str" cm="1">
        <f t="array" ref="P850">_xlfn.IFS(
AND(F850&gt;=750,H850&lt;=2),"Low Risk",
AND(F850&gt;=700,H850&lt;=5),"Medium Risk",
TRUE,"High Risk"
)</f>
        <v>High Risk</v>
      </c>
      <c r="Q850" s="5"/>
      <c r="R850" s="5"/>
      <c r="S850" s="5"/>
      <c r="T850" s="5"/>
      <c r="U850" s="5"/>
      <c r="V850" s="5"/>
      <c r="W850" s="5"/>
      <c r="X850" s="5"/>
      <c r="Y850" s="5"/>
    </row>
    <row r="851" spans="1:25" ht="15.75" customHeight="1" x14ac:dyDescent="0.25">
      <c r="A851" s="2">
        <v>44057</v>
      </c>
      <c r="B851" s="3">
        <v>27189</v>
      </c>
      <c r="C851" s="4" t="s">
        <v>22</v>
      </c>
      <c r="D851" s="4" t="str">
        <f t="shared" si="24"/>
        <v>Strategy</v>
      </c>
      <c r="E851" s="4" t="str">
        <f t="shared" si="25"/>
        <v>Executive</v>
      </c>
      <c r="F851" s="13">
        <v>792</v>
      </c>
      <c r="G851" s="13">
        <v>5</v>
      </c>
      <c r="H851" s="13">
        <v>8</v>
      </c>
      <c r="I851" s="2">
        <v>29534</v>
      </c>
      <c r="J851" s="15">
        <v>981713</v>
      </c>
      <c r="K851" s="4" t="s">
        <v>18</v>
      </c>
      <c r="L851" s="27">
        <f t="shared" si="26"/>
        <v>1980</v>
      </c>
      <c r="M851" s="27">
        <f t="shared" si="27"/>
        <v>8</v>
      </c>
      <c r="N851" s="27">
        <f t="shared" ca="1" si="29"/>
        <v>46</v>
      </c>
      <c r="O851" s="27" t="str" cm="1">
        <f t="array" ref="O851">_xlfn.IFS($F851&gt;=750,"Excellent",$F851&gt;=700,"Good",$F851&gt;=650,"Moderate",
$F851&lt;650,"Risky"
)</f>
        <v>Excellent</v>
      </c>
      <c r="P851" s="27" t="str" cm="1">
        <f t="array" ref="P851">_xlfn.IFS(
AND(F851&gt;=750,H851&lt;=2),"Low Risk",
AND(F851&gt;=700,H851&lt;=5),"Medium Risk",
TRUE,"High Risk"
)</f>
        <v>High Risk</v>
      </c>
      <c r="Q851" s="5"/>
      <c r="R851" s="5"/>
      <c r="S851" s="5"/>
      <c r="T851" s="5"/>
      <c r="U851" s="5"/>
      <c r="V851" s="5"/>
      <c r="W851" s="5"/>
      <c r="X851" s="5"/>
      <c r="Y851" s="5"/>
    </row>
    <row r="852" spans="1:25" ht="15.75" customHeight="1" x14ac:dyDescent="0.25">
      <c r="A852" s="2">
        <v>43896</v>
      </c>
      <c r="B852" s="3">
        <v>95814</v>
      </c>
      <c r="C852" s="4" t="s">
        <v>30</v>
      </c>
      <c r="D852" s="4" t="str">
        <f t="shared" si="24"/>
        <v>Operation</v>
      </c>
      <c r="E852" s="4" t="str">
        <f t="shared" si="25"/>
        <v>Director</v>
      </c>
      <c r="F852" s="13">
        <v>780</v>
      </c>
      <c r="G852" s="13">
        <v>3</v>
      </c>
      <c r="H852" s="13">
        <v>7</v>
      </c>
      <c r="I852" s="2">
        <v>29333</v>
      </c>
      <c r="J852" s="15">
        <v>825297</v>
      </c>
      <c r="K852" s="4" t="s">
        <v>18</v>
      </c>
      <c r="L852" s="27">
        <f t="shared" si="26"/>
        <v>1980</v>
      </c>
      <c r="M852" s="27">
        <f t="shared" si="27"/>
        <v>3</v>
      </c>
      <c r="N852" s="27">
        <f t="shared" ca="1" si="29"/>
        <v>46</v>
      </c>
      <c r="O852" s="27" t="str" cm="1">
        <f t="array" ref="O852">_xlfn.IFS($F852&gt;=750,"Excellent",$F852&gt;=700,"Good",$F852&gt;=650,"Moderate",
$F852&lt;650,"Risky"
)</f>
        <v>Excellent</v>
      </c>
      <c r="P852" s="27" t="str" cm="1">
        <f t="array" ref="P852">_xlfn.IFS(
AND(F852&gt;=750,H852&lt;=2),"Low Risk",
AND(F852&gt;=700,H852&lt;=5),"Medium Risk",
TRUE,"High Risk"
)</f>
        <v>High Risk</v>
      </c>
      <c r="Q852" s="5"/>
      <c r="R852" s="5"/>
      <c r="S852" s="5"/>
      <c r="T852" s="5"/>
      <c r="U852" s="5"/>
      <c r="V852" s="5"/>
      <c r="W852" s="5"/>
      <c r="X852" s="5"/>
      <c r="Y852" s="5"/>
    </row>
    <row r="853" spans="1:25" ht="15.75" customHeight="1" x14ac:dyDescent="0.25">
      <c r="A853" s="2">
        <v>43990</v>
      </c>
      <c r="B853" s="3">
        <v>56624</v>
      </c>
      <c r="C853" s="4" t="s">
        <v>15</v>
      </c>
      <c r="D853" s="4" t="str">
        <f t="shared" si="24"/>
        <v>Operation</v>
      </c>
      <c r="E853" s="4" t="str">
        <f t="shared" si="25"/>
        <v>Executive</v>
      </c>
      <c r="F853" s="13">
        <v>732</v>
      </c>
      <c r="G853" s="13">
        <v>4</v>
      </c>
      <c r="H853" s="13">
        <v>9</v>
      </c>
      <c r="I853" s="2">
        <v>30587</v>
      </c>
      <c r="J853" s="15">
        <v>848351</v>
      </c>
      <c r="K853" s="4" t="s">
        <v>21</v>
      </c>
      <c r="L853" s="27">
        <f t="shared" si="26"/>
        <v>1983</v>
      </c>
      <c r="M853" s="27">
        <f t="shared" si="27"/>
        <v>6</v>
      </c>
      <c r="N853" s="27">
        <f t="shared" ca="1" si="29"/>
        <v>43</v>
      </c>
      <c r="O853" s="27" t="str" cm="1">
        <f t="array" ref="O853">_xlfn.IFS($F853&gt;=750,"Excellent",$F853&gt;=700,"Good",$F853&gt;=650,"Moderate",
$F853&lt;650,"Risky"
)</f>
        <v>Good</v>
      </c>
      <c r="P853" s="27" t="str" cm="1">
        <f t="array" ref="P853">_xlfn.IFS(
AND(F853&gt;=750,H853&lt;=2),"Low Risk",
AND(F853&gt;=700,H853&lt;=5),"Medium Risk",
TRUE,"High Risk"
)</f>
        <v>High Risk</v>
      </c>
      <c r="Q853" s="5"/>
      <c r="R853" s="5"/>
      <c r="S853" s="5"/>
      <c r="T853" s="5"/>
      <c r="U853" s="5"/>
      <c r="V853" s="5"/>
      <c r="W853" s="5"/>
      <c r="X853" s="5"/>
      <c r="Y853" s="5"/>
    </row>
    <row r="854" spans="1:25" ht="15.75" customHeight="1" x14ac:dyDescent="0.25">
      <c r="A854" s="2">
        <v>44034</v>
      </c>
      <c r="B854" s="3">
        <v>60042</v>
      </c>
      <c r="C854" s="4" t="s">
        <v>32</v>
      </c>
      <c r="D854" s="4" t="str">
        <f t="shared" si="24"/>
        <v>Finance</v>
      </c>
      <c r="E854" s="4" t="str">
        <f t="shared" si="25"/>
        <v>Executive</v>
      </c>
      <c r="F854" s="13">
        <v>775</v>
      </c>
      <c r="G854" s="13">
        <v>5</v>
      </c>
      <c r="H854" s="13">
        <v>8</v>
      </c>
      <c r="I854" s="2">
        <v>29659</v>
      </c>
      <c r="J854" s="15">
        <v>777439</v>
      </c>
      <c r="K854" s="4" t="s">
        <v>14</v>
      </c>
      <c r="L854" s="27">
        <f t="shared" si="26"/>
        <v>1981</v>
      </c>
      <c r="M854" s="27">
        <f t="shared" si="27"/>
        <v>7</v>
      </c>
      <c r="N854" s="27">
        <f t="shared" ca="1" si="29"/>
        <v>45</v>
      </c>
      <c r="O854" s="27" t="str" cm="1">
        <f t="array" ref="O854">_xlfn.IFS($F854&gt;=750,"Excellent",$F854&gt;=700,"Good",$F854&gt;=650,"Moderate",
$F854&lt;650,"Risky"
)</f>
        <v>Excellent</v>
      </c>
      <c r="P854" s="27" t="str" cm="1">
        <f t="array" ref="P854">_xlfn.IFS(
AND(F854&gt;=750,H854&lt;=2),"Low Risk",
AND(F854&gt;=700,H854&lt;=5),"Medium Risk",
TRUE,"High Risk"
)</f>
        <v>High Risk</v>
      </c>
      <c r="Q854" s="5"/>
      <c r="R854" s="5"/>
      <c r="S854" s="5"/>
      <c r="T854" s="5"/>
      <c r="U854" s="5"/>
      <c r="V854" s="5"/>
      <c r="W854" s="5"/>
      <c r="X854" s="5"/>
      <c r="Y854" s="5"/>
    </row>
    <row r="855" spans="1:25" ht="15.75" customHeight="1" x14ac:dyDescent="0.25">
      <c r="A855" s="2">
        <v>43834</v>
      </c>
      <c r="B855" s="3">
        <v>54677</v>
      </c>
      <c r="C855" s="4" t="s">
        <v>13</v>
      </c>
      <c r="D855" s="4" t="str">
        <f t="shared" si="24"/>
        <v>Marketing</v>
      </c>
      <c r="E855" s="4" t="str">
        <f t="shared" si="25"/>
        <v>Director</v>
      </c>
      <c r="F855" s="13">
        <v>775</v>
      </c>
      <c r="G855" s="13">
        <v>2</v>
      </c>
      <c r="H855" s="13">
        <v>9</v>
      </c>
      <c r="I855" s="2">
        <v>32175</v>
      </c>
      <c r="J855" s="15">
        <v>792628</v>
      </c>
      <c r="K855" s="4" t="s">
        <v>18</v>
      </c>
      <c r="L855" s="27">
        <f t="shared" si="26"/>
        <v>1988</v>
      </c>
      <c r="M855" s="27">
        <f t="shared" si="27"/>
        <v>1</v>
      </c>
      <c r="N855" s="27">
        <f t="shared" ca="1" si="29"/>
        <v>38</v>
      </c>
      <c r="O855" s="27" t="str" cm="1">
        <f t="array" ref="O855">_xlfn.IFS($F855&gt;=750,"Excellent",$F855&gt;=700,"Good",$F855&gt;=650,"Moderate",
$F855&lt;650,"Risky"
)</f>
        <v>Excellent</v>
      </c>
      <c r="P855" s="27" t="str" cm="1">
        <f t="array" ref="P855">_xlfn.IFS(
AND(F855&gt;=750,H855&lt;=2),"Low Risk",
AND(F855&gt;=700,H855&lt;=5),"Medium Risk",
TRUE,"High Risk"
)</f>
        <v>High Risk</v>
      </c>
      <c r="Q855" s="5"/>
      <c r="R855" s="5"/>
      <c r="S855" s="5"/>
      <c r="T855" s="5"/>
      <c r="U855" s="5"/>
      <c r="V855" s="5"/>
      <c r="W855" s="5"/>
      <c r="X855" s="5"/>
      <c r="Y855" s="5"/>
    </row>
    <row r="856" spans="1:25" ht="15.75" customHeight="1" x14ac:dyDescent="0.25">
      <c r="A856" s="2">
        <v>44019</v>
      </c>
      <c r="B856" s="3">
        <v>95702</v>
      </c>
      <c r="C856" s="4" t="s">
        <v>17</v>
      </c>
      <c r="D856" s="4" t="str">
        <f t="shared" si="24"/>
        <v>Growth</v>
      </c>
      <c r="E856" s="4" t="str">
        <f t="shared" si="25"/>
        <v>Manager</v>
      </c>
      <c r="F856" s="13">
        <v>776</v>
      </c>
      <c r="G856" s="13">
        <v>1</v>
      </c>
      <c r="H856" s="13">
        <v>8</v>
      </c>
      <c r="I856" s="2">
        <v>29325</v>
      </c>
      <c r="J856" s="15">
        <v>849554</v>
      </c>
      <c r="K856" s="4" t="s">
        <v>18</v>
      </c>
      <c r="L856" s="27">
        <f t="shared" si="26"/>
        <v>1980</v>
      </c>
      <c r="M856" s="27">
        <f t="shared" si="27"/>
        <v>7</v>
      </c>
      <c r="N856" s="27">
        <f t="shared" ca="1" si="29"/>
        <v>46</v>
      </c>
      <c r="O856" s="27" t="str" cm="1">
        <f t="array" ref="O856">_xlfn.IFS($F856&gt;=750,"Excellent",$F856&gt;=700,"Good",$F856&gt;=650,"Moderate",
$F856&lt;650,"Risky"
)</f>
        <v>Excellent</v>
      </c>
      <c r="P856" s="27" t="str" cm="1">
        <f t="array" ref="P856">_xlfn.IFS(
AND(F856&gt;=750,H856&lt;=2),"Low Risk",
AND(F856&gt;=700,H856&lt;=5),"Medium Risk",
TRUE,"High Risk"
)</f>
        <v>High Risk</v>
      </c>
      <c r="Q856" s="5"/>
      <c r="R856" s="5"/>
      <c r="S856" s="5"/>
      <c r="T856" s="5"/>
      <c r="U856" s="5"/>
      <c r="V856" s="5"/>
      <c r="W856" s="5"/>
      <c r="X856" s="5"/>
      <c r="Y856" s="5"/>
    </row>
    <row r="857" spans="1:25" ht="15.75" customHeight="1" x14ac:dyDescent="0.25">
      <c r="A857" s="2">
        <v>44159</v>
      </c>
      <c r="B857" s="3">
        <v>33695</v>
      </c>
      <c r="C857" s="4" t="s">
        <v>28</v>
      </c>
      <c r="D857" s="4" t="str">
        <f t="shared" si="24"/>
        <v>Growth</v>
      </c>
      <c r="E857" s="4" t="str">
        <f t="shared" si="25"/>
        <v>Director</v>
      </c>
      <c r="F857" s="13">
        <v>752</v>
      </c>
      <c r="G857" s="13">
        <v>4</v>
      </c>
      <c r="H857" s="13">
        <v>10</v>
      </c>
      <c r="I857" s="2">
        <v>30344</v>
      </c>
      <c r="J857" s="15">
        <v>542294</v>
      </c>
      <c r="K857" s="4" t="s">
        <v>18</v>
      </c>
      <c r="L857" s="27">
        <f t="shared" si="26"/>
        <v>1983</v>
      </c>
      <c r="M857" s="27">
        <f t="shared" si="27"/>
        <v>11</v>
      </c>
      <c r="N857" s="27">
        <f t="shared" ca="1" si="29"/>
        <v>43</v>
      </c>
      <c r="O857" s="27" t="str" cm="1">
        <f t="array" ref="O857">_xlfn.IFS($F857&gt;=750,"Excellent",$F857&gt;=700,"Good",$F857&gt;=650,"Moderate",
$F857&lt;650,"Risky"
)</f>
        <v>Excellent</v>
      </c>
      <c r="P857" s="27" t="str" cm="1">
        <f t="array" ref="P857">_xlfn.IFS(
AND(F857&gt;=750,H857&lt;=2),"Low Risk",
AND(F857&gt;=700,H857&lt;=5),"Medium Risk",
TRUE,"High Risk"
)</f>
        <v>High Risk</v>
      </c>
      <c r="Q857" s="5"/>
      <c r="R857" s="5"/>
      <c r="S857" s="5"/>
      <c r="T857" s="5"/>
      <c r="U857" s="5"/>
      <c r="V857" s="5"/>
      <c r="W857" s="5"/>
      <c r="X857" s="5"/>
      <c r="Y857" s="5"/>
    </row>
    <row r="858" spans="1:25" ht="15.75" customHeight="1" x14ac:dyDescent="0.25">
      <c r="A858" s="2">
        <v>44084</v>
      </c>
      <c r="B858" s="3">
        <v>60864</v>
      </c>
      <c r="C858" s="4" t="s">
        <v>29</v>
      </c>
      <c r="D858" s="4" t="str">
        <f t="shared" si="24"/>
        <v>Sales</v>
      </c>
      <c r="E858" s="4" t="str">
        <f t="shared" si="25"/>
        <v>Director</v>
      </c>
      <c r="F858" s="13">
        <v>780</v>
      </c>
      <c r="G858" s="13">
        <v>2</v>
      </c>
      <c r="H858" s="13">
        <v>5</v>
      </c>
      <c r="I858" s="2">
        <v>29700</v>
      </c>
      <c r="J858" s="15">
        <v>701846</v>
      </c>
      <c r="K858" s="4" t="s">
        <v>21</v>
      </c>
      <c r="L858" s="27">
        <f t="shared" si="26"/>
        <v>1981</v>
      </c>
      <c r="M858" s="27">
        <f t="shared" si="27"/>
        <v>9</v>
      </c>
      <c r="N858" s="27">
        <f t="shared" ca="1" si="29"/>
        <v>45</v>
      </c>
      <c r="O858" s="27" t="str" cm="1">
        <f t="array" ref="O858">_xlfn.IFS($F858&gt;=750,"Excellent",$F858&gt;=700,"Good",$F858&gt;=650,"Moderate",
$F858&lt;650,"Risky"
)</f>
        <v>Excellent</v>
      </c>
      <c r="P858" s="27" t="str" cm="1">
        <f t="array" ref="P858">_xlfn.IFS(
AND(F858&gt;=750,H858&lt;=2),"Low Risk",
AND(F858&gt;=700,H858&lt;=5),"Medium Risk",
TRUE,"High Risk"
)</f>
        <v>Medium Risk</v>
      </c>
      <c r="Q858" s="5"/>
      <c r="R858" s="5"/>
      <c r="S858" s="5"/>
      <c r="T858" s="5"/>
      <c r="U858" s="5"/>
      <c r="V858" s="5"/>
      <c r="W858" s="5"/>
      <c r="X858" s="5"/>
      <c r="Y858" s="5"/>
    </row>
    <row r="859" spans="1:25" ht="15.75" customHeight="1" x14ac:dyDescent="0.25">
      <c r="A859" s="2">
        <v>44011</v>
      </c>
      <c r="B859" s="3">
        <v>85562</v>
      </c>
      <c r="C859" s="4" t="s">
        <v>30</v>
      </c>
      <c r="D859" s="4" t="str">
        <f t="shared" si="24"/>
        <v>Operation</v>
      </c>
      <c r="E859" s="4" t="str">
        <f t="shared" si="25"/>
        <v>Director</v>
      </c>
      <c r="F859" s="13">
        <v>800</v>
      </c>
      <c r="G859" s="13">
        <v>3</v>
      </c>
      <c r="H859" s="13">
        <v>1</v>
      </c>
      <c r="I859" s="2">
        <v>33084</v>
      </c>
      <c r="J859" s="15">
        <v>714928</v>
      </c>
      <c r="K859" s="4" t="s">
        <v>18</v>
      </c>
      <c r="L859" s="27">
        <f t="shared" si="26"/>
        <v>1990</v>
      </c>
      <c r="M859" s="27">
        <f t="shared" si="27"/>
        <v>6</v>
      </c>
      <c r="N859" s="27">
        <f t="shared" ca="1" si="29"/>
        <v>36</v>
      </c>
      <c r="O859" s="27" t="str" cm="1">
        <f t="array" ref="O859">_xlfn.IFS($F859&gt;=750,"Excellent",$F859&gt;=700,"Good",$F859&gt;=650,"Moderate",
$F859&lt;650,"Risky"
)</f>
        <v>Excellent</v>
      </c>
      <c r="P859" s="27" t="str" cm="1">
        <f t="array" ref="P859">_xlfn.IFS(
AND(F859&gt;=750,H859&lt;=2),"Low Risk",
AND(F859&gt;=700,H859&lt;=5),"Medium Risk",
TRUE,"High Risk"
)</f>
        <v>Low Risk</v>
      </c>
      <c r="Q859" s="5"/>
      <c r="R859" s="5"/>
      <c r="S859" s="5"/>
      <c r="T859" s="5"/>
      <c r="U859" s="5"/>
      <c r="V859" s="5"/>
      <c r="W859" s="5"/>
      <c r="X859" s="5"/>
      <c r="Y859" s="5"/>
    </row>
    <row r="860" spans="1:25" ht="15.75" customHeight="1" x14ac:dyDescent="0.25">
      <c r="A860" s="2">
        <v>43910</v>
      </c>
      <c r="B860" s="3">
        <v>95010</v>
      </c>
      <c r="C860" s="4" t="s">
        <v>38</v>
      </c>
      <c r="D860" s="4" t="str">
        <f t="shared" si="24"/>
        <v>Finance</v>
      </c>
      <c r="E860" s="4" t="str">
        <f t="shared" si="25"/>
        <v>Manager</v>
      </c>
      <c r="F860" s="13">
        <v>765</v>
      </c>
      <c r="G860" s="13">
        <v>1</v>
      </c>
      <c r="H860" s="13">
        <v>4</v>
      </c>
      <c r="I860" s="2">
        <v>34607</v>
      </c>
      <c r="J860" s="15">
        <v>649481</v>
      </c>
      <c r="K860" s="4" t="s">
        <v>21</v>
      </c>
      <c r="L860" s="27">
        <f t="shared" si="26"/>
        <v>1994</v>
      </c>
      <c r="M860" s="27">
        <f t="shared" si="27"/>
        <v>3</v>
      </c>
      <c r="N860" s="27">
        <f t="shared" ca="1" si="29"/>
        <v>32</v>
      </c>
      <c r="O860" s="27" t="str" cm="1">
        <f t="array" ref="O860">_xlfn.IFS($F860&gt;=750,"Excellent",$F860&gt;=700,"Good",$F860&gt;=650,"Moderate",
$F860&lt;650,"Risky"
)</f>
        <v>Excellent</v>
      </c>
      <c r="P860" s="27" t="str" cm="1">
        <f t="array" ref="P860">_xlfn.IFS(
AND(F860&gt;=750,H860&lt;=2),"Low Risk",
AND(F860&gt;=700,H860&lt;=5),"Medium Risk",
TRUE,"High Risk"
)</f>
        <v>Medium Risk</v>
      </c>
      <c r="Q860" s="5"/>
      <c r="R860" s="5"/>
      <c r="S860" s="5"/>
      <c r="T860" s="5"/>
      <c r="U860" s="5"/>
      <c r="V860" s="5"/>
      <c r="W860" s="5"/>
      <c r="X860" s="5"/>
      <c r="Y860" s="5"/>
    </row>
    <row r="861" spans="1:25" ht="15.75" customHeight="1" x14ac:dyDescent="0.25">
      <c r="A861" s="2">
        <v>43853</v>
      </c>
      <c r="B861" s="3">
        <v>89337</v>
      </c>
      <c r="C861" s="4" t="s">
        <v>32</v>
      </c>
      <c r="D861" s="4" t="str">
        <f t="shared" si="24"/>
        <v>Finance</v>
      </c>
      <c r="E861" s="4" t="str">
        <f t="shared" si="25"/>
        <v>Executive</v>
      </c>
      <c r="F861" s="13">
        <v>706</v>
      </c>
      <c r="G861" s="13">
        <v>1</v>
      </c>
      <c r="H861" s="13">
        <v>2</v>
      </c>
      <c r="I861" s="2">
        <v>32191</v>
      </c>
      <c r="J861" s="15">
        <v>818937</v>
      </c>
      <c r="K861" s="4" t="s">
        <v>21</v>
      </c>
      <c r="L861" s="27">
        <f t="shared" si="26"/>
        <v>1988</v>
      </c>
      <c r="M861" s="27">
        <f t="shared" si="27"/>
        <v>1</v>
      </c>
      <c r="N861" s="27">
        <f t="shared" ca="1" si="29"/>
        <v>38</v>
      </c>
      <c r="O861" s="27" t="str" cm="1">
        <f t="array" ref="O861">_xlfn.IFS($F861&gt;=750,"Excellent",$F861&gt;=700,"Good",$F861&gt;=650,"Moderate",
$F861&lt;650,"Risky"
)</f>
        <v>Good</v>
      </c>
      <c r="P861" s="27" t="str" cm="1">
        <f t="array" ref="P861">_xlfn.IFS(
AND(F861&gt;=750,H861&lt;=2),"Low Risk",
AND(F861&gt;=700,H861&lt;=5),"Medium Risk",
TRUE,"High Risk"
)</f>
        <v>Medium Risk</v>
      </c>
      <c r="Q861" s="5"/>
      <c r="R861" s="5"/>
      <c r="S861" s="5"/>
      <c r="T861" s="5"/>
      <c r="U861" s="5"/>
      <c r="V861" s="5"/>
      <c r="W861" s="5"/>
      <c r="X861" s="5"/>
      <c r="Y861" s="5"/>
    </row>
    <row r="862" spans="1:25" ht="15.75" customHeight="1" x14ac:dyDescent="0.25">
      <c r="A862" s="2">
        <v>44070</v>
      </c>
      <c r="B862" s="3">
        <v>80935</v>
      </c>
      <c r="C862" s="4" t="s">
        <v>33</v>
      </c>
      <c r="D862" s="4" t="str">
        <f t="shared" si="24"/>
        <v>Sales</v>
      </c>
      <c r="E862" s="4" t="str">
        <f t="shared" si="25"/>
        <v>Executive</v>
      </c>
      <c r="F862" s="13">
        <v>794</v>
      </c>
      <c r="G862" s="13">
        <v>1</v>
      </c>
      <c r="H862" s="13">
        <v>9</v>
      </c>
      <c r="I862" s="2">
        <v>33343</v>
      </c>
      <c r="J862" s="15">
        <v>836244</v>
      </c>
      <c r="K862" s="4" t="s">
        <v>14</v>
      </c>
      <c r="L862" s="27">
        <f t="shared" si="26"/>
        <v>1991</v>
      </c>
      <c r="M862" s="27">
        <f t="shared" si="27"/>
        <v>8</v>
      </c>
      <c r="N862" s="27">
        <f t="shared" ca="1" si="29"/>
        <v>35</v>
      </c>
      <c r="O862" s="27" t="str" cm="1">
        <f t="array" ref="O862">_xlfn.IFS($F862&gt;=750,"Excellent",$F862&gt;=700,"Good",$F862&gt;=650,"Moderate",
$F862&lt;650,"Risky"
)</f>
        <v>Excellent</v>
      </c>
      <c r="P862" s="27" t="str" cm="1">
        <f t="array" ref="P862">_xlfn.IFS(
AND(F862&gt;=750,H862&lt;=2),"Low Risk",
AND(F862&gt;=700,H862&lt;=5),"Medium Risk",
TRUE,"High Risk"
)</f>
        <v>High Risk</v>
      </c>
      <c r="Q862" s="5"/>
      <c r="R862" s="5"/>
      <c r="S862" s="5"/>
      <c r="T862" s="5"/>
      <c r="U862" s="5"/>
      <c r="V862" s="5"/>
      <c r="W862" s="5"/>
      <c r="X862" s="5"/>
      <c r="Y862" s="5"/>
    </row>
    <row r="863" spans="1:25" ht="15.75" customHeight="1" x14ac:dyDescent="0.25">
      <c r="A863" s="2">
        <v>43945</v>
      </c>
      <c r="B863" s="3">
        <v>91116</v>
      </c>
      <c r="C863" s="4" t="s">
        <v>36</v>
      </c>
      <c r="D863" s="4" t="str">
        <f t="shared" si="24"/>
        <v>Sales</v>
      </c>
      <c r="E863" s="4" t="str">
        <f t="shared" si="25"/>
        <v>Intern</v>
      </c>
      <c r="F863" s="13">
        <v>760</v>
      </c>
      <c r="G863" s="13">
        <v>5</v>
      </c>
      <c r="H863" s="13">
        <v>5</v>
      </c>
      <c r="I863" s="2">
        <v>29711</v>
      </c>
      <c r="J863" s="15">
        <v>976620</v>
      </c>
      <c r="K863" s="4" t="s">
        <v>14</v>
      </c>
      <c r="L863" s="27">
        <f t="shared" si="26"/>
        <v>1981</v>
      </c>
      <c r="M863" s="27">
        <f t="shared" si="27"/>
        <v>4</v>
      </c>
      <c r="N863" s="27">
        <f t="shared" ca="1" si="29"/>
        <v>45</v>
      </c>
      <c r="O863" s="27" t="str" cm="1">
        <f t="array" ref="O863">_xlfn.IFS($F863&gt;=750,"Excellent",$F863&gt;=700,"Good",$F863&gt;=650,"Moderate",
$F863&lt;650,"Risky"
)</f>
        <v>Excellent</v>
      </c>
      <c r="P863" s="27" t="str" cm="1">
        <f t="array" ref="P863">_xlfn.IFS(
AND(F863&gt;=750,H863&lt;=2),"Low Risk",
AND(F863&gt;=700,H863&lt;=5),"Medium Risk",
TRUE,"High Risk"
)</f>
        <v>Medium Risk</v>
      </c>
      <c r="Q863" s="5"/>
      <c r="R863" s="5"/>
      <c r="S863" s="5"/>
      <c r="T863" s="5"/>
      <c r="U863" s="5"/>
      <c r="V863" s="5"/>
      <c r="W863" s="5"/>
      <c r="X863" s="5"/>
      <c r="Y863" s="5"/>
    </row>
    <row r="864" spans="1:25" ht="15.75" customHeight="1" x14ac:dyDescent="0.25">
      <c r="A864" s="2">
        <v>43891</v>
      </c>
      <c r="B864" s="3">
        <v>91781</v>
      </c>
      <c r="C864" s="4" t="s">
        <v>36</v>
      </c>
      <c r="D864" s="4" t="str">
        <f t="shared" si="24"/>
        <v>Sales</v>
      </c>
      <c r="E864" s="4" t="str">
        <f t="shared" si="25"/>
        <v>Intern</v>
      </c>
      <c r="F864" s="13">
        <v>712</v>
      </c>
      <c r="G864" s="13">
        <v>2</v>
      </c>
      <c r="H864" s="13">
        <v>3</v>
      </c>
      <c r="I864" s="2">
        <v>34649</v>
      </c>
      <c r="J864" s="15">
        <v>688316</v>
      </c>
      <c r="K864" s="4" t="s">
        <v>21</v>
      </c>
      <c r="L864" s="27">
        <f t="shared" si="26"/>
        <v>1994</v>
      </c>
      <c r="M864" s="27">
        <f t="shared" si="27"/>
        <v>3</v>
      </c>
      <c r="N864" s="27">
        <f t="shared" ca="1" si="29"/>
        <v>32</v>
      </c>
      <c r="O864" s="27" t="str" cm="1">
        <f t="array" ref="O864">_xlfn.IFS($F864&gt;=750,"Excellent",$F864&gt;=700,"Good",$F864&gt;=650,"Moderate",
$F864&lt;650,"Risky"
)</f>
        <v>Good</v>
      </c>
      <c r="P864" s="27" t="str" cm="1">
        <f t="array" ref="P864">_xlfn.IFS(
AND(F864&gt;=750,H864&lt;=2),"Low Risk",
AND(F864&gt;=700,H864&lt;=5),"Medium Risk",
TRUE,"High Risk"
)</f>
        <v>Medium Risk</v>
      </c>
      <c r="Q864" s="5"/>
      <c r="R864" s="5"/>
      <c r="S864" s="5"/>
      <c r="T864" s="5"/>
      <c r="U864" s="5"/>
      <c r="V864" s="5"/>
      <c r="W864" s="5"/>
      <c r="X864" s="5"/>
      <c r="Y864" s="5"/>
    </row>
    <row r="865" spans="1:25" ht="15.75" customHeight="1" x14ac:dyDescent="0.25">
      <c r="A865" s="2">
        <v>43873</v>
      </c>
      <c r="B865" s="3">
        <v>31188</v>
      </c>
      <c r="C865" s="4" t="s">
        <v>30</v>
      </c>
      <c r="D865" s="4" t="str">
        <f t="shared" si="24"/>
        <v>Operation</v>
      </c>
      <c r="E865" s="4" t="str">
        <f t="shared" si="25"/>
        <v>Director</v>
      </c>
      <c r="F865" s="13">
        <v>753</v>
      </c>
      <c r="G865" s="13">
        <v>1</v>
      </c>
      <c r="H865" s="13">
        <v>4</v>
      </c>
      <c r="I865" s="2">
        <v>33060</v>
      </c>
      <c r="J865" s="15">
        <v>507723</v>
      </c>
      <c r="K865" s="4" t="s">
        <v>18</v>
      </c>
      <c r="L865" s="27">
        <f t="shared" si="26"/>
        <v>1990</v>
      </c>
      <c r="M865" s="27">
        <f t="shared" si="27"/>
        <v>2</v>
      </c>
      <c r="N865" s="27">
        <f t="shared" ca="1" si="29"/>
        <v>36</v>
      </c>
      <c r="O865" s="27" t="str" cm="1">
        <f t="array" ref="O865">_xlfn.IFS($F865&gt;=750,"Excellent",$F865&gt;=700,"Good",$F865&gt;=650,"Moderate",
$F865&lt;650,"Risky"
)</f>
        <v>Excellent</v>
      </c>
      <c r="P865" s="27" t="str" cm="1">
        <f t="array" ref="P865">_xlfn.IFS(
AND(F865&gt;=750,H865&lt;=2),"Low Risk",
AND(F865&gt;=700,H865&lt;=5),"Medium Risk",
TRUE,"High Risk"
)</f>
        <v>Medium Risk</v>
      </c>
      <c r="Q865" s="5"/>
      <c r="R865" s="5"/>
      <c r="S865" s="5"/>
      <c r="T865" s="5"/>
      <c r="U865" s="5"/>
      <c r="V865" s="5"/>
      <c r="W865" s="5"/>
      <c r="X865" s="5"/>
      <c r="Y865" s="5"/>
    </row>
    <row r="866" spans="1:25" ht="15.75" customHeight="1" x14ac:dyDescent="0.25">
      <c r="A866" s="2">
        <v>43891</v>
      </c>
      <c r="B866" s="3">
        <v>90362</v>
      </c>
      <c r="C866" s="4" t="s">
        <v>27</v>
      </c>
      <c r="D866" s="4" t="str">
        <f t="shared" si="24"/>
        <v>Operation</v>
      </c>
      <c r="E866" s="4" t="str">
        <f t="shared" si="25"/>
        <v>Intern</v>
      </c>
      <c r="F866" s="13">
        <v>729</v>
      </c>
      <c r="G866" s="13">
        <v>2</v>
      </c>
      <c r="H866" s="13">
        <v>5</v>
      </c>
      <c r="I866" s="2">
        <v>30382</v>
      </c>
      <c r="J866" s="15">
        <v>950691</v>
      </c>
      <c r="K866" s="4" t="s">
        <v>14</v>
      </c>
      <c r="L866" s="27">
        <f t="shared" si="26"/>
        <v>1983</v>
      </c>
      <c r="M866" s="27">
        <f t="shared" si="27"/>
        <v>3</v>
      </c>
      <c r="N866" s="27">
        <f t="shared" ca="1" si="29"/>
        <v>43</v>
      </c>
      <c r="O866" s="27" t="str" cm="1">
        <f t="array" ref="O866">_xlfn.IFS($F866&gt;=750,"Excellent",$F866&gt;=700,"Good",$F866&gt;=650,"Moderate",
$F866&lt;650,"Risky"
)</f>
        <v>Good</v>
      </c>
      <c r="P866" s="27" t="str" cm="1">
        <f t="array" ref="P866">_xlfn.IFS(
AND(F866&gt;=750,H866&lt;=2),"Low Risk",
AND(F866&gt;=700,H866&lt;=5),"Medium Risk",
TRUE,"High Risk"
)</f>
        <v>Medium Risk</v>
      </c>
      <c r="Q866" s="5"/>
      <c r="R866" s="5"/>
      <c r="S866" s="5"/>
      <c r="T866" s="5"/>
      <c r="U866" s="5"/>
      <c r="V866" s="5"/>
      <c r="W866" s="5"/>
      <c r="X866" s="5"/>
      <c r="Y866" s="5"/>
    </row>
    <row r="867" spans="1:25" ht="15.75" customHeight="1" x14ac:dyDescent="0.25">
      <c r="A867" s="2">
        <v>44171</v>
      </c>
      <c r="B867" s="3">
        <v>13218</v>
      </c>
      <c r="C867" s="4" t="s">
        <v>13</v>
      </c>
      <c r="D867" s="4" t="str">
        <f t="shared" si="24"/>
        <v>Marketing</v>
      </c>
      <c r="E867" s="4" t="str">
        <f t="shared" si="25"/>
        <v>Director</v>
      </c>
      <c r="F867" s="13">
        <v>797</v>
      </c>
      <c r="G867" s="13">
        <v>3</v>
      </c>
      <c r="H867" s="13">
        <v>9</v>
      </c>
      <c r="I867" s="2">
        <v>32233</v>
      </c>
      <c r="J867" s="15">
        <v>905122</v>
      </c>
      <c r="K867" s="4" t="s">
        <v>14</v>
      </c>
      <c r="L867" s="27">
        <f t="shared" si="26"/>
        <v>1988</v>
      </c>
      <c r="M867" s="27">
        <f t="shared" si="27"/>
        <v>12</v>
      </c>
      <c r="N867" s="27">
        <f t="shared" ca="1" si="29"/>
        <v>38</v>
      </c>
      <c r="O867" s="27" t="str" cm="1">
        <f t="array" ref="O867">_xlfn.IFS($F867&gt;=750,"Excellent",$F867&gt;=700,"Good",$F867&gt;=650,"Moderate",
$F867&lt;650,"Risky"
)</f>
        <v>Excellent</v>
      </c>
      <c r="P867" s="27" t="str" cm="1">
        <f t="array" ref="P867">_xlfn.IFS(
AND(F867&gt;=750,H867&lt;=2),"Low Risk",
AND(F867&gt;=700,H867&lt;=5),"Medium Risk",
TRUE,"High Risk"
)</f>
        <v>High Risk</v>
      </c>
      <c r="Q867" s="5"/>
      <c r="R867" s="5"/>
      <c r="S867" s="5"/>
      <c r="T867" s="5"/>
      <c r="U867" s="5"/>
      <c r="V867" s="5"/>
      <c r="W867" s="5"/>
      <c r="X867" s="5"/>
      <c r="Y867" s="5"/>
    </row>
    <row r="868" spans="1:25" ht="15.75" customHeight="1" x14ac:dyDescent="0.25">
      <c r="A868" s="2">
        <v>43879</v>
      </c>
      <c r="B868" s="3">
        <v>32247</v>
      </c>
      <c r="C868" s="4" t="s">
        <v>22</v>
      </c>
      <c r="D868" s="4" t="str">
        <f t="shared" si="24"/>
        <v>Strategy</v>
      </c>
      <c r="E868" s="4" t="str">
        <f t="shared" si="25"/>
        <v>Executive</v>
      </c>
      <c r="F868" s="13">
        <v>773</v>
      </c>
      <c r="G868" s="13">
        <v>2</v>
      </c>
      <c r="H868" s="13">
        <v>5</v>
      </c>
      <c r="I868" s="2">
        <v>31312</v>
      </c>
      <c r="J868" s="15">
        <v>620964</v>
      </c>
      <c r="K868" s="4" t="s">
        <v>18</v>
      </c>
      <c r="L868" s="27">
        <f t="shared" si="26"/>
        <v>1985</v>
      </c>
      <c r="M868" s="27">
        <f t="shared" si="27"/>
        <v>2</v>
      </c>
      <c r="N868" s="27">
        <f t="shared" ca="1" si="29"/>
        <v>41</v>
      </c>
      <c r="O868" s="27" t="str" cm="1">
        <f t="array" ref="O868">_xlfn.IFS($F868&gt;=750,"Excellent",$F868&gt;=700,"Good",$F868&gt;=650,"Moderate",
$F868&lt;650,"Risky"
)</f>
        <v>Excellent</v>
      </c>
      <c r="P868" s="27" t="str" cm="1">
        <f t="array" ref="P868">_xlfn.IFS(
AND(F868&gt;=750,H868&lt;=2),"Low Risk",
AND(F868&gt;=700,H868&lt;=5),"Medium Risk",
TRUE,"High Risk"
)</f>
        <v>Medium Risk</v>
      </c>
      <c r="Q868" s="5"/>
      <c r="R868" s="5"/>
      <c r="S868" s="5"/>
      <c r="T868" s="5"/>
      <c r="U868" s="5"/>
      <c r="V868" s="5"/>
      <c r="W868" s="5"/>
      <c r="X868" s="5"/>
      <c r="Y868" s="5"/>
    </row>
    <row r="869" spans="1:25" ht="15.75" customHeight="1" x14ac:dyDescent="0.25">
      <c r="A869" s="2">
        <v>44074</v>
      </c>
      <c r="B869" s="3">
        <v>54770</v>
      </c>
      <c r="C869" s="4" t="s">
        <v>32</v>
      </c>
      <c r="D869" s="4" t="str">
        <f t="shared" si="24"/>
        <v>Finance</v>
      </c>
      <c r="E869" s="4" t="str">
        <f t="shared" si="25"/>
        <v>Executive</v>
      </c>
      <c r="F869" s="13">
        <v>719</v>
      </c>
      <c r="G869" s="13">
        <v>5</v>
      </c>
      <c r="H869" s="13">
        <v>4</v>
      </c>
      <c r="I869" s="2">
        <v>30766</v>
      </c>
      <c r="J869" s="15">
        <v>888508</v>
      </c>
      <c r="K869" s="4" t="s">
        <v>18</v>
      </c>
      <c r="L869" s="27">
        <f t="shared" si="26"/>
        <v>1984</v>
      </c>
      <c r="M869" s="27">
        <f t="shared" si="27"/>
        <v>8</v>
      </c>
      <c r="N869" s="27">
        <f t="shared" ca="1" si="29"/>
        <v>42</v>
      </c>
      <c r="O869" s="27" t="str" cm="1">
        <f t="array" ref="O869">_xlfn.IFS($F869&gt;=750,"Excellent",$F869&gt;=700,"Good",$F869&gt;=650,"Moderate",
$F869&lt;650,"Risky"
)</f>
        <v>Good</v>
      </c>
      <c r="P869" s="27" t="str" cm="1">
        <f t="array" ref="P869">_xlfn.IFS(
AND(F869&gt;=750,H869&lt;=2),"Low Risk",
AND(F869&gt;=700,H869&lt;=5),"Medium Risk",
TRUE,"High Risk"
)</f>
        <v>Medium Risk</v>
      </c>
      <c r="Q869" s="5"/>
      <c r="R869" s="5"/>
      <c r="S869" s="5"/>
      <c r="T869" s="5"/>
      <c r="U869" s="5"/>
      <c r="V869" s="5"/>
      <c r="W869" s="5"/>
      <c r="X869" s="5"/>
      <c r="Y869" s="5"/>
    </row>
    <row r="870" spans="1:25" ht="15.75" customHeight="1" x14ac:dyDescent="0.25">
      <c r="A870" s="2">
        <v>44018</v>
      </c>
      <c r="B870" s="3">
        <v>15093</v>
      </c>
      <c r="C870" s="4" t="s">
        <v>28</v>
      </c>
      <c r="D870" s="4" t="str">
        <f t="shared" si="24"/>
        <v>Growth</v>
      </c>
      <c r="E870" s="4" t="str">
        <f t="shared" si="25"/>
        <v>Director</v>
      </c>
      <c r="F870" s="13">
        <v>799</v>
      </c>
      <c r="G870" s="13">
        <v>3</v>
      </c>
      <c r="H870" s="13">
        <v>8</v>
      </c>
      <c r="I870" s="2">
        <v>30335</v>
      </c>
      <c r="J870" s="15">
        <v>878722</v>
      </c>
      <c r="K870" s="4" t="s">
        <v>14</v>
      </c>
      <c r="L870" s="27">
        <f t="shared" si="26"/>
        <v>1983</v>
      </c>
      <c r="M870" s="27">
        <f t="shared" si="27"/>
        <v>7</v>
      </c>
      <c r="N870" s="27">
        <f t="shared" ca="1" si="29"/>
        <v>43</v>
      </c>
      <c r="O870" s="27" t="str" cm="1">
        <f t="array" ref="O870">_xlfn.IFS($F870&gt;=750,"Excellent",$F870&gt;=700,"Good",$F870&gt;=650,"Moderate",
$F870&lt;650,"Risky"
)</f>
        <v>Excellent</v>
      </c>
      <c r="P870" s="27" t="str" cm="1">
        <f t="array" ref="P870">_xlfn.IFS(
AND(F870&gt;=750,H870&lt;=2),"Low Risk",
AND(F870&gt;=700,H870&lt;=5),"Medium Risk",
TRUE,"High Risk"
)</f>
        <v>High Risk</v>
      </c>
      <c r="Q870" s="5"/>
      <c r="R870" s="5"/>
      <c r="S870" s="5"/>
      <c r="T870" s="5"/>
      <c r="U870" s="5"/>
      <c r="V870" s="5"/>
      <c r="W870" s="5"/>
      <c r="X870" s="5"/>
      <c r="Y870" s="5"/>
    </row>
    <row r="871" spans="1:25" ht="15.75" customHeight="1" x14ac:dyDescent="0.25">
      <c r="A871" s="2">
        <v>44132</v>
      </c>
      <c r="B871" s="3">
        <v>41003</v>
      </c>
      <c r="C871" s="4" t="s">
        <v>25</v>
      </c>
      <c r="D871" s="4" t="str">
        <f t="shared" si="24"/>
        <v>Sales</v>
      </c>
      <c r="E871" s="4" t="str">
        <f t="shared" si="25"/>
        <v>Manager</v>
      </c>
      <c r="F871" s="13">
        <v>728</v>
      </c>
      <c r="G871" s="13">
        <v>1</v>
      </c>
      <c r="H871" s="13">
        <v>8</v>
      </c>
      <c r="I871" s="2">
        <v>34565</v>
      </c>
      <c r="J871" s="15">
        <v>840484</v>
      </c>
      <c r="K871" s="4" t="s">
        <v>14</v>
      </c>
      <c r="L871" s="27">
        <f t="shared" si="26"/>
        <v>1994</v>
      </c>
      <c r="M871" s="27">
        <f t="shared" si="27"/>
        <v>10</v>
      </c>
      <c r="N871" s="27">
        <f t="shared" ca="1" si="29"/>
        <v>32</v>
      </c>
      <c r="O871" s="27" t="str" cm="1">
        <f t="array" ref="O871">_xlfn.IFS($F871&gt;=750,"Excellent",$F871&gt;=700,"Good",$F871&gt;=650,"Moderate",
$F871&lt;650,"Risky"
)</f>
        <v>Good</v>
      </c>
      <c r="P871" s="27" t="str" cm="1">
        <f t="array" ref="P871">_xlfn.IFS(
AND(F871&gt;=750,H871&lt;=2),"Low Risk",
AND(F871&gt;=700,H871&lt;=5),"Medium Risk",
TRUE,"High Risk"
)</f>
        <v>High Risk</v>
      </c>
      <c r="Q871" s="5"/>
      <c r="R871" s="5"/>
      <c r="S871" s="5"/>
      <c r="T871" s="5"/>
      <c r="U871" s="5"/>
      <c r="V871" s="5"/>
      <c r="W871" s="5"/>
      <c r="X871" s="5"/>
      <c r="Y871" s="5"/>
    </row>
    <row r="872" spans="1:25" ht="15.75" customHeight="1" x14ac:dyDescent="0.25">
      <c r="A872" s="2">
        <v>43871</v>
      </c>
      <c r="B872" s="3">
        <v>71360</v>
      </c>
      <c r="C872" s="4" t="s">
        <v>38</v>
      </c>
      <c r="D872" s="4" t="str">
        <f t="shared" si="24"/>
        <v>Finance</v>
      </c>
      <c r="E872" s="4" t="str">
        <f t="shared" si="25"/>
        <v>Manager</v>
      </c>
      <c r="F872" s="13">
        <v>759</v>
      </c>
      <c r="G872" s="13">
        <v>1</v>
      </c>
      <c r="H872" s="13">
        <v>2</v>
      </c>
      <c r="I872" s="2">
        <v>32965</v>
      </c>
      <c r="J872" s="15">
        <v>549585</v>
      </c>
      <c r="K872" s="4" t="s">
        <v>18</v>
      </c>
      <c r="L872" s="27">
        <f t="shared" si="26"/>
        <v>1990</v>
      </c>
      <c r="M872" s="27">
        <f t="shared" si="27"/>
        <v>2</v>
      </c>
      <c r="N872" s="27">
        <f t="shared" ca="1" si="29"/>
        <v>36</v>
      </c>
      <c r="O872" s="27" t="str" cm="1">
        <f t="array" ref="O872">_xlfn.IFS($F872&gt;=750,"Excellent",$F872&gt;=700,"Good",$F872&gt;=650,"Moderate",
$F872&lt;650,"Risky"
)</f>
        <v>Excellent</v>
      </c>
      <c r="P872" s="27" t="str" cm="1">
        <f t="array" ref="P872">_xlfn.IFS(
AND(F872&gt;=750,H872&lt;=2),"Low Risk",
AND(F872&gt;=700,H872&lt;=5),"Medium Risk",
TRUE,"High Risk"
)</f>
        <v>Low Risk</v>
      </c>
      <c r="Q872" s="5"/>
      <c r="R872" s="5"/>
      <c r="S872" s="5"/>
      <c r="T872" s="5"/>
      <c r="U872" s="5"/>
      <c r="V872" s="5"/>
      <c r="W872" s="5"/>
      <c r="X872" s="5"/>
      <c r="Y872" s="5"/>
    </row>
    <row r="873" spans="1:25" ht="15.75" customHeight="1" x14ac:dyDescent="0.25">
      <c r="A873" s="2">
        <v>44168</v>
      </c>
      <c r="B873" s="3">
        <v>81825</v>
      </c>
      <c r="C873" s="4" t="s">
        <v>19</v>
      </c>
      <c r="D873" s="4" t="str">
        <f t="shared" si="24"/>
        <v>Marketing</v>
      </c>
      <c r="E873" s="4" t="str">
        <f t="shared" si="25"/>
        <v>Manager</v>
      </c>
      <c r="F873" s="13">
        <v>799</v>
      </c>
      <c r="G873" s="13">
        <v>4</v>
      </c>
      <c r="H873" s="13">
        <v>3</v>
      </c>
      <c r="I873" s="2">
        <v>34531</v>
      </c>
      <c r="J873" s="15">
        <v>536781</v>
      </c>
      <c r="K873" s="4" t="s">
        <v>18</v>
      </c>
      <c r="L873" s="27">
        <f t="shared" si="26"/>
        <v>1994</v>
      </c>
      <c r="M873" s="27">
        <f t="shared" si="27"/>
        <v>12</v>
      </c>
      <c r="N873" s="27">
        <f t="shared" ca="1" si="29"/>
        <v>32</v>
      </c>
      <c r="O873" s="27" t="str" cm="1">
        <f t="array" ref="O873">_xlfn.IFS($F873&gt;=750,"Excellent",$F873&gt;=700,"Good",$F873&gt;=650,"Moderate",
$F873&lt;650,"Risky"
)</f>
        <v>Excellent</v>
      </c>
      <c r="P873" s="27" t="str" cm="1">
        <f t="array" ref="P873">_xlfn.IFS(
AND(F873&gt;=750,H873&lt;=2),"Low Risk",
AND(F873&gt;=700,H873&lt;=5),"Medium Risk",
TRUE,"High Risk"
)</f>
        <v>Medium Risk</v>
      </c>
      <c r="Q873" s="5"/>
      <c r="R873" s="5"/>
      <c r="S873" s="5"/>
      <c r="T873" s="5"/>
      <c r="U873" s="5"/>
      <c r="V873" s="5"/>
      <c r="W873" s="5"/>
      <c r="X873" s="5"/>
      <c r="Y873" s="5"/>
    </row>
    <row r="874" spans="1:25" ht="15.75" customHeight="1" x14ac:dyDescent="0.25">
      <c r="A874" s="2">
        <v>43922</v>
      </c>
      <c r="B874" s="3">
        <v>51621</v>
      </c>
      <c r="C874" s="4" t="s">
        <v>30</v>
      </c>
      <c r="D874" s="4" t="str">
        <f t="shared" si="24"/>
        <v>Operation</v>
      </c>
      <c r="E874" s="4" t="str">
        <f t="shared" si="25"/>
        <v>Director</v>
      </c>
      <c r="F874" s="13">
        <v>710</v>
      </c>
      <c r="G874" s="13">
        <v>4</v>
      </c>
      <c r="H874" s="13">
        <v>5</v>
      </c>
      <c r="I874" s="2">
        <v>32956</v>
      </c>
      <c r="J874" s="15">
        <v>595939</v>
      </c>
      <c r="K874" s="4" t="s">
        <v>14</v>
      </c>
      <c r="L874" s="27">
        <f t="shared" si="26"/>
        <v>1990</v>
      </c>
      <c r="M874" s="27">
        <f t="shared" si="27"/>
        <v>4</v>
      </c>
      <c r="N874" s="27">
        <f t="shared" ca="1" si="29"/>
        <v>36</v>
      </c>
      <c r="O874" s="27" t="str" cm="1">
        <f t="array" ref="O874">_xlfn.IFS($F874&gt;=750,"Excellent",$F874&gt;=700,"Good",$F874&gt;=650,"Moderate",
$F874&lt;650,"Risky"
)</f>
        <v>Good</v>
      </c>
      <c r="P874" s="27" t="str" cm="1">
        <f t="array" ref="P874">_xlfn.IFS(
AND(F874&gt;=750,H874&lt;=2),"Low Risk",
AND(F874&gt;=700,H874&lt;=5),"Medium Risk",
TRUE,"High Risk"
)</f>
        <v>Medium Risk</v>
      </c>
      <c r="Q874" s="5"/>
      <c r="R874" s="5"/>
      <c r="S874" s="5"/>
      <c r="T874" s="5"/>
      <c r="U874" s="5"/>
      <c r="V874" s="5"/>
      <c r="W874" s="5"/>
      <c r="X874" s="5"/>
      <c r="Y874" s="5"/>
    </row>
    <row r="875" spans="1:25" ht="15.75" customHeight="1" x14ac:dyDescent="0.25">
      <c r="A875" s="2">
        <v>43980</v>
      </c>
      <c r="B875" s="3">
        <v>80975</v>
      </c>
      <c r="C875" s="4" t="s">
        <v>16</v>
      </c>
      <c r="D875" s="4" t="str">
        <f t="shared" si="24"/>
        <v>Marketing</v>
      </c>
      <c r="E875" s="4" t="str">
        <f t="shared" si="25"/>
        <v>Executive</v>
      </c>
      <c r="F875" s="13">
        <v>721</v>
      </c>
      <c r="G875" s="13">
        <v>5</v>
      </c>
      <c r="H875" s="13">
        <v>5</v>
      </c>
      <c r="I875" s="2">
        <v>29351</v>
      </c>
      <c r="J875" s="15">
        <v>566056</v>
      </c>
      <c r="K875" s="4" t="s">
        <v>14</v>
      </c>
      <c r="L875" s="27">
        <f t="shared" si="26"/>
        <v>1980</v>
      </c>
      <c r="M875" s="27">
        <f t="shared" si="27"/>
        <v>5</v>
      </c>
      <c r="N875" s="27">
        <f t="shared" ca="1" si="29"/>
        <v>46</v>
      </c>
      <c r="O875" s="27" t="str" cm="1">
        <f t="array" ref="O875">_xlfn.IFS($F875&gt;=750,"Excellent",$F875&gt;=700,"Good",$F875&gt;=650,"Moderate",
$F875&lt;650,"Risky"
)</f>
        <v>Good</v>
      </c>
      <c r="P875" s="27" t="str" cm="1">
        <f t="array" ref="P875">_xlfn.IFS(
AND(F875&gt;=750,H875&lt;=2),"Low Risk",
AND(F875&gt;=700,H875&lt;=5),"Medium Risk",
TRUE,"High Risk"
)</f>
        <v>Medium Risk</v>
      </c>
      <c r="Q875" s="5"/>
      <c r="R875" s="5"/>
      <c r="S875" s="5"/>
      <c r="T875" s="5"/>
      <c r="U875" s="5"/>
      <c r="V875" s="5"/>
      <c r="W875" s="5"/>
      <c r="X875" s="5"/>
      <c r="Y875" s="5"/>
    </row>
    <row r="876" spans="1:25" ht="15.75" customHeight="1" x14ac:dyDescent="0.25">
      <c r="A876" s="2">
        <v>43930</v>
      </c>
      <c r="B876" s="3">
        <v>51491</v>
      </c>
      <c r="C876" s="4" t="s">
        <v>13</v>
      </c>
      <c r="D876" s="4" t="str">
        <f t="shared" si="24"/>
        <v>Marketing</v>
      </c>
      <c r="E876" s="4" t="str">
        <f t="shared" si="25"/>
        <v>Director</v>
      </c>
      <c r="F876" s="13">
        <v>757</v>
      </c>
      <c r="G876" s="13">
        <v>5</v>
      </c>
      <c r="H876" s="13">
        <v>1</v>
      </c>
      <c r="I876" s="2">
        <v>33360</v>
      </c>
      <c r="J876" s="15">
        <v>986196</v>
      </c>
      <c r="K876" s="4" t="s">
        <v>18</v>
      </c>
      <c r="L876" s="27">
        <f t="shared" si="26"/>
        <v>1991</v>
      </c>
      <c r="M876" s="27">
        <f t="shared" si="27"/>
        <v>4</v>
      </c>
      <c r="N876" s="27">
        <f t="shared" ca="1" si="29"/>
        <v>35</v>
      </c>
      <c r="O876" s="27" t="str" cm="1">
        <f t="array" ref="O876">_xlfn.IFS($F876&gt;=750,"Excellent",$F876&gt;=700,"Good",$F876&gt;=650,"Moderate",
$F876&lt;650,"Risky"
)</f>
        <v>Excellent</v>
      </c>
      <c r="P876" s="27" t="str" cm="1">
        <f t="array" ref="P876">_xlfn.IFS(
AND(F876&gt;=750,H876&lt;=2),"Low Risk",
AND(F876&gt;=700,H876&lt;=5),"Medium Risk",
TRUE,"High Risk"
)</f>
        <v>Low Risk</v>
      </c>
      <c r="Q876" s="5"/>
      <c r="R876" s="5"/>
      <c r="S876" s="5"/>
      <c r="T876" s="5"/>
      <c r="U876" s="5"/>
      <c r="V876" s="5"/>
      <c r="W876" s="5"/>
      <c r="X876" s="5"/>
      <c r="Y876" s="5"/>
    </row>
    <row r="877" spans="1:25" ht="15.75" customHeight="1" x14ac:dyDescent="0.25">
      <c r="A877" s="2">
        <v>43909</v>
      </c>
      <c r="B877" s="3">
        <v>69793</v>
      </c>
      <c r="C877" s="4" t="s">
        <v>34</v>
      </c>
      <c r="D877" s="4" t="str">
        <f t="shared" si="24"/>
        <v>Finance</v>
      </c>
      <c r="E877" s="4" t="str">
        <f t="shared" si="25"/>
        <v>Director</v>
      </c>
      <c r="F877" s="13">
        <v>748</v>
      </c>
      <c r="G877" s="13">
        <v>5</v>
      </c>
      <c r="H877" s="13">
        <v>1</v>
      </c>
      <c r="I877" s="2">
        <v>32756</v>
      </c>
      <c r="J877" s="15">
        <v>813370</v>
      </c>
      <c r="K877" s="4" t="s">
        <v>14</v>
      </c>
      <c r="L877" s="27">
        <f t="shared" si="26"/>
        <v>1989</v>
      </c>
      <c r="M877" s="27">
        <f t="shared" si="27"/>
        <v>3</v>
      </c>
      <c r="N877" s="27">
        <f t="shared" ca="1" si="29"/>
        <v>37</v>
      </c>
      <c r="O877" s="27" t="str" cm="1">
        <f t="array" ref="O877">_xlfn.IFS($F877&gt;=750,"Excellent",$F877&gt;=700,"Good",$F877&gt;=650,"Moderate",
$F877&lt;650,"Risky"
)</f>
        <v>Good</v>
      </c>
      <c r="P877" s="27" t="str" cm="1">
        <f t="array" ref="P877">_xlfn.IFS(
AND(F877&gt;=750,H877&lt;=2),"Low Risk",
AND(F877&gt;=700,H877&lt;=5),"Medium Risk",
TRUE,"High Risk"
)</f>
        <v>Medium Risk</v>
      </c>
      <c r="Q877" s="5"/>
      <c r="R877" s="5"/>
      <c r="S877" s="5"/>
      <c r="T877" s="5"/>
      <c r="U877" s="5"/>
      <c r="V877" s="5"/>
      <c r="W877" s="5"/>
      <c r="X877" s="5"/>
      <c r="Y877" s="5"/>
    </row>
    <row r="878" spans="1:25" ht="15.75" customHeight="1" x14ac:dyDescent="0.25">
      <c r="A878" s="2">
        <v>44078</v>
      </c>
      <c r="B878" s="3">
        <v>39086</v>
      </c>
      <c r="C878" s="4" t="s">
        <v>37</v>
      </c>
      <c r="D878" s="4" t="str">
        <f t="shared" si="24"/>
        <v>Strategy</v>
      </c>
      <c r="E878" s="4" t="str">
        <f t="shared" si="25"/>
        <v>Director</v>
      </c>
      <c r="F878" s="13">
        <v>729</v>
      </c>
      <c r="G878" s="13">
        <v>3</v>
      </c>
      <c r="H878" s="13">
        <v>2</v>
      </c>
      <c r="I878" s="2">
        <v>34138</v>
      </c>
      <c r="J878" s="15">
        <v>556577</v>
      </c>
      <c r="K878" s="4" t="s">
        <v>14</v>
      </c>
      <c r="L878" s="27">
        <f t="shared" si="26"/>
        <v>1993</v>
      </c>
      <c r="M878" s="27">
        <f t="shared" si="27"/>
        <v>9</v>
      </c>
      <c r="N878" s="27">
        <f t="shared" ca="1" si="29"/>
        <v>33</v>
      </c>
      <c r="O878" s="27" t="str" cm="1">
        <f t="array" ref="O878">_xlfn.IFS($F878&gt;=750,"Excellent",$F878&gt;=700,"Good",$F878&gt;=650,"Moderate",
$F878&lt;650,"Risky"
)</f>
        <v>Good</v>
      </c>
      <c r="P878" s="27" t="str" cm="1">
        <f t="array" ref="P878">_xlfn.IFS(
AND(F878&gt;=750,H878&lt;=2),"Low Risk",
AND(F878&gt;=700,H878&lt;=5),"Medium Risk",
TRUE,"High Risk"
)</f>
        <v>Medium Risk</v>
      </c>
      <c r="Q878" s="5"/>
      <c r="R878" s="5"/>
      <c r="S878" s="5"/>
      <c r="T878" s="5"/>
      <c r="U878" s="5"/>
      <c r="V878" s="5"/>
      <c r="W878" s="5"/>
      <c r="X878" s="5"/>
      <c r="Y878" s="5"/>
    </row>
    <row r="879" spans="1:25" ht="15.75" customHeight="1" x14ac:dyDescent="0.25">
      <c r="A879" s="2">
        <v>44153</v>
      </c>
      <c r="B879" s="3">
        <v>23190</v>
      </c>
      <c r="C879" s="4" t="s">
        <v>27</v>
      </c>
      <c r="D879" s="4" t="str">
        <f t="shared" si="24"/>
        <v>Operation</v>
      </c>
      <c r="E879" s="4" t="str">
        <f t="shared" si="25"/>
        <v>Intern</v>
      </c>
      <c r="F879" s="13">
        <v>746</v>
      </c>
      <c r="G879" s="13">
        <v>3</v>
      </c>
      <c r="H879" s="13">
        <v>7</v>
      </c>
      <c r="I879" s="2">
        <v>31207</v>
      </c>
      <c r="J879" s="15">
        <v>690349</v>
      </c>
      <c r="K879" s="4" t="s">
        <v>14</v>
      </c>
      <c r="L879" s="27">
        <f t="shared" si="26"/>
        <v>1985</v>
      </c>
      <c r="M879" s="27">
        <f t="shared" si="27"/>
        <v>11</v>
      </c>
      <c r="N879" s="27">
        <f t="shared" ca="1" si="29"/>
        <v>41</v>
      </c>
      <c r="O879" s="27" t="str" cm="1">
        <f t="array" ref="O879">_xlfn.IFS($F879&gt;=750,"Excellent",$F879&gt;=700,"Good",$F879&gt;=650,"Moderate",
$F879&lt;650,"Risky"
)</f>
        <v>Good</v>
      </c>
      <c r="P879" s="27" t="str" cm="1">
        <f t="array" ref="P879">_xlfn.IFS(
AND(F879&gt;=750,H879&lt;=2),"Low Risk",
AND(F879&gt;=700,H879&lt;=5),"Medium Risk",
TRUE,"High Risk"
)</f>
        <v>High Risk</v>
      </c>
      <c r="Q879" s="5"/>
      <c r="R879" s="5"/>
      <c r="S879" s="5"/>
      <c r="T879" s="5"/>
      <c r="U879" s="5"/>
      <c r="V879" s="5"/>
      <c r="W879" s="5"/>
      <c r="X879" s="5"/>
      <c r="Y879" s="5"/>
    </row>
    <row r="880" spans="1:25" ht="15.75" customHeight="1" x14ac:dyDescent="0.25">
      <c r="A880" s="2">
        <v>44085</v>
      </c>
      <c r="B880" s="3">
        <v>76476</v>
      </c>
      <c r="C880" s="4" t="s">
        <v>30</v>
      </c>
      <c r="D880" s="4" t="str">
        <f t="shared" si="24"/>
        <v>Operation</v>
      </c>
      <c r="E880" s="4" t="str">
        <f t="shared" si="25"/>
        <v>Director</v>
      </c>
      <c r="F880" s="13">
        <v>768</v>
      </c>
      <c r="G880" s="13">
        <v>2</v>
      </c>
      <c r="H880" s="13">
        <v>10</v>
      </c>
      <c r="I880" s="2">
        <v>30898</v>
      </c>
      <c r="J880" s="15">
        <v>935092</v>
      </c>
      <c r="K880" s="4" t="s">
        <v>21</v>
      </c>
      <c r="L880" s="27">
        <f t="shared" si="26"/>
        <v>1984</v>
      </c>
      <c r="M880" s="27">
        <f t="shared" si="27"/>
        <v>9</v>
      </c>
      <c r="N880" s="27">
        <f t="shared" ca="1" si="29"/>
        <v>42</v>
      </c>
      <c r="O880" s="27" t="str" cm="1">
        <f t="array" ref="O880">_xlfn.IFS($F880&gt;=750,"Excellent",$F880&gt;=700,"Good",$F880&gt;=650,"Moderate",
$F880&lt;650,"Risky"
)</f>
        <v>Excellent</v>
      </c>
      <c r="P880" s="27" t="str" cm="1">
        <f t="array" ref="P880">_xlfn.IFS(
AND(F880&gt;=750,H880&lt;=2),"Low Risk",
AND(F880&gt;=700,H880&lt;=5),"Medium Risk",
TRUE,"High Risk"
)</f>
        <v>High Risk</v>
      </c>
      <c r="Q880" s="5"/>
      <c r="R880" s="5"/>
      <c r="S880" s="5"/>
      <c r="T880" s="5"/>
      <c r="U880" s="5"/>
      <c r="V880" s="5"/>
      <c r="W880" s="5"/>
      <c r="X880" s="5"/>
      <c r="Y880" s="5"/>
    </row>
    <row r="881" spans="1:25" ht="15.75" customHeight="1" x14ac:dyDescent="0.25">
      <c r="A881" s="2">
        <v>43996</v>
      </c>
      <c r="B881" s="3">
        <v>60417</v>
      </c>
      <c r="C881" s="4" t="s">
        <v>17</v>
      </c>
      <c r="D881" s="4" t="str">
        <f t="shared" si="24"/>
        <v>Growth</v>
      </c>
      <c r="E881" s="4" t="str">
        <f t="shared" si="25"/>
        <v>Manager</v>
      </c>
      <c r="F881" s="13">
        <v>701</v>
      </c>
      <c r="G881" s="13">
        <v>1</v>
      </c>
      <c r="H881" s="13">
        <v>1</v>
      </c>
      <c r="I881" s="2">
        <v>34578</v>
      </c>
      <c r="J881" s="15">
        <v>966916</v>
      </c>
      <c r="K881" s="4" t="s">
        <v>18</v>
      </c>
      <c r="L881" s="27">
        <f t="shared" si="26"/>
        <v>1994</v>
      </c>
      <c r="M881" s="27">
        <f t="shared" si="27"/>
        <v>6</v>
      </c>
      <c r="N881" s="27">
        <f t="shared" ca="1" si="29"/>
        <v>32</v>
      </c>
      <c r="O881" s="27" t="str" cm="1">
        <f t="array" ref="O881">_xlfn.IFS($F881&gt;=750,"Excellent",$F881&gt;=700,"Good",$F881&gt;=650,"Moderate",
$F881&lt;650,"Risky"
)</f>
        <v>Good</v>
      </c>
      <c r="P881" s="27" t="str" cm="1">
        <f t="array" ref="P881">_xlfn.IFS(
AND(F881&gt;=750,H881&lt;=2),"Low Risk",
AND(F881&gt;=700,H881&lt;=5),"Medium Risk",
TRUE,"High Risk"
)</f>
        <v>Medium Risk</v>
      </c>
      <c r="Q881" s="5"/>
      <c r="R881" s="5"/>
      <c r="S881" s="5"/>
      <c r="T881" s="5"/>
      <c r="U881" s="5"/>
      <c r="V881" s="5"/>
      <c r="W881" s="5"/>
      <c r="X881" s="5"/>
      <c r="Y881" s="5"/>
    </row>
    <row r="882" spans="1:25" ht="15.75" customHeight="1" x14ac:dyDescent="0.25">
      <c r="A882" s="2">
        <v>44009</v>
      </c>
      <c r="B882" s="3">
        <v>49213</v>
      </c>
      <c r="C882" s="4" t="s">
        <v>39</v>
      </c>
      <c r="D882" s="4" t="str">
        <f t="shared" si="24"/>
        <v>Growth</v>
      </c>
      <c r="E882" s="4" t="str">
        <f t="shared" si="25"/>
        <v>Executive</v>
      </c>
      <c r="F882" s="13">
        <v>799</v>
      </c>
      <c r="G882" s="13">
        <v>1</v>
      </c>
      <c r="H882" s="13">
        <v>6</v>
      </c>
      <c r="I882" s="2">
        <v>33002</v>
      </c>
      <c r="J882" s="15">
        <v>501499</v>
      </c>
      <c r="K882" s="4" t="s">
        <v>14</v>
      </c>
      <c r="L882" s="27">
        <f t="shared" si="26"/>
        <v>1990</v>
      </c>
      <c r="M882" s="27">
        <f t="shared" si="27"/>
        <v>6</v>
      </c>
      <c r="N882" s="27">
        <f t="shared" ca="1" si="29"/>
        <v>36</v>
      </c>
      <c r="O882" s="27" t="str" cm="1">
        <f t="array" ref="O882">_xlfn.IFS($F882&gt;=750,"Excellent",$F882&gt;=700,"Good",$F882&gt;=650,"Moderate",
$F882&lt;650,"Risky"
)</f>
        <v>Excellent</v>
      </c>
      <c r="P882" s="27" t="str" cm="1">
        <f t="array" ref="P882">_xlfn.IFS(
AND(F882&gt;=750,H882&lt;=2),"Low Risk",
AND(F882&gt;=700,H882&lt;=5),"Medium Risk",
TRUE,"High Risk"
)</f>
        <v>High Risk</v>
      </c>
      <c r="Q882" s="5"/>
      <c r="R882" s="5"/>
      <c r="S882" s="5"/>
      <c r="T882" s="5"/>
      <c r="U882" s="5"/>
      <c r="V882" s="5"/>
      <c r="W882" s="5"/>
      <c r="X882" s="5"/>
      <c r="Y882" s="5"/>
    </row>
    <row r="883" spans="1:25" ht="15.75" customHeight="1" x14ac:dyDescent="0.25">
      <c r="A883" s="2">
        <v>43888</v>
      </c>
      <c r="B883" s="3">
        <v>62181</v>
      </c>
      <c r="C883" s="4" t="s">
        <v>32</v>
      </c>
      <c r="D883" s="4" t="str">
        <f t="shared" si="24"/>
        <v>Finance</v>
      </c>
      <c r="E883" s="4" t="str">
        <f t="shared" si="25"/>
        <v>Executive</v>
      </c>
      <c r="F883" s="13">
        <v>787</v>
      </c>
      <c r="G883" s="13">
        <v>1</v>
      </c>
      <c r="H883" s="13">
        <v>5</v>
      </c>
      <c r="I883" s="2">
        <v>32631</v>
      </c>
      <c r="J883" s="15">
        <v>518247</v>
      </c>
      <c r="K883" s="4" t="s">
        <v>21</v>
      </c>
      <c r="L883" s="27">
        <f t="shared" si="26"/>
        <v>1989</v>
      </c>
      <c r="M883" s="27">
        <f t="shared" si="27"/>
        <v>2</v>
      </c>
      <c r="N883" s="27">
        <f t="shared" ca="1" si="29"/>
        <v>37</v>
      </c>
      <c r="O883" s="27" t="str" cm="1">
        <f t="array" ref="O883">_xlfn.IFS($F883&gt;=750,"Excellent",$F883&gt;=700,"Good",$F883&gt;=650,"Moderate",
$F883&lt;650,"Risky"
)</f>
        <v>Excellent</v>
      </c>
      <c r="P883" s="27" t="str" cm="1">
        <f t="array" ref="P883">_xlfn.IFS(
AND(F883&gt;=750,H883&lt;=2),"Low Risk",
AND(F883&gt;=700,H883&lt;=5),"Medium Risk",
TRUE,"High Risk"
)</f>
        <v>Medium Risk</v>
      </c>
      <c r="Q883" s="5"/>
      <c r="R883" s="5"/>
      <c r="S883" s="5"/>
      <c r="T883" s="5"/>
      <c r="U883" s="5"/>
      <c r="V883" s="5"/>
      <c r="W883" s="5"/>
      <c r="X883" s="5"/>
      <c r="Y883" s="5"/>
    </row>
    <row r="884" spans="1:25" ht="15.75" customHeight="1" x14ac:dyDescent="0.25">
      <c r="A884" s="2">
        <v>43962</v>
      </c>
      <c r="B884" s="3">
        <v>34654</v>
      </c>
      <c r="C884" s="4" t="s">
        <v>24</v>
      </c>
      <c r="D884" s="4" t="str">
        <f t="shared" si="24"/>
        <v>Strategy</v>
      </c>
      <c r="E884" s="4" t="str">
        <f t="shared" si="25"/>
        <v>Intern</v>
      </c>
      <c r="F884" s="13">
        <v>720</v>
      </c>
      <c r="G884" s="13">
        <v>2</v>
      </c>
      <c r="H884" s="13">
        <v>1</v>
      </c>
      <c r="I884" s="2">
        <v>29950</v>
      </c>
      <c r="J884" s="15">
        <v>865045</v>
      </c>
      <c r="K884" s="4" t="s">
        <v>18</v>
      </c>
      <c r="L884" s="27">
        <f t="shared" si="26"/>
        <v>1981</v>
      </c>
      <c r="M884" s="27">
        <f t="shared" si="27"/>
        <v>5</v>
      </c>
      <c r="N884" s="27">
        <f t="shared" ca="1" si="29"/>
        <v>45</v>
      </c>
      <c r="O884" s="27" t="str" cm="1">
        <f t="array" ref="O884">_xlfn.IFS($F884&gt;=750,"Excellent",$F884&gt;=700,"Good",$F884&gt;=650,"Moderate",
$F884&lt;650,"Risky"
)</f>
        <v>Good</v>
      </c>
      <c r="P884" s="27" t="str" cm="1">
        <f t="array" ref="P884">_xlfn.IFS(
AND(F884&gt;=750,H884&lt;=2),"Low Risk",
AND(F884&gt;=700,H884&lt;=5),"Medium Risk",
TRUE,"High Risk"
)</f>
        <v>Medium Risk</v>
      </c>
      <c r="Q884" s="5"/>
      <c r="R884" s="5"/>
      <c r="S884" s="5"/>
      <c r="T884" s="5"/>
      <c r="U884" s="5"/>
      <c r="V884" s="5"/>
      <c r="W884" s="5"/>
      <c r="X884" s="5"/>
      <c r="Y884" s="5"/>
    </row>
    <row r="885" spans="1:25" ht="15.75" customHeight="1" x14ac:dyDescent="0.25">
      <c r="A885" s="2">
        <v>43931</v>
      </c>
      <c r="B885" s="3">
        <v>46681</v>
      </c>
      <c r="C885" s="4" t="s">
        <v>22</v>
      </c>
      <c r="D885" s="4" t="str">
        <f t="shared" si="24"/>
        <v>Strategy</v>
      </c>
      <c r="E885" s="4" t="str">
        <f t="shared" si="25"/>
        <v>Executive</v>
      </c>
      <c r="F885" s="13">
        <v>789</v>
      </c>
      <c r="G885" s="13">
        <v>1</v>
      </c>
      <c r="H885" s="13">
        <v>3</v>
      </c>
      <c r="I885" s="2">
        <v>34303</v>
      </c>
      <c r="J885" s="15">
        <v>731147</v>
      </c>
      <c r="K885" s="4" t="s">
        <v>18</v>
      </c>
      <c r="L885" s="27">
        <f t="shared" si="26"/>
        <v>1993</v>
      </c>
      <c r="M885" s="27">
        <f t="shared" si="27"/>
        <v>4</v>
      </c>
      <c r="N885" s="27">
        <f t="shared" ca="1" si="29"/>
        <v>33</v>
      </c>
      <c r="O885" s="27" t="str" cm="1">
        <f t="array" ref="O885">_xlfn.IFS($F885&gt;=750,"Excellent",$F885&gt;=700,"Good",$F885&gt;=650,"Moderate",
$F885&lt;650,"Risky"
)</f>
        <v>Excellent</v>
      </c>
      <c r="P885" s="27" t="str" cm="1">
        <f t="array" ref="P885">_xlfn.IFS(
AND(F885&gt;=750,H885&lt;=2),"Low Risk",
AND(F885&gt;=700,H885&lt;=5),"Medium Risk",
TRUE,"High Risk"
)</f>
        <v>Medium Risk</v>
      </c>
      <c r="Q885" s="5"/>
      <c r="R885" s="5"/>
      <c r="S885" s="5"/>
      <c r="T885" s="5"/>
      <c r="U885" s="5"/>
      <c r="V885" s="5"/>
      <c r="W885" s="5"/>
      <c r="X885" s="5"/>
      <c r="Y885" s="5"/>
    </row>
    <row r="886" spans="1:25" ht="15.75" customHeight="1" x14ac:dyDescent="0.25">
      <c r="A886" s="2">
        <v>44049</v>
      </c>
      <c r="B886" s="3">
        <v>60004</v>
      </c>
      <c r="C886" s="4" t="s">
        <v>22</v>
      </c>
      <c r="D886" s="4" t="str">
        <f t="shared" si="24"/>
        <v>Strategy</v>
      </c>
      <c r="E886" s="4" t="str">
        <f t="shared" si="25"/>
        <v>Executive</v>
      </c>
      <c r="F886" s="13">
        <v>705</v>
      </c>
      <c r="G886" s="13">
        <v>3</v>
      </c>
      <c r="H886" s="13">
        <v>7</v>
      </c>
      <c r="I886" s="2">
        <v>31570</v>
      </c>
      <c r="J886" s="15">
        <v>791950</v>
      </c>
      <c r="K886" s="4" t="s">
        <v>18</v>
      </c>
      <c r="L886" s="27">
        <f t="shared" si="26"/>
        <v>1986</v>
      </c>
      <c r="M886" s="27">
        <f t="shared" si="27"/>
        <v>8</v>
      </c>
      <c r="N886" s="27">
        <f t="shared" ca="1" si="29"/>
        <v>40</v>
      </c>
      <c r="O886" s="27" t="str" cm="1">
        <f t="array" ref="O886">_xlfn.IFS($F886&gt;=750,"Excellent",$F886&gt;=700,"Good",$F886&gt;=650,"Moderate",
$F886&lt;650,"Risky"
)</f>
        <v>Good</v>
      </c>
      <c r="P886" s="27" t="str" cm="1">
        <f t="array" ref="P886">_xlfn.IFS(
AND(F886&gt;=750,H886&lt;=2),"Low Risk",
AND(F886&gt;=700,H886&lt;=5),"Medium Risk",
TRUE,"High Risk"
)</f>
        <v>High Risk</v>
      </c>
      <c r="Q886" s="5"/>
      <c r="R886" s="5"/>
      <c r="S886" s="5"/>
      <c r="T886" s="5"/>
      <c r="U886" s="5"/>
      <c r="V886" s="5"/>
      <c r="W886" s="5"/>
      <c r="X886" s="5"/>
      <c r="Y886" s="5"/>
    </row>
    <row r="887" spans="1:25" ht="15.75" customHeight="1" x14ac:dyDescent="0.25">
      <c r="A887" s="2">
        <v>44089</v>
      </c>
      <c r="B887" s="3">
        <v>67704</v>
      </c>
      <c r="C887" s="4" t="s">
        <v>26</v>
      </c>
      <c r="D887" s="4" t="str">
        <f t="shared" si="24"/>
        <v>Strategy</v>
      </c>
      <c r="E887" s="4" t="str">
        <f t="shared" si="25"/>
        <v>Manager</v>
      </c>
      <c r="F887" s="13">
        <v>783</v>
      </c>
      <c r="G887" s="13">
        <v>5</v>
      </c>
      <c r="H887" s="13">
        <v>2</v>
      </c>
      <c r="I887" s="2">
        <v>32311</v>
      </c>
      <c r="J887" s="15">
        <v>911948</v>
      </c>
      <c r="K887" s="4" t="s">
        <v>14</v>
      </c>
      <c r="L887" s="27">
        <f t="shared" si="26"/>
        <v>1988</v>
      </c>
      <c r="M887" s="27">
        <f t="shared" si="27"/>
        <v>9</v>
      </c>
      <c r="N887" s="27">
        <f t="shared" ca="1" si="29"/>
        <v>38</v>
      </c>
      <c r="O887" s="27" t="str" cm="1">
        <f t="array" ref="O887">_xlfn.IFS($F887&gt;=750,"Excellent",$F887&gt;=700,"Good",$F887&gt;=650,"Moderate",
$F887&lt;650,"Risky"
)</f>
        <v>Excellent</v>
      </c>
      <c r="P887" s="27" t="str" cm="1">
        <f t="array" ref="P887">_xlfn.IFS(
AND(F887&gt;=750,H887&lt;=2),"Low Risk",
AND(F887&gt;=700,H887&lt;=5),"Medium Risk",
TRUE,"High Risk"
)</f>
        <v>Low Risk</v>
      </c>
      <c r="Q887" s="5"/>
      <c r="R887" s="5"/>
      <c r="S887" s="5"/>
      <c r="T887" s="5"/>
      <c r="U887" s="5"/>
      <c r="V887" s="5"/>
      <c r="W887" s="5"/>
      <c r="X887" s="5"/>
      <c r="Y887" s="5"/>
    </row>
    <row r="888" spans="1:25" ht="15.75" customHeight="1" x14ac:dyDescent="0.25">
      <c r="A888" s="2">
        <v>43976</v>
      </c>
      <c r="B888" s="3">
        <v>39833</v>
      </c>
      <c r="C888" s="4" t="s">
        <v>13</v>
      </c>
      <c r="D888" s="4" t="str">
        <f t="shared" si="24"/>
        <v>Marketing</v>
      </c>
      <c r="E888" s="4" t="str">
        <f t="shared" si="25"/>
        <v>Director</v>
      </c>
      <c r="F888" s="13">
        <v>730</v>
      </c>
      <c r="G888" s="13">
        <v>4</v>
      </c>
      <c r="H888" s="13">
        <v>2</v>
      </c>
      <c r="I888" s="2">
        <v>33758</v>
      </c>
      <c r="J888" s="15">
        <v>932873</v>
      </c>
      <c r="K888" s="4" t="s">
        <v>14</v>
      </c>
      <c r="L888" s="27">
        <f t="shared" si="26"/>
        <v>1992</v>
      </c>
      <c r="M888" s="27">
        <f t="shared" si="27"/>
        <v>5</v>
      </c>
      <c r="N888" s="27">
        <f t="shared" ca="1" si="29"/>
        <v>34</v>
      </c>
      <c r="O888" s="27" t="str" cm="1">
        <f t="array" ref="O888">_xlfn.IFS($F888&gt;=750,"Excellent",$F888&gt;=700,"Good",$F888&gt;=650,"Moderate",
$F888&lt;650,"Risky"
)</f>
        <v>Good</v>
      </c>
      <c r="P888" s="27" t="str" cm="1">
        <f t="array" ref="P888">_xlfn.IFS(
AND(F888&gt;=750,H888&lt;=2),"Low Risk",
AND(F888&gt;=700,H888&lt;=5),"Medium Risk",
TRUE,"High Risk"
)</f>
        <v>Medium Risk</v>
      </c>
      <c r="Q888" s="5"/>
      <c r="R888" s="5"/>
      <c r="S888" s="5"/>
      <c r="T888" s="5"/>
      <c r="U888" s="5"/>
      <c r="V888" s="5"/>
      <c r="W888" s="5"/>
      <c r="X888" s="5"/>
      <c r="Y888" s="5"/>
    </row>
    <row r="889" spans="1:25" ht="15.75" customHeight="1" x14ac:dyDescent="0.25">
      <c r="A889" s="2">
        <v>43895</v>
      </c>
      <c r="B889" s="3">
        <v>20617</v>
      </c>
      <c r="C889" s="4" t="s">
        <v>34</v>
      </c>
      <c r="D889" s="4" t="str">
        <f t="shared" si="24"/>
        <v>Finance</v>
      </c>
      <c r="E889" s="4" t="str">
        <f t="shared" si="25"/>
        <v>Director</v>
      </c>
      <c r="F889" s="13">
        <v>739</v>
      </c>
      <c r="G889" s="13">
        <v>3</v>
      </c>
      <c r="H889" s="13">
        <v>9</v>
      </c>
      <c r="I889" s="2">
        <v>34679</v>
      </c>
      <c r="J889" s="15">
        <v>805851</v>
      </c>
      <c r="K889" s="4" t="s">
        <v>14</v>
      </c>
      <c r="L889" s="27">
        <f t="shared" si="26"/>
        <v>1994</v>
      </c>
      <c r="M889" s="27">
        <f t="shared" si="27"/>
        <v>3</v>
      </c>
      <c r="N889" s="27">
        <f t="shared" ca="1" si="29"/>
        <v>32</v>
      </c>
      <c r="O889" s="27" t="str" cm="1">
        <f t="array" ref="O889">_xlfn.IFS($F889&gt;=750,"Excellent",$F889&gt;=700,"Good",$F889&gt;=650,"Moderate",
$F889&lt;650,"Risky"
)</f>
        <v>Good</v>
      </c>
      <c r="P889" s="27" t="str" cm="1">
        <f t="array" ref="P889">_xlfn.IFS(
AND(F889&gt;=750,H889&lt;=2),"Low Risk",
AND(F889&gt;=700,H889&lt;=5),"Medium Risk",
TRUE,"High Risk"
)</f>
        <v>High Risk</v>
      </c>
      <c r="Q889" s="5"/>
      <c r="R889" s="5"/>
      <c r="S889" s="5"/>
      <c r="T889" s="5"/>
      <c r="U889" s="5"/>
      <c r="V889" s="5"/>
      <c r="W889" s="5"/>
      <c r="X889" s="5"/>
      <c r="Y889" s="5"/>
    </row>
    <row r="890" spans="1:25" ht="15.75" customHeight="1" x14ac:dyDescent="0.25">
      <c r="A890" s="2">
        <v>43923</v>
      </c>
      <c r="B890" s="3">
        <v>29950</v>
      </c>
      <c r="C890" s="4" t="s">
        <v>37</v>
      </c>
      <c r="D890" s="4" t="str">
        <f t="shared" si="24"/>
        <v>Strategy</v>
      </c>
      <c r="E890" s="4" t="str">
        <f t="shared" si="25"/>
        <v>Director</v>
      </c>
      <c r="F890" s="13">
        <v>784</v>
      </c>
      <c r="G890" s="13">
        <v>2</v>
      </c>
      <c r="H890" s="13">
        <v>3</v>
      </c>
      <c r="I890" s="2">
        <v>30618</v>
      </c>
      <c r="J890" s="15">
        <v>555688</v>
      </c>
      <c r="K890" s="4" t="s">
        <v>21</v>
      </c>
      <c r="L890" s="27">
        <f t="shared" si="26"/>
        <v>1983</v>
      </c>
      <c r="M890" s="27">
        <f t="shared" si="27"/>
        <v>4</v>
      </c>
      <c r="N890" s="27">
        <f t="shared" ca="1" si="29"/>
        <v>43</v>
      </c>
      <c r="O890" s="27" t="str" cm="1">
        <f t="array" ref="O890">_xlfn.IFS($F890&gt;=750,"Excellent",$F890&gt;=700,"Good",$F890&gt;=650,"Moderate",
$F890&lt;650,"Risky"
)</f>
        <v>Excellent</v>
      </c>
      <c r="P890" s="27" t="str" cm="1">
        <f t="array" ref="P890">_xlfn.IFS(
AND(F890&gt;=750,H890&lt;=2),"Low Risk",
AND(F890&gt;=700,H890&lt;=5),"Medium Risk",
TRUE,"High Risk"
)</f>
        <v>Medium Risk</v>
      </c>
      <c r="Q890" s="5"/>
      <c r="R890" s="5"/>
      <c r="S890" s="5"/>
      <c r="T890" s="5"/>
      <c r="U890" s="5"/>
      <c r="V890" s="5"/>
      <c r="W890" s="5"/>
      <c r="X890" s="5"/>
      <c r="Y890" s="5"/>
    </row>
    <row r="891" spans="1:25" ht="15.75" customHeight="1" x14ac:dyDescent="0.25">
      <c r="A891" s="2">
        <v>44088</v>
      </c>
      <c r="B891" s="3">
        <v>84211</v>
      </c>
      <c r="C891" s="4" t="s">
        <v>24</v>
      </c>
      <c r="D891" s="4" t="str">
        <f t="shared" si="24"/>
        <v>Strategy</v>
      </c>
      <c r="E891" s="4" t="str">
        <f t="shared" si="25"/>
        <v>Intern</v>
      </c>
      <c r="F891" s="13">
        <v>781</v>
      </c>
      <c r="G891" s="13">
        <v>2</v>
      </c>
      <c r="H891" s="13">
        <v>4</v>
      </c>
      <c r="I891" s="2">
        <v>34393</v>
      </c>
      <c r="J891" s="15">
        <v>576772</v>
      </c>
      <c r="K891" s="4" t="s">
        <v>14</v>
      </c>
      <c r="L891" s="27">
        <f t="shared" si="26"/>
        <v>1994</v>
      </c>
      <c r="M891" s="27">
        <f t="shared" si="27"/>
        <v>9</v>
      </c>
      <c r="N891" s="27">
        <f t="shared" ca="1" si="29"/>
        <v>32</v>
      </c>
      <c r="O891" s="27" t="str" cm="1">
        <f t="array" ref="O891">_xlfn.IFS($F891&gt;=750,"Excellent",$F891&gt;=700,"Good",$F891&gt;=650,"Moderate",
$F891&lt;650,"Risky"
)</f>
        <v>Excellent</v>
      </c>
      <c r="P891" s="27" t="str" cm="1">
        <f t="array" ref="P891">_xlfn.IFS(
AND(F891&gt;=750,H891&lt;=2),"Low Risk",
AND(F891&gt;=700,H891&lt;=5),"Medium Risk",
TRUE,"High Risk"
)</f>
        <v>Medium Risk</v>
      </c>
      <c r="Q891" s="5"/>
      <c r="R891" s="5"/>
      <c r="S891" s="5"/>
      <c r="T891" s="5"/>
      <c r="U891" s="5"/>
      <c r="V891" s="5"/>
      <c r="W891" s="5"/>
      <c r="X891" s="5"/>
      <c r="Y891" s="5"/>
    </row>
    <row r="892" spans="1:25" ht="15.75" customHeight="1" x14ac:dyDescent="0.25">
      <c r="A892" s="2">
        <v>44093</v>
      </c>
      <c r="B892" s="3">
        <v>84049</v>
      </c>
      <c r="C892" s="4" t="s">
        <v>33</v>
      </c>
      <c r="D892" s="4" t="str">
        <f t="shared" si="24"/>
        <v>Sales</v>
      </c>
      <c r="E892" s="4" t="str">
        <f t="shared" si="25"/>
        <v>Executive</v>
      </c>
      <c r="F892" s="13">
        <v>800</v>
      </c>
      <c r="G892" s="13">
        <v>3</v>
      </c>
      <c r="H892" s="13">
        <v>9</v>
      </c>
      <c r="I892" s="2">
        <v>30005</v>
      </c>
      <c r="J892" s="15">
        <v>593323</v>
      </c>
      <c r="K892" s="4" t="s">
        <v>18</v>
      </c>
      <c r="L892" s="27">
        <f t="shared" si="26"/>
        <v>1982</v>
      </c>
      <c r="M892" s="27">
        <f t="shared" si="27"/>
        <v>9</v>
      </c>
      <c r="N892" s="27">
        <f t="shared" ca="1" si="29"/>
        <v>44</v>
      </c>
      <c r="O892" s="27" t="str" cm="1">
        <f t="array" ref="O892">_xlfn.IFS($F892&gt;=750,"Excellent",$F892&gt;=700,"Good",$F892&gt;=650,"Moderate",
$F892&lt;650,"Risky"
)</f>
        <v>Excellent</v>
      </c>
      <c r="P892" s="27" t="str" cm="1">
        <f t="array" ref="P892">_xlfn.IFS(
AND(F892&gt;=750,H892&lt;=2),"Low Risk",
AND(F892&gt;=700,H892&lt;=5),"Medium Risk",
TRUE,"High Risk"
)</f>
        <v>High Risk</v>
      </c>
      <c r="Q892" s="5"/>
      <c r="R892" s="5"/>
      <c r="S892" s="5"/>
      <c r="T892" s="5"/>
      <c r="U892" s="5"/>
      <c r="V892" s="5"/>
      <c r="W892" s="5"/>
      <c r="X892" s="5"/>
      <c r="Y892" s="5"/>
    </row>
    <row r="893" spans="1:25" ht="15.75" customHeight="1" x14ac:dyDescent="0.25">
      <c r="A893" s="2">
        <v>43949</v>
      </c>
      <c r="B893" s="3">
        <v>68344</v>
      </c>
      <c r="C893" s="4" t="s">
        <v>19</v>
      </c>
      <c r="D893" s="4" t="str">
        <f t="shared" si="24"/>
        <v>Marketing</v>
      </c>
      <c r="E893" s="4" t="str">
        <f t="shared" si="25"/>
        <v>Manager</v>
      </c>
      <c r="F893" s="13">
        <v>756</v>
      </c>
      <c r="G893" s="13">
        <v>3</v>
      </c>
      <c r="H893" s="13">
        <v>3</v>
      </c>
      <c r="I893" s="2">
        <v>34157</v>
      </c>
      <c r="J893" s="15">
        <v>628220</v>
      </c>
      <c r="K893" s="4" t="s">
        <v>21</v>
      </c>
      <c r="L893" s="27">
        <f t="shared" si="26"/>
        <v>1993</v>
      </c>
      <c r="M893" s="27">
        <f t="shared" si="27"/>
        <v>4</v>
      </c>
      <c r="N893" s="27">
        <f t="shared" ca="1" si="29"/>
        <v>33</v>
      </c>
      <c r="O893" s="27" t="str" cm="1">
        <f t="array" ref="O893">_xlfn.IFS($F893&gt;=750,"Excellent",$F893&gt;=700,"Good",$F893&gt;=650,"Moderate",
$F893&lt;650,"Risky"
)</f>
        <v>Excellent</v>
      </c>
      <c r="P893" s="27" t="str" cm="1">
        <f t="array" ref="P893">_xlfn.IFS(
AND(F893&gt;=750,H893&lt;=2),"Low Risk",
AND(F893&gt;=700,H893&lt;=5),"Medium Risk",
TRUE,"High Risk"
)</f>
        <v>Medium Risk</v>
      </c>
      <c r="Q893" s="5"/>
      <c r="R893" s="5"/>
      <c r="S893" s="5"/>
      <c r="T893" s="5"/>
      <c r="U893" s="5"/>
      <c r="V893" s="5"/>
      <c r="W893" s="5"/>
      <c r="X893" s="5"/>
      <c r="Y893" s="5"/>
    </row>
    <row r="894" spans="1:25" ht="15.75" customHeight="1" x14ac:dyDescent="0.25">
      <c r="A894" s="2">
        <v>43950</v>
      </c>
      <c r="B894" s="3">
        <v>43744</v>
      </c>
      <c r="C894" s="4" t="s">
        <v>29</v>
      </c>
      <c r="D894" s="4" t="str">
        <f t="shared" si="24"/>
        <v>Sales</v>
      </c>
      <c r="E894" s="4" t="str">
        <f t="shared" si="25"/>
        <v>Director</v>
      </c>
      <c r="F894" s="13">
        <v>747</v>
      </c>
      <c r="G894" s="13">
        <v>2</v>
      </c>
      <c r="H894" s="13">
        <v>1</v>
      </c>
      <c r="I894" s="2">
        <v>32889</v>
      </c>
      <c r="J894" s="15">
        <v>693621</v>
      </c>
      <c r="K894" s="4" t="s">
        <v>21</v>
      </c>
      <c r="L894" s="27">
        <f t="shared" si="26"/>
        <v>1990</v>
      </c>
      <c r="M894" s="27">
        <f t="shared" si="27"/>
        <v>4</v>
      </c>
      <c r="N894" s="27">
        <f t="shared" ca="1" si="29"/>
        <v>36</v>
      </c>
      <c r="O894" s="27" t="str" cm="1">
        <f t="array" ref="O894">_xlfn.IFS($F894&gt;=750,"Excellent",$F894&gt;=700,"Good",$F894&gt;=650,"Moderate",
$F894&lt;650,"Risky"
)</f>
        <v>Good</v>
      </c>
      <c r="P894" s="27" t="str" cm="1">
        <f t="array" ref="P894">_xlfn.IFS(
AND(F894&gt;=750,H894&lt;=2),"Low Risk",
AND(F894&gt;=700,H894&lt;=5),"Medium Risk",
TRUE,"High Risk"
)</f>
        <v>Medium Risk</v>
      </c>
      <c r="Q894" s="5"/>
      <c r="R894" s="5"/>
      <c r="S894" s="5"/>
      <c r="T894" s="5"/>
      <c r="U894" s="5"/>
      <c r="V894" s="5"/>
      <c r="W894" s="5"/>
      <c r="X894" s="5"/>
      <c r="Y894" s="5"/>
    </row>
    <row r="895" spans="1:25" ht="15.75" customHeight="1" x14ac:dyDescent="0.25">
      <c r="A895" s="2">
        <v>43872</v>
      </c>
      <c r="B895" s="3">
        <v>16002</v>
      </c>
      <c r="C895" s="4" t="s">
        <v>23</v>
      </c>
      <c r="D895" s="4" t="str">
        <f t="shared" si="24"/>
        <v>Marketing</v>
      </c>
      <c r="E895" s="4" t="str">
        <f t="shared" si="25"/>
        <v>Intern</v>
      </c>
      <c r="F895" s="13">
        <v>783</v>
      </c>
      <c r="G895" s="13">
        <v>2</v>
      </c>
      <c r="H895" s="13">
        <v>8</v>
      </c>
      <c r="I895" s="2">
        <v>33736</v>
      </c>
      <c r="J895" s="15">
        <v>868112</v>
      </c>
      <c r="K895" s="4" t="s">
        <v>18</v>
      </c>
      <c r="L895" s="27">
        <f t="shared" si="26"/>
        <v>1992</v>
      </c>
      <c r="M895" s="27">
        <f t="shared" si="27"/>
        <v>2</v>
      </c>
      <c r="N895" s="27">
        <f t="shared" ca="1" si="29"/>
        <v>34</v>
      </c>
      <c r="O895" s="27" t="str" cm="1">
        <f t="array" ref="O895">_xlfn.IFS($F895&gt;=750,"Excellent",$F895&gt;=700,"Good",$F895&gt;=650,"Moderate",
$F895&lt;650,"Risky"
)</f>
        <v>Excellent</v>
      </c>
      <c r="P895" s="27" t="str" cm="1">
        <f t="array" ref="P895">_xlfn.IFS(
AND(F895&gt;=750,H895&lt;=2),"Low Risk",
AND(F895&gt;=700,H895&lt;=5),"Medium Risk",
TRUE,"High Risk"
)</f>
        <v>High Risk</v>
      </c>
      <c r="Q895" s="5"/>
      <c r="R895" s="5"/>
      <c r="S895" s="5"/>
      <c r="T895" s="5"/>
      <c r="U895" s="5"/>
      <c r="V895" s="5"/>
      <c r="W895" s="5"/>
      <c r="X895" s="5"/>
      <c r="Y895" s="5"/>
    </row>
    <row r="896" spans="1:25" ht="15.75" customHeight="1" x14ac:dyDescent="0.25">
      <c r="A896" s="2">
        <v>44135</v>
      </c>
      <c r="B896" s="3">
        <v>53353</v>
      </c>
      <c r="C896" s="4" t="s">
        <v>22</v>
      </c>
      <c r="D896" s="4" t="str">
        <f t="shared" si="24"/>
        <v>Strategy</v>
      </c>
      <c r="E896" s="4" t="str">
        <f t="shared" si="25"/>
        <v>Executive</v>
      </c>
      <c r="F896" s="13">
        <v>715</v>
      </c>
      <c r="G896" s="13">
        <v>1</v>
      </c>
      <c r="H896" s="13">
        <v>10</v>
      </c>
      <c r="I896" s="2">
        <v>34588</v>
      </c>
      <c r="J896" s="15">
        <v>883957</v>
      </c>
      <c r="K896" s="4" t="s">
        <v>14</v>
      </c>
      <c r="L896" s="27">
        <f t="shared" si="26"/>
        <v>1994</v>
      </c>
      <c r="M896" s="27">
        <f t="shared" si="27"/>
        <v>10</v>
      </c>
      <c r="N896" s="27">
        <f t="shared" ca="1" si="29"/>
        <v>32</v>
      </c>
      <c r="O896" s="27" t="str" cm="1">
        <f t="array" ref="O896">_xlfn.IFS($F896&gt;=750,"Excellent",$F896&gt;=700,"Good",$F896&gt;=650,"Moderate",
$F896&lt;650,"Risky"
)</f>
        <v>Good</v>
      </c>
      <c r="P896" s="27" t="str" cm="1">
        <f t="array" ref="P896">_xlfn.IFS(
AND(F896&gt;=750,H896&lt;=2),"Low Risk",
AND(F896&gt;=700,H896&lt;=5),"Medium Risk",
TRUE,"High Risk"
)</f>
        <v>High Risk</v>
      </c>
      <c r="Q896" s="5"/>
      <c r="R896" s="5"/>
      <c r="S896" s="5"/>
      <c r="T896" s="5"/>
      <c r="U896" s="5"/>
      <c r="V896" s="5"/>
      <c r="W896" s="5"/>
      <c r="X896" s="5"/>
      <c r="Y896" s="5"/>
    </row>
    <row r="897" spans="1:25" ht="15.75" customHeight="1" x14ac:dyDescent="0.25">
      <c r="A897" s="2">
        <v>43980</v>
      </c>
      <c r="B897" s="3">
        <v>80050</v>
      </c>
      <c r="C897" s="4" t="s">
        <v>34</v>
      </c>
      <c r="D897" s="4" t="str">
        <f t="shared" si="24"/>
        <v>Finance</v>
      </c>
      <c r="E897" s="4" t="str">
        <f t="shared" si="25"/>
        <v>Director</v>
      </c>
      <c r="F897" s="13">
        <v>726</v>
      </c>
      <c r="G897" s="13">
        <v>1</v>
      </c>
      <c r="H897" s="13">
        <v>9</v>
      </c>
      <c r="I897" s="2">
        <v>30157</v>
      </c>
      <c r="J897" s="15">
        <v>645331</v>
      </c>
      <c r="K897" s="4" t="s">
        <v>14</v>
      </c>
      <c r="L897" s="27">
        <f t="shared" si="26"/>
        <v>1982</v>
      </c>
      <c r="M897" s="27">
        <f t="shared" si="27"/>
        <v>5</v>
      </c>
      <c r="N897" s="27">
        <f t="shared" ca="1" si="29"/>
        <v>44</v>
      </c>
      <c r="O897" s="27" t="str" cm="1">
        <f t="array" ref="O897">_xlfn.IFS($F897&gt;=750,"Excellent",$F897&gt;=700,"Good",$F897&gt;=650,"Moderate",
$F897&lt;650,"Risky"
)</f>
        <v>Good</v>
      </c>
      <c r="P897" s="27" t="str" cm="1">
        <f t="array" ref="P897">_xlfn.IFS(
AND(F897&gt;=750,H897&lt;=2),"Low Risk",
AND(F897&gt;=700,H897&lt;=5),"Medium Risk",
TRUE,"High Risk"
)</f>
        <v>High Risk</v>
      </c>
      <c r="Q897" s="5"/>
      <c r="R897" s="5"/>
      <c r="S897" s="5"/>
      <c r="T897" s="5"/>
      <c r="U897" s="5"/>
      <c r="V897" s="5"/>
      <c r="W897" s="5"/>
      <c r="X897" s="5"/>
      <c r="Y897" s="5"/>
    </row>
    <row r="898" spans="1:25" ht="15.75" customHeight="1" x14ac:dyDescent="0.25">
      <c r="A898" s="2">
        <v>44151</v>
      </c>
      <c r="B898" s="3">
        <v>20792</v>
      </c>
      <c r="C898" s="4" t="s">
        <v>13</v>
      </c>
      <c r="D898" s="4" t="str">
        <f t="shared" si="24"/>
        <v>Marketing</v>
      </c>
      <c r="E898" s="4" t="str">
        <f t="shared" si="25"/>
        <v>Director</v>
      </c>
      <c r="F898" s="13">
        <v>779</v>
      </c>
      <c r="G898" s="13">
        <v>2</v>
      </c>
      <c r="H898" s="13">
        <v>4</v>
      </c>
      <c r="I898" s="2">
        <v>31421</v>
      </c>
      <c r="J898" s="15">
        <v>693474</v>
      </c>
      <c r="K898" s="4" t="s">
        <v>21</v>
      </c>
      <c r="L898" s="27">
        <f t="shared" si="26"/>
        <v>1986</v>
      </c>
      <c r="M898" s="27">
        <f t="shared" si="27"/>
        <v>11</v>
      </c>
      <c r="N898" s="27">
        <f t="shared" ca="1" si="29"/>
        <v>40</v>
      </c>
      <c r="O898" s="27" t="str" cm="1">
        <f t="array" ref="O898">_xlfn.IFS($F898&gt;=750,"Excellent",$F898&gt;=700,"Good",$F898&gt;=650,"Moderate",
$F898&lt;650,"Risky"
)</f>
        <v>Excellent</v>
      </c>
      <c r="P898" s="27" t="str" cm="1">
        <f t="array" ref="P898">_xlfn.IFS(
AND(F898&gt;=750,H898&lt;=2),"Low Risk",
AND(F898&gt;=700,H898&lt;=5),"Medium Risk",
TRUE,"High Risk"
)</f>
        <v>Medium Risk</v>
      </c>
      <c r="Q898" s="5"/>
      <c r="R898" s="5"/>
      <c r="S898" s="5"/>
      <c r="T898" s="5"/>
      <c r="U898" s="5"/>
      <c r="V898" s="5"/>
      <c r="W898" s="5"/>
      <c r="X898" s="5"/>
      <c r="Y898" s="5"/>
    </row>
    <row r="899" spans="1:25" ht="15.75" customHeight="1" x14ac:dyDescent="0.25">
      <c r="A899" s="2">
        <v>43843</v>
      </c>
      <c r="B899" s="3">
        <v>95386</v>
      </c>
      <c r="C899" s="4" t="s">
        <v>26</v>
      </c>
      <c r="D899" s="4" t="str">
        <f t="shared" si="24"/>
        <v>Strategy</v>
      </c>
      <c r="E899" s="4" t="str">
        <f t="shared" si="25"/>
        <v>Manager</v>
      </c>
      <c r="F899" s="13">
        <v>732</v>
      </c>
      <c r="G899" s="13">
        <v>5</v>
      </c>
      <c r="H899" s="13">
        <v>5</v>
      </c>
      <c r="I899" s="2">
        <v>29337</v>
      </c>
      <c r="J899" s="15">
        <v>910949</v>
      </c>
      <c r="K899" s="4" t="s">
        <v>14</v>
      </c>
      <c r="L899" s="27">
        <f t="shared" si="26"/>
        <v>1980</v>
      </c>
      <c r="M899" s="27">
        <f t="shared" si="27"/>
        <v>1</v>
      </c>
      <c r="N899" s="27">
        <f t="shared" ref="N899:N962" ca="1" si="30" xml:space="preserve"> YEAR(TODAY()) - $L899</f>
        <v>46</v>
      </c>
      <c r="O899" s="27" t="str" cm="1">
        <f t="array" ref="O899">_xlfn.IFS($F899&gt;=750,"Excellent",$F899&gt;=700,"Good",$F899&gt;=650,"Moderate",
$F899&lt;650,"Risky"
)</f>
        <v>Good</v>
      </c>
      <c r="P899" s="27" t="str" cm="1">
        <f t="array" ref="P899">_xlfn.IFS(
AND(F899&gt;=750,H899&lt;=2),"Low Risk",
AND(F899&gt;=700,H899&lt;=5),"Medium Risk",
TRUE,"High Risk"
)</f>
        <v>Medium Risk</v>
      </c>
      <c r="Q899" s="5"/>
      <c r="R899" s="5"/>
      <c r="S899" s="5"/>
      <c r="T899" s="5"/>
      <c r="U899" s="5"/>
      <c r="V899" s="5"/>
      <c r="W899" s="5"/>
      <c r="X899" s="5"/>
      <c r="Y899" s="5"/>
    </row>
    <row r="900" spans="1:25" ht="15.75" customHeight="1" x14ac:dyDescent="0.25">
      <c r="A900" s="2">
        <v>43998</v>
      </c>
      <c r="B900" s="3">
        <v>61042</v>
      </c>
      <c r="C900" s="4" t="s">
        <v>24</v>
      </c>
      <c r="D900" s="4" t="str">
        <f t="shared" si="24"/>
        <v>Strategy</v>
      </c>
      <c r="E900" s="4" t="str">
        <f t="shared" si="25"/>
        <v>Intern</v>
      </c>
      <c r="F900" s="13">
        <v>788</v>
      </c>
      <c r="G900" s="13">
        <v>4</v>
      </c>
      <c r="H900" s="13">
        <v>8</v>
      </c>
      <c r="I900" s="2">
        <v>30691</v>
      </c>
      <c r="J900" s="15">
        <v>742181</v>
      </c>
      <c r="K900" s="4" t="s">
        <v>21</v>
      </c>
      <c r="L900" s="27">
        <f t="shared" si="26"/>
        <v>1984</v>
      </c>
      <c r="M900" s="27">
        <f t="shared" si="27"/>
        <v>6</v>
      </c>
      <c r="N900" s="27">
        <f t="shared" ca="1" si="30"/>
        <v>42</v>
      </c>
      <c r="O900" s="27" t="str" cm="1">
        <f t="array" ref="O900">_xlfn.IFS($F900&gt;=750,"Excellent",$F900&gt;=700,"Good",$F900&gt;=650,"Moderate",
$F900&lt;650,"Risky"
)</f>
        <v>Excellent</v>
      </c>
      <c r="P900" s="27" t="str" cm="1">
        <f t="array" ref="P900">_xlfn.IFS(
AND(F900&gt;=750,H900&lt;=2),"Low Risk",
AND(F900&gt;=700,H900&lt;=5),"Medium Risk",
TRUE,"High Risk"
)</f>
        <v>High Risk</v>
      </c>
      <c r="Q900" s="5"/>
      <c r="R900" s="5"/>
      <c r="S900" s="5"/>
      <c r="T900" s="5"/>
      <c r="U900" s="5"/>
      <c r="V900" s="5"/>
      <c r="W900" s="5"/>
      <c r="X900" s="5"/>
      <c r="Y900" s="5"/>
    </row>
    <row r="901" spans="1:25" ht="15.75" customHeight="1" x14ac:dyDescent="0.25">
      <c r="A901" s="2">
        <v>44067</v>
      </c>
      <c r="B901" s="3">
        <v>49163</v>
      </c>
      <c r="C901" s="4" t="s">
        <v>19</v>
      </c>
      <c r="D901" s="4" t="str">
        <f t="shared" si="24"/>
        <v>Marketing</v>
      </c>
      <c r="E901" s="4" t="str">
        <f t="shared" si="25"/>
        <v>Manager</v>
      </c>
      <c r="F901" s="13">
        <v>735</v>
      </c>
      <c r="G901" s="13">
        <v>1</v>
      </c>
      <c r="H901" s="13">
        <v>2</v>
      </c>
      <c r="I901" s="2">
        <v>31938</v>
      </c>
      <c r="J901" s="15">
        <v>530738</v>
      </c>
      <c r="K901" s="4" t="s">
        <v>18</v>
      </c>
      <c r="L901" s="27">
        <f t="shared" si="26"/>
        <v>1987</v>
      </c>
      <c r="M901" s="27">
        <f t="shared" si="27"/>
        <v>8</v>
      </c>
      <c r="N901" s="27">
        <f t="shared" ca="1" si="30"/>
        <v>39</v>
      </c>
      <c r="O901" s="27" t="str" cm="1">
        <f t="array" ref="O901">_xlfn.IFS($F901&gt;=750,"Excellent",$F901&gt;=700,"Good",$F901&gt;=650,"Moderate",
$F901&lt;650,"Risky"
)</f>
        <v>Good</v>
      </c>
      <c r="P901" s="27" t="str" cm="1">
        <f t="array" ref="P901">_xlfn.IFS(
AND(F901&gt;=750,H901&lt;=2),"Low Risk",
AND(F901&gt;=700,H901&lt;=5),"Medium Risk",
TRUE,"High Risk"
)</f>
        <v>Medium Risk</v>
      </c>
      <c r="Q901" s="5"/>
      <c r="R901" s="5"/>
      <c r="S901" s="5"/>
      <c r="T901" s="5"/>
      <c r="U901" s="5"/>
      <c r="V901" s="5"/>
      <c r="W901" s="5"/>
      <c r="X901" s="5"/>
      <c r="Y901" s="5"/>
    </row>
    <row r="902" spans="1:25" ht="15.75" customHeight="1" x14ac:dyDescent="0.25">
      <c r="A902" s="2">
        <v>44169</v>
      </c>
      <c r="B902" s="3">
        <v>89479</v>
      </c>
      <c r="C902" s="4" t="s">
        <v>20</v>
      </c>
      <c r="D902" s="4" t="str">
        <f t="shared" si="24"/>
        <v>Operation</v>
      </c>
      <c r="E902" s="4" t="str">
        <f t="shared" si="25"/>
        <v>Manager</v>
      </c>
      <c r="F902" s="13">
        <v>770</v>
      </c>
      <c r="G902" s="13">
        <v>5</v>
      </c>
      <c r="H902" s="13">
        <v>4</v>
      </c>
      <c r="I902" s="2">
        <v>30520</v>
      </c>
      <c r="J902" s="15">
        <v>966350</v>
      </c>
      <c r="K902" s="4" t="s">
        <v>18</v>
      </c>
      <c r="L902" s="27">
        <f t="shared" si="26"/>
        <v>1983</v>
      </c>
      <c r="M902" s="27">
        <f t="shared" si="27"/>
        <v>12</v>
      </c>
      <c r="N902" s="27">
        <f t="shared" ca="1" si="30"/>
        <v>43</v>
      </c>
      <c r="O902" s="27" t="str" cm="1">
        <f t="array" ref="O902">_xlfn.IFS($F902&gt;=750,"Excellent",$F902&gt;=700,"Good",$F902&gt;=650,"Moderate",
$F902&lt;650,"Risky"
)</f>
        <v>Excellent</v>
      </c>
      <c r="P902" s="27" t="str" cm="1">
        <f t="array" ref="P902">_xlfn.IFS(
AND(F902&gt;=750,H902&lt;=2),"Low Risk",
AND(F902&gt;=700,H902&lt;=5),"Medium Risk",
TRUE,"High Risk"
)</f>
        <v>Medium Risk</v>
      </c>
      <c r="Q902" s="5"/>
      <c r="R902" s="5"/>
      <c r="S902" s="5"/>
      <c r="T902" s="5"/>
      <c r="U902" s="5"/>
      <c r="V902" s="5"/>
      <c r="W902" s="5"/>
      <c r="X902" s="5"/>
      <c r="Y902" s="5"/>
    </row>
    <row r="903" spans="1:25" ht="15.75" customHeight="1" x14ac:dyDescent="0.25">
      <c r="A903" s="2">
        <v>43899</v>
      </c>
      <c r="B903" s="3">
        <v>61277</v>
      </c>
      <c r="C903" s="4" t="s">
        <v>39</v>
      </c>
      <c r="D903" s="4" t="str">
        <f t="shared" si="24"/>
        <v>Growth</v>
      </c>
      <c r="E903" s="4" t="str">
        <f t="shared" si="25"/>
        <v>Executive</v>
      </c>
      <c r="F903" s="13">
        <v>761</v>
      </c>
      <c r="G903" s="13">
        <v>4</v>
      </c>
      <c r="H903" s="13">
        <v>3</v>
      </c>
      <c r="I903" s="2">
        <v>31167</v>
      </c>
      <c r="J903" s="15">
        <v>760297</v>
      </c>
      <c r="K903" s="4" t="s">
        <v>18</v>
      </c>
      <c r="L903" s="27">
        <f t="shared" si="26"/>
        <v>1985</v>
      </c>
      <c r="M903" s="27">
        <f t="shared" si="27"/>
        <v>3</v>
      </c>
      <c r="N903" s="27">
        <f t="shared" ca="1" si="30"/>
        <v>41</v>
      </c>
      <c r="O903" s="27" t="str" cm="1">
        <f t="array" ref="O903">_xlfn.IFS($F903&gt;=750,"Excellent",$F903&gt;=700,"Good",$F903&gt;=650,"Moderate",
$F903&lt;650,"Risky"
)</f>
        <v>Excellent</v>
      </c>
      <c r="P903" s="27" t="str" cm="1">
        <f t="array" ref="P903">_xlfn.IFS(
AND(F903&gt;=750,H903&lt;=2),"Low Risk",
AND(F903&gt;=700,H903&lt;=5),"Medium Risk",
TRUE,"High Risk"
)</f>
        <v>Medium Risk</v>
      </c>
      <c r="Q903" s="5"/>
      <c r="R903" s="5"/>
      <c r="S903" s="5"/>
      <c r="T903" s="5"/>
      <c r="U903" s="5"/>
      <c r="V903" s="5"/>
      <c r="W903" s="5"/>
      <c r="X903" s="5"/>
      <c r="Y903" s="5"/>
    </row>
    <row r="904" spans="1:25" ht="15.75" customHeight="1" x14ac:dyDescent="0.25">
      <c r="A904" s="2">
        <v>44128</v>
      </c>
      <c r="B904" s="3">
        <v>40667</v>
      </c>
      <c r="C904" s="4" t="s">
        <v>35</v>
      </c>
      <c r="D904" s="4" t="str">
        <f t="shared" si="24"/>
        <v>Growth</v>
      </c>
      <c r="E904" s="4" t="str">
        <f t="shared" si="25"/>
        <v>Intern</v>
      </c>
      <c r="F904" s="13">
        <v>754</v>
      </c>
      <c r="G904" s="13">
        <v>5</v>
      </c>
      <c r="H904" s="13">
        <v>10</v>
      </c>
      <c r="I904" s="2">
        <v>32265</v>
      </c>
      <c r="J904" s="15">
        <v>941650</v>
      </c>
      <c r="K904" s="4" t="s">
        <v>21</v>
      </c>
      <c r="L904" s="27">
        <f t="shared" si="26"/>
        <v>1988</v>
      </c>
      <c r="M904" s="27">
        <f t="shared" si="27"/>
        <v>10</v>
      </c>
      <c r="N904" s="27">
        <f t="shared" ca="1" si="30"/>
        <v>38</v>
      </c>
      <c r="O904" s="27" t="str" cm="1">
        <f t="array" ref="O904">_xlfn.IFS($F904&gt;=750,"Excellent",$F904&gt;=700,"Good",$F904&gt;=650,"Moderate",
$F904&lt;650,"Risky"
)</f>
        <v>Excellent</v>
      </c>
      <c r="P904" s="27" t="str" cm="1">
        <f t="array" ref="P904">_xlfn.IFS(
AND(F904&gt;=750,H904&lt;=2),"Low Risk",
AND(F904&gt;=700,H904&lt;=5),"Medium Risk",
TRUE,"High Risk"
)</f>
        <v>High Risk</v>
      </c>
      <c r="Q904" s="5"/>
      <c r="R904" s="5"/>
      <c r="S904" s="5"/>
      <c r="T904" s="5"/>
      <c r="U904" s="5"/>
      <c r="V904" s="5"/>
      <c r="W904" s="5"/>
      <c r="X904" s="5"/>
      <c r="Y904" s="5"/>
    </row>
    <row r="905" spans="1:25" ht="15.75" customHeight="1" x14ac:dyDescent="0.25">
      <c r="A905" s="2">
        <v>44123</v>
      </c>
      <c r="B905" s="3">
        <v>86938</v>
      </c>
      <c r="C905" s="4" t="s">
        <v>22</v>
      </c>
      <c r="D905" s="4" t="str">
        <f t="shared" si="24"/>
        <v>Strategy</v>
      </c>
      <c r="E905" s="4" t="str">
        <f t="shared" si="25"/>
        <v>Executive</v>
      </c>
      <c r="F905" s="13">
        <v>743</v>
      </c>
      <c r="G905" s="13">
        <v>1</v>
      </c>
      <c r="H905" s="13">
        <v>6</v>
      </c>
      <c r="I905" s="2">
        <v>31024</v>
      </c>
      <c r="J905" s="15">
        <v>645045</v>
      </c>
      <c r="K905" s="4" t="s">
        <v>14</v>
      </c>
      <c r="L905" s="27">
        <f t="shared" si="26"/>
        <v>1984</v>
      </c>
      <c r="M905" s="27">
        <f t="shared" si="27"/>
        <v>10</v>
      </c>
      <c r="N905" s="27">
        <f t="shared" ca="1" si="30"/>
        <v>42</v>
      </c>
      <c r="O905" s="27" t="str" cm="1">
        <f t="array" ref="O905">_xlfn.IFS($F905&gt;=750,"Excellent",$F905&gt;=700,"Good",$F905&gt;=650,"Moderate",
$F905&lt;650,"Risky"
)</f>
        <v>Good</v>
      </c>
      <c r="P905" s="27" t="str" cm="1">
        <f t="array" ref="P905">_xlfn.IFS(
AND(F905&gt;=750,H905&lt;=2),"Low Risk",
AND(F905&gt;=700,H905&lt;=5),"Medium Risk",
TRUE,"High Risk"
)</f>
        <v>High Risk</v>
      </c>
      <c r="Q905" s="5"/>
      <c r="R905" s="5"/>
      <c r="S905" s="5"/>
      <c r="T905" s="5"/>
      <c r="U905" s="5"/>
      <c r="V905" s="5"/>
      <c r="W905" s="5"/>
      <c r="X905" s="5"/>
      <c r="Y905" s="5"/>
    </row>
    <row r="906" spans="1:25" ht="15.75" customHeight="1" x14ac:dyDescent="0.25">
      <c r="A906" s="2">
        <v>44048</v>
      </c>
      <c r="B906" s="3">
        <v>46268</v>
      </c>
      <c r="C906" s="4" t="s">
        <v>26</v>
      </c>
      <c r="D906" s="4" t="str">
        <f t="shared" si="24"/>
        <v>Strategy</v>
      </c>
      <c r="E906" s="4" t="str">
        <f t="shared" si="25"/>
        <v>Manager</v>
      </c>
      <c r="F906" s="13">
        <v>752</v>
      </c>
      <c r="G906" s="13">
        <v>2</v>
      </c>
      <c r="H906" s="13">
        <v>8</v>
      </c>
      <c r="I906" s="2">
        <v>33609</v>
      </c>
      <c r="J906" s="15">
        <v>519971</v>
      </c>
      <c r="K906" s="4" t="s">
        <v>18</v>
      </c>
      <c r="L906" s="27">
        <f t="shared" si="26"/>
        <v>1992</v>
      </c>
      <c r="M906" s="27">
        <f t="shared" si="27"/>
        <v>8</v>
      </c>
      <c r="N906" s="27">
        <f t="shared" ca="1" si="30"/>
        <v>34</v>
      </c>
      <c r="O906" s="27" t="str" cm="1">
        <f t="array" ref="O906">_xlfn.IFS($F906&gt;=750,"Excellent",$F906&gt;=700,"Good",$F906&gt;=650,"Moderate",
$F906&lt;650,"Risky"
)</f>
        <v>Excellent</v>
      </c>
      <c r="P906" s="27" t="str" cm="1">
        <f t="array" ref="P906">_xlfn.IFS(
AND(F906&gt;=750,H906&lt;=2),"Low Risk",
AND(F906&gt;=700,H906&lt;=5),"Medium Risk",
TRUE,"High Risk"
)</f>
        <v>High Risk</v>
      </c>
      <c r="Q906" s="5"/>
      <c r="R906" s="5"/>
      <c r="S906" s="5"/>
      <c r="T906" s="5"/>
      <c r="U906" s="5"/>
      <c r="V906" s="5"/>
      <c r="W906" s="5"/>
      <c r="X906" s="5"/>
      <c r="Y906" s="5"/>
    </row>
    <row r="907" spans="1:25" ht="15.75" customHeight="1" x14ac:dyDescent="0.25">
      <c r="A907" s="2">
        <v>43936</v>
      </c>
      <c r="B907" s="3">
        <v>56840</v>
      </c>
      <c r="C907" s="4" t="s">
        <v>30</v>
      </c>
      <c r="D907" s="4" t="str">
        <f t="shared" si="24"/>
        <v>Operation</v>
      </c>
      <c r="E907" s="4" t="str">
        <f t="shared" si="25"/>
        <v>Director</v>
      </c>
      <c r="F907" s="13">
        <v>755</v>
      </c>
      <c r="G907" s="13">
        <v>5</v>
      </c>
      <c r="H907" s="13">
        <v>2</v>
      </c>
      <c r="I907" s="2">
        <v>31105</v>
      </c>
      <c r="J907" s="15">
        <v>641697</v>
      </c>
      <c r="K907" s="4" t="s">
        <v>18</v>
      </c>
      <c r="L907" s="27">
        <f t="shared" si="26"/>
        <v>1985</v>
      </c>
      <c r="M907" s="27">
        <f t="shared" si="27"/>
        <v>4</v>
      </c>
      <c r="N907" s="27">
        <f t="shared" ca="1" si="30"/>
        <v>41</v>
      </c>
      <c r="O907" s="27" t="str" cm="1">
        <f t="array" ref="O907">_xlfn.IFS($F907&gt;=750,"Excellent",$F907&gt;=700,"Good",$F907&gt;=650,"Moderate",
$F907&lt;650,"Risky"
)</f>
        <v>Excellent</v>
      </c>
      <c r="P907" s="27" t="str" cm="1">
        <f t="array" ref="P907">_xlfn.IFS(
AND(F907&gt;=750,H907&lt;=2),"Low Risk",
AND(F907&gt;=700,H907&lt;=5),"Medium Risk",
TRUE,"High Risk"
)</f>
        <v>Low Risk</v>
      </c>
      <c r="Q907" s="5"/>
      <c r="R907" s="5"/>
      <c r="S907" s="5"/>
      <c r="T907" s="5"/>
      <c r="U907" s="5"/>
      <c r="V907" s="5"/>
      <c r="W907" s="5"/>
      <c r="X907" s="5"/>
      <c r="Y907" s="5"/>
    </row>
    <row r="908" spans="1:25" ht="15.75" customHeight="1" x14ac:dyDescent="0.25">
      <c r="A908" s="2">
        <v>43987</v>
      </c>
      <c r="B908" s="3">
        <v>27730</v>
      </c>
      <c r="C908" s="4" t="s">
        <v>28</v>
      </c>
      <c r="D908" s="4" t="str">
        <f t="shared" si="24"/>
        <v>Growth</v>
      </c>
      <c r="E908" s="4" t="str">
        <f t="shared" si="25"/>
        <v>Director</v>
      </c>
      <c r="F908" s="13">
        <v>755</v>
      </c>
      <c r="G908" s="13">
        <v>1</v>
      </c>
      <c r="H908" s="13">
        <v>10</v>
      </c>
      <c r="I908" s="2">
        <v>34279</v>
      </c>
      <c r="J908" s="15">
        <v>856240</v>
      </c>
      <c r="K908" s="4" t="s">
        <v>14</v>
      </c>
      <c r="L908" s="27">
        <f t="shared" si="26"/>
        <v>1993</v>
      </c>
      <c r="M908" s="27">
        <f t="shared" si="27"/>
        <v>6</v>
      </c>
      <c r="N908" s="27">
        <f t="shared" ca="1" si="30"/>
        <v>33</v>
      </c>
      <c r="O908" s="27" t="str" cm="1">
        <f t="array" ref="O908">_xlfn.IFS($F908&gt;=750,"Excellent",$F908&gt;=700,"Good",$F908&gt;=650,"Moderate",
$F908&lt;650,"Risky"
)</f>
        <v>Excellent</v>
      </c>
      <c r="P908" s="27" t="str" cm="1">
        <f t="array" ref="P908">_xlfn.IFS(
AND(F908&gt;=750,H908&lt;=2),"Low Risk",
AND(F908&gt;=700,H908&lt;=5),"Medium Risk",
TRUE,"High Risk"
)</f>
        <v>High Risk</v>
      </c>
      <c r="Q908" s="5"/>
      <c r="R908" s="5"/>
      <c r="S908" s="5"/>
      <c r="T908" s="5"/>
      <c r="U908" s="5"/>
      <c r="V908" s="5"/>
      <c r="W908" s="5"/>
      <c r="X908" s="5"/>
      <c r="Y908" s="5"/>
    </row>
    <row r="909" spans="1:25" ht="15.75" customHeight="1" x14ac:dyDescent="0.25">
      <c r="A909" s="2">
        <v>43904</v>
      </c>
      <c r="B909" s="3">
        <v>37808</v>
      </c>
      <c r="C909" s="4" t="s">
        <v>37</v>
      </c>
      <c r="D909" s="4" t="str">
        <f t="shared" si="24"/>
        <v>Strategy</v>
      </c>
      <c r="E909" s="4" t="str">
        <f t="shared" si="25"/>
        <v>Director</v>
      </c>
      <c r="F909" s="13">
        <v>765</v>
      </c>
      <c r="G909" s="13">
        <v>1</v>
      </c>
      <c r="H909" s="13">
        <v>3</v>
      </c>
      <c r="I909" s="2">
        <v>33263</v>
      </c>
      <c r="J909" s="15">
        <v>670204</v>
      </c>
      <c r="K909" s="4" t="s">
        <v>18</v>
      </c>
      <c r="L909" s="27">
        <f t="shared" si="26"/>
        <v>1991</v>
      </c>
      <c r="M909" s="27">
        <f t="shared" si="27"/>
        <v>3</v>
      </c>
      <c r="N909" s="27">
        <f t="shared" ca="1" si="30"/>
        <v>35</v>
      </c>
      <c r="O909" s="27" t="str" cm="1">
        <f t="array" ref="O909">_xlfn.IFS($F909&gt;=750,"Excellent",$F909&gt;=700,"Good",$F909&gt;=650,"Moderate",
$F909&lt;650,"Risky"
)</f>
        <v>Excellent</v>
      </c>
      <c r="P909" s="27" t="str" cm="1">
        <f t="array" ref="P909">_xlfn.IFS(
AND(F909&gt;=750,H909&lt;=2),"Low Risk",
AND(F909&gt;=700,H909&lt;=5),"Medium Risk",
TRUE,"High Risk"
)</f>
        <v>Medium Risk</v>
      </c>
      <c r="Q909" s="5"/>
      <c r="R909" s="5"/>
      <c r="S909" s="5"/>
      <c r="T909" s="5"/>
      <c r="U909" s="5"/>
      <c r="V909" s="5"/>
      <c r="W909" s="5"/>
      <c r="X909" s="5"/>
      <c r="Y909" s="5"/>
    </row>
    <row r="910" spans="1:25" ht="15.75" customHeight="1" x14ac:dyDescent="0.25">
      <c r="A910" s="2">
        <v>43898</v>
      </c>
      <c r="B910" s="3">
        <v>47096</v>
      </c>
      <c r="C910" s="4" t="s">
        <v>25</v>
      </c>
      <c r="D910" s="4" t="str">
        <f t="shared" si="24"/>
        <v>Sales</v>
      </c>
      <c r="E910" s="4" t="str">
        <f t="shared" si="25"/>
        <v>Manager</v>
      </c>
      <c r="F910" s="13">
        <v>732</v>
      </c>
      <c r="G910" s="13">
        <v>4</v>
      </c>
      <c r="H910" s="13">
        <v>9</v>
      </c>
      <c r="I910" s="2">
        <v>33971</v>
      </c>
      <c r="J910" s="15">
        <v>679278</v>
      </c>
      <c r="K910" s="4" t="s">
        <v>18</v>
      </c>
      <c r="L910" s="27">
        <f t="shared" si="26"/>
        <v>1993</v>
      </c>
      <c r="M910" s="27">
        <f t="shared" si="27"/>
        <v>3</v>
      </c>
      <c r="N910" s="27">
        <f t="shared" ca="1" si="30"/>
        <v>33</v>
      </c>
      <c r="O910" s="27" t="str" cm="1">
        <f t="array" ref="O910">_xlfn.IFS($F910&gt;=750,"Excellent",$F910&gt;=700,"Good",$F910&gt;=650,"Moderate",
$F910&lt;650,"Risky"
)</f>
        <v>Good</v>
      </c>
      <c r="P910" s="27" t="str" cm="1">
        <f t="array" ref="P910">_xlfn.IFS(
AND(F910&gt;=750,H910&lt;=2),"Low Risk",
AND(F910&gt;=700,H910&lt;=5),"Medium Risk",
TRUE,"High Risk"
)</f>
        <v>High Risk</v>
      </c>
      <c r="Q910" s="5"/>
      <c r="R910" s="5"/>
      <c r="S910" s="5"/>
      <c r="T910" s="5"/>
      <c r="U910" s="5"/>
      <c r="V910" s="5"/>
      <c r="W910" s="5"/>
      <c r="X910" s="5"/>
      <c r="Y910" s="5"/>
    </row>
    <row r="911" spans="1:25" ht="15.75" customHeight="1" x14ac:dyDescent="0.25">
      <c r="A911" s="2">
        <v>44157</v>
      </c>
      <c r="B911" s="3">
        <v>33235</v>
      </c>
      <c r="C911" s="4" t="s">
        <v>15</v>
      </c>
      <c r="D911" s="4" t="str">
        <f t="shared" si="24"/>
        <v>Operation</v>
      </c>
      <c r="E911" s="4" t="str">
        <f t="shared" si="25"/>
        <v>Executive</v>
      </c>
      <c r="F911" s="13">
        <v>800</v>
      </c>
      <c r="G911" s="13">
        <v>3</v>
      </c>
      <c r="H911" s="13">
        <v>2</v>
      </c>
      <c r="I911" s="2">
        <v>29865</v>
      </c>
      <c r="J911" s="15">
        <v>889281</v>
      </c>
      <c r="K911" s="4" t="s">
        <v>18</v>
      </c>
      <c r="L911" s="27">
        <f t="shared" si="26"/>
        <v>1981</v>
      </c>
      <c r="M911" s="27">
        <f t="shared" si="27"/>
        <v>11</v>
      </c>
      <c r="N911" s="27">
        <f t="shared" ca="1" si="30"/>
        <v>45</v>
      </c>
      <c r="O911" s="27" t="str" cm="1">
        <f t="array" ref="O911">_xlfn.IFS($F911&gt;=750,"Excellent",$F911&gt;=700,"Good",$F911&gt;=650,"Moderate",
$F911&lt;650,"Risky"
)</f>
        <v>Excellent</v>
      </c>
      <c r="P911" s="27" t="str" cm="1">
        <f t="array" ref="P911">_xlfn.IFS(
AND(F911&gt;=750,H911&lt;=2),"Low Risk",
AND(F911&gt;=700,H911&lt;=5),"Medium Risk",
TRUE,"High Risk"
)</f>
        <v>Low Risk</v>
      </c>
      <c r="Q911" s="5"/>
      <c r="R911" s="5"/>
      <c r="S911" s="5"/>
      <c r="T911" s="5"/>
      <c r="U911" s="5"/>
      <c r="V911" s="5"/>
      <c r="W911" s="5"/>
      <c r="X911" s="5"/>
      <c r="Y911" s="5"/>
    </row>
    <row r="912" spans="1:25" ht="15.75" customHeight="1" x14ac:dyDescent="0.25">
      <c r="A912" s="2">
        <v>43971</v>
      </c>
      <c r="B912" s="3">
        <v>12400</v>
      </c>
      <c r="C912" s="4" t="s">
        <v>20</v>
      </c>
      <c r="D912" s="4" t="str">
        <f t="shared" si="24"/>
        <v>Operation</v>
      </c>
      <c r="E912" s="4" t="str">
        <f t="shared" si="25"/>
        <v>Manager</v>
      </c>
      <c r="F912" s="13">
        <v>718</v>
      </c>
      <c r="G912" s="13">
        <v>3</v>
      </c>
      <c r="H912" s="13">
        <v>1</v>
      </c>
      <c r="I912" s="2">
        <v>32546</v>
      </c>
      <c r="J912" s="15">
        <v>869677</v>
      </c>
      <c r="K912" s="4" t="s">
        <v>18</v>
      </c>
      <c r="L912" s="27">
        <f t="shared" si="26"/>
        <v>1989</v>
      </c>
      <c r="M912" s="27">
        <f t="shared" si="27"/>
        <v>5</v>
      </c>
      <c r="N912" s="27">
        <f t="shared" ca="1" si="30"/>
        <v>37</v>
      </c>
      <c r="O912" s="27" t="str" cm="1">
        <f t="array" ref="O912">_xlfn.IFS($F912&gt;=750,"Excellent",$F912&gt;=700,"Good",$F912&gt;=650,"Moderate",
$F912&lt;650,"Risky"
)</f>
        <v>Good</v>
      </c>
      <c r="P912" s="27" t="str" cm="1">
        <f t="array" ref="P912">_xlfn.IFS(
AND(F912&gt;=750,H912&lt;=2),"Low Risk",
AND(F912&gt;=700,H912&lt;=5),"Medium Risk",
TRUE,"High Risk"
)</f>
        <v>Medium Risk</v>
      </c>
      <c r="Q912" s="5"/>
      <c r="R912" s="5"/>
      <c r="S912" s="5"/>
      <c r="T912" s="5"/>
      <c r="U912" s="5"/>
      <c r="V912" s="5"/>
      <c r="W912" s="5"/>
      <c r="X912" s="5"/>
      <c r="Y912" s="5"/>
    </row>
    <row r="913" spans="1:25" ht="15.75" customHeight="1" x14ac:dyDescent="0.25">
      <c r="A913" s="2">
        <v>43870</v>
      </c>
      <c r="B913" s="3">
        <v>92748</v>
      </c>
      <c r="C913" s="4" t="s">
        <v>28</v>
      </c>
      <c r="D913" s="4" t="str">
        <f t="shared" si="24"/>
        <v>Growth</v>
      </c>
      <c r="E913" s="4" t="str">
        <f t="shared" si="25"/>
        <v>Director</v>
      </c>
      <c r="F913" s="13">
        <v>762</v>
      </c>
      <c r="G913" s="13">
        <v>3</v>
      </c>
      <c r="H913" s="13">
        <v>5</v>
      </c>
      <c r="I913" s="2">
        <v>32596</v>
      </c>
      <c r="J913" s="15">
        <v>707598</v>
      </c>
      <c r="K913" s="4" t="s">
        <v>14</v>
      </c>
      <c r="L913" s="27">
        <f t="shared" si="26"/>
        <v>1989</v>
      </c>
      <c r="M913" s="27">
        <f t="shared" si="27"/>
        <v>2</v>
      </c>
      <c r="N913" s="27">
        <f t="shared" ca="1" si="30"/>
        <v>37</v>
      </c>
      <c r="O913" s="27" t="str" cm="1">
        <f t="array" ref="O913">_xlfn.IFS($F913&gt;=750,"Excellent",$F913&gt;=700,"Good",$F913&gt;=650,"Moderate",
$F913&lt;650,"Risky"
)</f>
        <v>Excellent</v>
      </c>
      <c r="P913" s="27" t="str" cm="1">
        <f t="array" ref="P913">_xlfn.IFS(
AND(F913&gt;=750,H913&lt;=2),"Low Risk",
AND(F913&gt;=700,H913&lt;=5),"Medium Risk",
TRUE,"High Risk"
)</f>
        <v>Medium Risk</v>
      </c>
      <c r="Q913" s="5"/>
      <c r="R913" s="5"/>
      <c r="S913" s="5"/>
      <c r="T913" s="5"/>
      <c r="U913" s="5"/>
      <c r="V913" s="5"/>
      <c r="W913" s="5"/>
      <c r="X913" s="5"/>
      <c r="Y913" s="5"/>
    </row>
    <row r="914" spans="1:25" ht="15.75" customHeight="1" x14ac:dyDescent="0.25">
      <c r="A914" s="2">
        <v>44167</v>
      </c>
      <c r="B914" s="3">
        <v>40888</v>
      </c>
      <c r="C914" s="4" t="s">
        <v>33</v>
      </c>
      <c r="D914" s="4" t="str">
        <f t="shared" si="24"/>
        <v>Sales</v>
      </c>
      <c r="E914" s="4" t="str">
        <f t="shared" si="25"/>
        <v>Executive</v>
      </c>
      <c r="F914" s="13">
        <v>789</v>
      </c>
      <c r="G914" s="13">
        <v>4</v>
      </c>
      <c r="H914" s="13">
        <v>1</v>
      </c>
      <c r="I914" s="2">
        <v>31951</v>
      </c>
      <c r="J914" s="15">
        <v>519794</v>
      </c>
      <c r="K914" s="4" t="s">
        <v>18</v>
      </c>
      <c r="L914" s="27">
        <f t="shared" si="26"/>
        <v>1987</v>
      </c>
      <c r="M914" s="27">
        <f t="shared" si="27"/>
        <v>12</v>
      </c>
      <c r="N914" s="27">
        <f t="shared" ca="1" si="30"/>
        <v>39</v>
      </c>
      <c r="O914" s="27" t="str" cm="1">
        <f t="array" ref="O914">_xlfn.IFS($F914&gt;=750,"Excellent",$F914&gt;=700,"Good",$F914&gt;=650,"Moderate",
$F914&lt;650,"Risky"
)</f>
        <v>Excellent</v>
      </c>
      <c r="P914" s="27" t="str" cm="1">
        <f t="array" ref="P914">_xlfn.IFS(
AND(F914&gt;=750,H914&lt;=2),"Low Risk",
AND(F914&gt;=700,H914&lt;=5),"Medium Risk",
TRUE,"High Risk"
)</f>
        <v>Low Risk</v>
      </c>
      <c r="Q914" s="5"/>
      <c r="R914" s="5"/>
      <c r="S914" s="5"/>
      <c r="T914" s="5"/>
      <c r="U914" s="5"/>
      <c r="V914" s="5"/>
      <c r="W914" s="5"/>
      <c r="X914" s="5"/>
      <c r="Y914" s="5"/>
    </row>
    <row r="915" spans="1:25" ht="15.75" customHeight="1" x14ac:dyDescent="0.25">
      <c r="A915" s="2">
        <v>43968</v>
      </c>
      <c r="B915" s="3">
        <v>22223</v>
      </c>
      <c r="C915" s="4" t="s">
        <v>16</v>
      </c>
      <c r="D915" s="4" t="str">
        <f t="shared" si="24"/>
        <v>Marketing</v>
      </c>
      <c r="E915" s="4" t="str">
        <f t="shared" si="25"/>
        <v>Executive</v>
      </c>
      <c r="F915" s="13">
        <v>766</v>
      </c>
      <c r="G915" s="13">
        <v>2</v>
      </c>
      <c r="H915" s="13">
        <v>10</v>
      </c>
      <c r="I915" s="2">
        <v>30142</v>
      </c>
      <c r="J915" s="15">
        <v>801696</v>
      </c>
      <c r="K915" s="4" t="s">
        <v>14</v>
      </c>
      <c r="L915" s="27">
        <f t="shared" si="26"/>
        <v>1982</v>
      </c>
      <c r="M915" s="27">
        <f t="shared" si="27"/>
        <v>5</v>
      </c>
      <c r="N915" s="27">
        <f t="shared" ca="1" si="30"/>
        <v>44</v>
      </c>
      <c r="O915" s="27" t="str" cm="1">
        <f t="array" ref="O915">_xlfn.IFS($F915&gt;=750,"Excellent",$F915&gt;=700,"Good",$F915&gt;=650,"Moderate",
$F915&lt;650,"Risky"
)</f>
        <v>Excellent</v>
      </c>
      <c r="P915" s="27" t="str" cm="1">
        <f t="array" ref="P915">_xlfn.IFS(
AND(F915&gt;=750,H915&lt;=2),"Low Risk",
AND(F915&gt;=700,H915&lt;=5),"Medium Risk",
TRUE,"High Risk"
)</f>
        <v>High Risk</v>
      </c>
      <c r="Q915" s="5"/>
      <c r="R915" s="5"/>
      <c r="S915" s="5"/>
      <c r="T915" s="5"/>
      <c r="U915" s="5"/>
      <c r="V915" s="5"/>
      <c r="W915" s="5"/>
      <c r="X915" s="5"/>
      <c r="Y915" s="5"/>
    </row>
    <row r="916" spans="1:25" ht="15.75" customHeight="1" x14ac:dyDescent="0.25">
      <c r="A916" s="2">
        <v>43894</v>
      </c>
      <c r="B916" s="3">
        <v>30644</v>
      </c>
      <c r="C916" s="4" t="s">
        <v>26</v>
      </c>
      <c r="D916" s="4" t="str">
        <f t="shared" si="24"/>
        <v>Strategy</v>
      </c>
      <c r="E916" s="4" t="str">
        <f t="shared" si="25"/>
        <v>Manager</v>
      </c>
      <c r="F916" s="13">
        <v>756</v>
      </c>
      <c r="G916" s="13">
        <v>1</v>
      </c>
      <c r="H916" s="13">
        <v>6</v>
      </c>
      <c r="I916" s="2">
        <v>34373</v>
      </c>
      <c r="J916" s="15">
        <v>768649</v>
      </c>
      <c r="K916" s="4" t="s">
        <v>21</v>
      </c>
      <c r="L916" s="27">
        <f t="shared" si="26"/>
        <v>1994</v>
      </c>
      <c r="M916" s="27">
        <f t="shared" si="27"/>
        <v>3</v>
      </c>
      <c r="N916" s="27">
        <f t="shared" ca="1" si="30"/>
        <v>32</v>
      </c>
      <c r="O916" s="27" t="str" cm="1">
        <f t="array" ref="O916">_xlfn.IFS($F916&gt;=750,"Excellent",$F916&gt;=700,"Good",$F916&gt;=650,"Moderate",
$F916&lt;650,"Risky"
)</f>
        <v>Excellent</v>
      </c>
      <c r="P916" s="27" t="str" cm="1">
        <f t="array" ref="P916">_xlfn.IFS(
AND(F916&gt;=750,H916&lt;=2),"Low Risk",
AND(F916&gt;=700,H916&lt;=5),"Medium Risk",
TRUE,"High Risk"
)</f>
        <v>High Risk</v>
      </c>
      <c r="Q916" s="5"/>
      <c r="R916" s="5"/>
      <c r="S916" s="5"/>
      <c r="T916" s="5"/>
      <c r="U916" s="5"/>
      <c r="V916" s="5"/>
      <c r="W916" s="5"/>
      <c r="X916" s="5"/>
      <c r="Y916" s="5"/>
    </row>
    <row r="917" spans="1:25" ht="15.75" customHeight="1" x14ac:dyDescent="0.25">
      <c r="A917" s="2">
        <v>44167</v>
      </c>
      <c r="B917" s="3">
        <v>15917</v>
      </c>
      <c r="C917" s="4" t="s">
        <v>26</v>
      </c>
      <c r="D917" s="4" t="str">
        <f t="shared" si="24"/>
        <v>Strategy</v>
      </c>
      <c r="E917" s="4" t="str">
        <f t="shared" si="25"/>
        <v>Manager</v>
      </c>
      <c r="F917" s="13">
        <v>792</v>
      </c>
      <c r="G917" s="13">
        <v>1</v>
      </c>
      <c r="H917" s="13">
        <v>4</v>
      </c>
      <c r="I917" s="2">
        <v>31368</v>
      </c>
      <c r="J917" s="15">
        <v>560791</v>
      </c>
      <c r="K917" s="4" t="s">
        <v>21</v>
      </c>
      <c r="L917" s="27">
        <f t="shared" si="26"/>
        <v>1985</v>
      </c>
      <c r="M917" s="27">
        <f t="shared" si="27"/>
        <v>12</v>
      </c>
      <c r="N917" s="27">
        <f t="shared" ca="1" si="30"/>
        <v>41</v>
      </c>
      <c r="O917" s="27" t="str" cm="1">
        <f t="array" ref="O917">_xlfn.IFS($F917&gt;=750,"Excellent",$F917&gt;=700,"Good",$F917&gt;=650,"Moderate",
$F917&lt;650,"Risky"
)</f>
        <v>Excellent</v>
      </c>
      <c r="P917" s="27" t="str" cm="1">
        <f t="array" ref="P917">_xlfn.IFS(
AND(F917&gt;=750,H917&lt;=2),"Low Risk",
AND(F917&gt;=700,H917&lt;=5),"Medium Risk",
TRUE,"High Risk"
)</f>
        <v>Medium Risk</v>
      </c>
      <c r="Q917" s="5"/>
      <c r="R917" s="5"/>
      <c r="S917" s="5"/>
      <c r="T917" s="5"/>
      <c r="U917" s="5"/>
      <c r="V917" s="5"/>
      <c r="W917" s="5"/>
      <c r="X917" s="5"/>
      <c r="Y917" s="5"/>
    </row>
    <row r="918" spans="1:25" ht="15.75" customHeight="1" x14ac:dyDescent="0.25">
      <c r="A918" s="2">
        <v>43831</v>
      </c>
      <c r="B918" s="3">
        <v>74081</v>
      </c>
      <c r="C918" s="4" t="s">
        <v>34</v>
      </c>
      <c r="D918" s="4" t="str">
        <f t="shared" si="24"/>
        <v>Finance</v>
      </c>
      <c r="E918" s="4" t="str">
        <f t="shared" si="25"/>
        <v>Director</v>
      </c>
      <c r="F918" s="13">
        <v>782</v>
      </c>
      <c r="G918" s="13">
        <v>2</v>
      </c>
      <c r="H918" s="13">
        <v>8</v>
      </c>
      <c r="I918" s="2">
        <v>29769</v>
      </c>
      <c r="J918" s="15">
        <v>958927</v>
      </c>
      <c r="K918" s="4" t="s">
        <v>21</v>
      </c>
      <c r="L918" s="27">
        <f t="shared" si="26"/>
        <v>1981</v>
      </c>
      <c r="M918" s="27">
        <f t="shared" si="27"/>
        <v>1</v>
      </c>
      <c r="N918" s="27">
        <f t="shared" ca="1" si="30"/>
        <v>45</v>
      </c>
      <c r="O918" s="27" t="str" cm="1">
        <f t="array" ref="O918">_xlfn.IFS($F918&gt;=750,"Excellent",$F918&gt;=700,"Good",$F918&gt;=650,"Moderate",
$F918&lt;650,"Risky"
)</f>
        <v>Excellent</v>
      </c>
      <c r="P918" s="27" t="str" cm="1">
        <f t="array" ref="P918">_xlfn.IFS(
AND(F918&gt;=750,H918&lt;=2),"Low Risk",
AND(F918&gt;=700,H918&lt;=5),"Medium Risk",
TRUE,"High Risk"
)</f>
        <v>High Risk</v>
      </c>
      <c r="Q918" s="5"/>
      <c r="R918" s="5"/>
      <c r="S918" s="5"/>
      <c r="T918" s="5"/>
      <c r="U918" s="5"/>
      <c r="V918" s="5"/>
      <c r="W918" s="5"/>
      <c r="X918" s="5"/>
      <c r="Y918" s="5"/>
    </row>
    <row r="919" spans="1:25" ht="15.75" customHeight="1" x14ac:dyDescent="0.25">
      <c r="A919" s="2">
        <v>43903</v>
      </c>
      <c r="B919" s="3">
        <v>38406</v>
      </c>
      <c r="C919" s="4" t="s">
        <v>28</v>
      </c>
      <c r="D919" s="4" t="str">
        <f t="shared" si="24"/>
        <v>Growth</v>
      </c>
      <c r="E919" s="4" t="str">
        <f t="shared" si="25"/>
        <v>Director</v>
      </c>
      <c r="F919" s="13">
        <v>798</v>
      </c>
      <c r="G919" s="13">
        <v>2</v>
      </c>
      <c r="H919" s="13">
        <v>8</v>
      </c>
      <c r="I919" s="2">
        <v>30587</v>
      </c>
      <c r="J919" s="15">
        <v>746078</v>
      </c>
      <c r="K919" s="4" t="s">
        <v>14</v>
      </c>
      <c r="L919" s="27">
        <f t="shared" si="26"/>
        <v>1983</v>
      </c>
      <c r="M919" s="27">
        <f t="shared" si="27"/>
        <v>3</v>
      </c>
      <c r="N919" s="27">
        <f t="shared" ca="1" si="30"/>
        <v>43</v>
      </c>
      <c r="O919" s="27" t="str" cm="1">
        <f t="array" ref="O919">_xlfn.IFS($F919&gt;=750,"Excellent",$F919&gt;=700,"Good",$F919&gt;=650,"Moderate",
$F919&lt;650,"Risky"
)</f>
        <v>Excellent</v>
      </c>
      <c r="P919" s="27" t="str" cm="1">
        <f t="array" ref="P919">_xlfn.IFS(
AND(F919&gt;=750,H919&lt;=2),"Low Risk",
AND(F919&gt;=700,H919&lt;=5),"Medium Risk",
TRUE,"High Risk"
)</f>
        <v>High Risk</v>
      </c>
      <c r="Q919" s="5"/>
      <c r="R919" s="5"/>
      <c r="S919" s="5"/>
      <c r="T919" s="5"/>
      <c r="U919" s="5"/>
      <c r="V919" s="5"/>
      <c r="W919" s="5"/>
      <c r="X919" s="5"/>
      <c r="Y919" s="5"/>
    </row>
    <row r="920" spans="1:25" ht="15.75" customHeight="1" x14ac:dyDescent="0.25">
      <c r="A920" s="2">
        <v>44143</v>
      </c>
      <c r="B920" s="3">
        <v>48986</v>
      </c>
      <c r="C920" s="4" t="s">
        <v>35</v>
      </c>
      <c r="D920" s="4" t="str">
        <f t="shared" si="24"/>
        <v>Growth</v>
      </c>
      <c r="E920" s="4" t="str">
        <f t="shared" si="25"/>
        <v>Intern</v>
      </c>
      <c r="F920" s="13">
        <v>723</v>
      </c>
      <c r="G920" s="13">
        <v>1</v>
      </c>
      <c r="H920" s="13">
        <v>3</v>
      </c>
      <c r="I920" s="2">
        <v>33112</v>
      </c>
      <c r="J920" s="15">
        <v>865697</v>
      </c>
      <c r="K920" s="4" t="s">
        <v>14</v>
      </c>
      <c r="L920" s="27">
        <f t="shared" si="26"/>
        <v>1990</v>
      </c>
      <c r="M920" s="27">
        <f t="shared" si="27"/>
        <v>11</v>
      </c>
      <c r="N920" s="27">
        <f t="shared" ca="1" si="30"/>
        <v>36</v>
      </c>
      <c r="O920" s="27" t="str" cm="1">
        <f t="array" ref="O920">_xlfn.IFS($F920&gt;=750,"Excellent",$F920&gt;=700,"Good",$F920&gt;=650,"Moderate",
$F920&lt;650,"Risky"
)</f>
        <v>Good</v>
      </c>
      <c r="P920" s="27" t="str" cm="1">
        <f t="array" ref="P920">_xlfn.IFS(
AND(F920&gt;=750,H920&lt;=2),"Low Risk",
AND(F920&gt;=700,H920&lt;=5),"Medium Risk",
TRUE,"High Risk"
)</f>
        <v>Medium Risk</v>
      </c>
      <c r="Q920" s="5"/>
      <c r="R920" s="5"/>
      <c r="S920" s="5"/>
      <c r="T920" s="5"/>
      <c r="U920" s="5"/>
      <c r="V920" s="5"/>
      <c r="W920" s="5"/>
      <c r="X920" s="5"/>
      <c r="Y920" s="5"/>
    </row>
    <row r="921" spans="1:25" ht="15.75" customHeight="1" x14ac:dyDescent="0.25">
      <c r="A921" s="2">
        <v>43871</v>
      </c>
      <c r="B921" s="3">
        <v>42393</v>
      </c>
      <c r="C921" s="4" t="s">
        <v>29</v>
      </c>
      <c r="D921" s="4" t="str">
        <f t="shared" si="24"/>
        <v>Sales</v>
      </c>
      <c r="E921" s="4" t="str">
        <f t="shared" si="25"/>
        <v>Director</v>
      </c>
      <c r="F921" s="13">
        <v>718</v>
      </c>
      <c r="G921" s="13">
        <v>5</v>
      </c>
      <c r="H921" s="13">
        <v>4</v>
      </c>
      <c r="I921" s="2">
        <v>31521</v>
      </c>
      <c r="J921" s="15">
        <v>856724</v>
      </c>
      <c r="K921" s="4" t="s">
        <v>21</v>
      </c>
      <c r="L921" s="27">
        <f t="shared" si="26"/>
        <v>1986</v>
      </c>
      <c r="M921" s="27">
        <f t="shared" si="27"/>
        <v>2</v>
      </c>
      <c r="N921" s="27">
        <f t="shared" ca="1" si="30"/>
        <v>40</v>
      </c>
      <c r="O921" s="27" t="str" cm="1">
        <f t="array" ref="O921">_xlfn.IFS($F921&gt;=750,"Excellent",$F921&gt;=700,"Good",$F921&gt;=650,"Moderate",
$F921&lt;650,"Risky"
)</f>
        <v>Good</v>
      </c>
      <c r="P921" s="27" t="str" cm="1">
        <f t="array" ref="P921">_xlfn.IFS(
AND(F921&gt;=750,H921&lt;=2),"Low Risk",
AND(F921&gt;=700,H921&lt;=5),"Medium Risk",
TRUE,"High Risk"
)</f>
        <v>Medium Risk</v>
      </c>
      <c r="Q921" s="5"/>
      <c r="R921" s="5"/>
      <c r="S921" s="5"/>
      <c r="T921" s="5"/>
      <c r="U921" s="5"/>
      <c r="V921" s="5"/>
      <c r="W921" s="5"/>
      <c r="X921" s="5"/>
      <c r="Y921" s="5"/>
    </row>
    <row r="922" spans="1:25" ht="15.75" customHeight="1" x14ac:dyDescent="0.25">
      <c r="A922" s="2">
        <v>43952</v>
      </c>
      <c r="B922" s="3">
        <v>99825</v>
      </c>
      <c r="C922" s="4" t="s">
        <v>32</v>
      </c>
      <c r="D922" s="4" t="str">
        <f t="shared" si="24"/>
        <v>Finance</v>
      </c>
      <c r="E922" s="4" t="str">
        <f t="shared" si="25"/>
        <v>Executive</v>
      </c>
      <c r="F922" s="13">
        <v>722</v>
      </c>
      <c r="G922" s="13">
        <v>2</v>
      </c>
      <c r="H922" s="13">
        <v>6</v>
      </c>
      <c r="I922" s="2">
        <v>30990</v>
      </c>
      <c r="J922" s="15">
        <v>862656</v>
      </c>
      <c r="K922" s="4" t="s">
        <v>14</v>
      </c>
      <c r="L922" s="27">
        <f t="shared" si="26"/>
        <v>1984</v>
      </c>
      <c r="M922" s="27">
        <f t="shared" si="27"/>
        <v>5</v>
      </c>
      <c r="N922" s="27">
        <f t="shared" ca="1" si="30"/>
        <v>42</v>
      </c>
      <c r="O922" s="27" t="str" cm="1">
        <f t="array" ref="O922">_xlfn.IFS($F922&gt;=750,"Excellent",$F922&gt;=700,"Good",$F922&gt;=650,"Moderate",
$F922&lt;650,"Risky"
)</f>
        <v>Good</v>
      </c>
      <c r="P922" s="27" t="str" cm="1">
        <f t="array" ref="P922">_xlfn.IFS(
AND(F922&gt;=750,H922&lt;=2),"Low Risk",
AND(F922&gt;=700,H922&lt;=5),"Medium Risk",
TRUE,"High Risk"
)</f>
        <v>High Risk</v>
      </c>
      <c r="Q922" s="5"/>
      <c r="R922" s="5"/>
      <c r="S922" s="5"/>
      <c r="T922" s="5"/>
      <c r="U922" s="5"/>
      <c r="V922" s="5"/>
      <c r="W922" s="5"/>
      <c r="X922" s="5"/>
      <c r="Y922" s="5"/>
    </row>
    <row r="923" spans="1:25" ht="15.75" customHeight="1" x14ac:dyDescent="0.25">
      <c r="A923" s="2">
        <v>43876</v>
      </c>
      <c r="B923" s="3">
        <v>80413</v>
      </c>
      <c r="C923" s="4" t="s">
        <v>22</v>
      </c>
      <c r="D923" s="4" t="str">
        <f t="shared" si="24"/>
        <v>Strategy</v>
      </c>
      <c r="E923" s="4" t="str">
        <f t="shared" si="25"/>
        <v>Executive</v>
      </c>
      <c r="F923" s="13">
        <v>716</v>
      </c>
      <c r="G923" s="13">
        <v>1</v>
      </c>
      <c r="H923" s="13">
        <v>3</v>
      </c>
      <c r="I923" s="2">
        <v>33719</v>
      </c>
      <c r="J923" s="15">
        <v>610603</v>
      </c>
      <c r="K923" s="4" t="s">
        <v>14</v>
      </c>
      <c r="L923" s="27">
        <f t="shared" si="26"/>
        <v>1992</v>
      </c>
      <c r="M923" s="27">
        <f t="shared" si="27"/>
        <v>2</v>
      </c>
      <c r="N923" s="27">
        <f t="shared" ca="1" si="30"/>
        <v>34</v>
      </c>
      <c r="O923" s="27" t="str" cm="1">
        <f t="array" ref="O923">_xlfn.IFS($F923&gt;=750,"Excellent",$F923&gt;=700,"Good",$F923&gt;=650,"Moderate",
$F923&lt;650,"Risky"
)</f>
        <v>Good</v>
      </c>
      <c r="P923" s="27" t="str" cm="1">
        <f t="array" ref="P923">_xlfn.IFS(
AND(F923&gt;=750,H923&lt;=2),"Low Risk",
AND(F923&gt;=700,H923&lt;=5),"Medium Risk",
TRUE,"High Risk"
)</f>
        <v>Medium Risk</v>
      </c>
      <c r="Q923" s="5"/>
      <c r="R923" s="5"/>
      <c r="S923" s="5"/>
      <c r="T923" s="5"/>
      <c r="U923" s="5"/>
      <c r="V923" s="5"/>
      <c r="W923" s="5"/>
      <c r="X923" s="5"/>
      <c r="Y923" s="5"/>
    </row>
    <row r="924" spans="1:25" ht="15.75" customHeight="1" x14ac:dyDescent="0.25">
      <c r="A924" s="2">
        <v>43943</v>
      </c>
      <c r="B924" s="3">
        <v>98909</v>
      </c>
      <c r="C924" s="4" t="s">
        <v>20</v>
      </c>
      <c r="D924" s="4" t="str">
        <f t="shared" si="24"/>
        <v>Operation</v>
      </c>
      <c r="E924" s="4" t="str">
        <f t="shared" si="25"/>
        <v>Manager</v>
      </c>
      <c r="F924" s="13">
        <v>706</v>
      </c>
      <c r="G924" s="13">
        <v>4</v>
      </c>
      <c r="H924" s="13">
        <v>10</v>
      </c>
      <c r="I924" s="2">
        <v>33092</v>
      </c>
      <c r="J924" s="15">
        <v>622627</v>
      </c>
      <c r="K924" s="4" t="s">
        <v>21</v>
      </c>
      <c r="L924" s="27">
        <f t="shared" si="26"/>
        <v>1990</v>
      </c>
      <c r="M924" s="27">
        <f t="shared" si="27"/>
        <v>4</v>
      </c>
      <c r="N924" s="27">
        <f t="shared" ca="1" si="30"/>
        <v>36</v>
      </c>
      <c r="O924" s="27" t="str" cm="1">
        <f t="array" ref="O924">_xlfn.IFS($F924&gt;=750,"Excellent",$F924&gt;=700,"Good",$F924&gt;=650,"Moderate",
$F924&lt;650,"Risky"
)</f>
        <v>Good</v>
      </c>
      <c r="P924" s="27" t="str" cm="1">
        <f t="array" ref="P924">_xlfn.IFS(
AND(F924&gt;=750,H924&lt;=2),"Low Risk",
AND(F924&gt;=700,H924&lt;=5),"Medium Risk",
TRUE,"High Risk"
)</f>
        <v>High Risk</v>
      </c>
      <c r="Q924" s="5"/>
      <c r="R924" s="5"/>
      <c r="S924" s="5"/>
      <c r="T924" s="5"/>
      <c r="U924" s="5"/>
      <c r="V924" s="5"/>
      <c r="W924" s="5"/>
      <c r="X924" s="5"/>
      <c r="Y924" s="5"/>
    </row>
    <row r="925" spans="1:25" ht="15.75" customHeight="1" x14ac:dyDescent="0.25">
      <c r="A925" s="2">
        <v>44158</v>
      </c>
      <c r="B925" s="3">
        <v>17934</v>
      </c>
      <c r="C925" s="4" t="s">
        <v>38</v>
      </c>
      <c r="D925" s="4" t="str">
        <f t="shared" si="24"/>
        <v>Finance</v>
      </c>
      <c r="E925" s="4" t="str">
        <f t="shared" si="25"/>
        <v>Manager</v>
      </c>
      <c r="F925" s="13">
        <v>752</v>
      </c>
      <c r="G925" s="13">
        <v>2</v>
      </c>
      <c r="H925" s="13">
        <v>5</v>
      </c>
      <c r="I925" s="2">
        <v>33506</v>
      </c>
      <c r="J925" s="15">
        <v>621307</v>
      </c>
      <c r="K925" s="4" t="s">
        <v>14</v>
      </c>
      <c r="L925" s="27">
        <f t="shared" si="26"/>
        <v>1991</v>
      </c>
      <c r="M925" s="27">
        <f t="shared" si="27"/>
        <v>11</v>
      </c>
      <c r="N925" s="27">
        <f t="shared" ca="1" si="30"/>
        <v>35</v>
      </c>
      <c r="O925" s="27" t="str" cm="1">
        <f t="array" ref="O925">_xlfn.IFS($F925&gt;=750,"Excellent",$F925&gt;=700,"Good",$F925&gt;=650,"Moderate",
$F925&lt;650,"Risky"
)</f>
        <v>Excellent</v>
      </c>
      <c r="P925" s="27" t="str" cm="1">
        <f t="array" ref="P925">_xlfn.IFS(
AND(F925&gt;=750,H925&lt;=2),"Low Risk",
AND(F925&gt;=700,H925&lt;=5),"Medium Risk",
TRUE,"High Risk"
)</f>
        <v>Medium Risk</v>
      </c>
      <c r="Q925" s="5"/>
      <c r="R925" s="5"/>
      <c r="S925" s="5"/>
      <c r="T925" s="5"/>
      <c r="U925" s="5"/>
      <c r="V925" s="5"/>
      <c r="W925" s="5"/>
      <c r="X925" s="5"/>
      <c r="Y925" s="5"/>
    </row>
    <row r="926" spans="1:25" ht="15.75" customHeight="1" x14ac:dyDescent="0.25">
      <c r="A926" s="2">
        <v>43896</v>
      </c>
      <c r="B926" s="3">
        <v>53632</v>
      </c>
      <c r="C926" s="4" t="s">
        <v>28</v>
      </c>
      <c r="D926" s="4" t="str">
        <f t="shared" si="24"/>
        <v>Growth</v>
      </c>
      <c r="E926" s="4" t="str">
        <f t="shared" si="25"/>
        <v>Director</v>
      </c>
      <c r="F926" s="13">
        <v>729</v>
      </c>
      <c r="G926" s="13">
        <v>2</v>
      </c>
      <c r="H926" s="13">
        <v>1</v>
      </c>
      <c r="I926" s="2">
        <v>31219</v>
      </c>
      <c r="J926" s="15">
        <v>546261</v>
      </c>
      <c r="K926" s="4" t="s">
        <v>14</v>
      </c>
      <c r="L926" s="27">
        <f t="shared" si="26"/>
        <v>1985</v>
      </c>
      <c r="M926" s="27">
        <f t="shared" si="27"/>
        <v>3</v>
      </c>
      <c r="N926" s="27">
        <f t="shared" ca="1" si="30"/>
        <v>41</v>
      </c>
      <c r="O926" s="27" t="str" cm="1">
        <f t="array" ref="O926">_xlfn.IFS($F926&gt;=750,"Excellent",$F926&gt;=700,"Good",$F926&gt;=650,"Moderate",
$F926&lt;650,"Risky"
)</f>
        <v>Good</v>
      </c>
      <c r="P926" s="27" t="str" cm="1">
        <f t="array" ref="P926">_xlfn.IFS(
AND(F926&gt;=750,H926&lt;=2),"Low Risk",
AND(F926&gt;=700,H926&lt;=5),"Medium Risk",
TRUE,"High Risk"
)</f>
        <v>Medium Risk</v>
      </c>
      <c r="Q926" s="5"/>
      <c r="R926" s="5"/>
      <c r="S926" s="5"/>
      <c r="T926" s="5"/>
      <c r="U926" s="5"/>
      <c r="V926" s="5"/>
      <c r="W926" s="5"/>
      <c r="X926" s="5"/>
      <c r="Y926" s="5"/>
    </row>
    <row r="927" spans="1:25" ht="15.75" customHeight="1" x14ac:dyDescent="0.25">
      <c r="A927" s="2">
        <v>44088</v>
      </c>
      <c r="B927" s="3">
        <v>14147</v>
      </c>
      <c r="C927" s="4" t="s">
        <v>27</v>
      </c>
      <c r="D927" s="4" t="str">
        <f t="shared" si="24"/>
        <v>Operation</v>
      </c>
      <c r="E927" s="4" t="str">
        <f t="shared" si="25"/>
        <v>Intern</v>
      </c>
      <c r="F927" s="13">
        <v>774</v>
      </c>
      <c r="G927" s="13">
        <v>3</v>
      </c>
      <c r="H927" s="13">
        <v>5</v>
      </c>
      <c r="I927" s="2">
        <v>31590</v>
      </c>
      <c r="J927" s="15">
        <v>765398</v>
      </c>
      <c r="K927" s="4" t="s">
        <v>14</v>
      </c>
      <c r="L927" s="27">
        <f t="shared" si="26"/>
        <v>1986</v>
      </c>
      <c r="M927" s="27">
        <f t="shared" si="27"/>
        <v>9</v>
      </c>
      <c r="N927" s="27">
        <f t="shared" ca="1" si="30"/>
        <v>40</v>
      </c>
      <c r="O927" s="27" t="str" cm="1">
        <f t="array" ref="O927">_xlfn.IFS($F927&gt;=750,"Excellent",$F927&gt;=700,"Good",$F927&gt;=650,"Moderate",
$F927&lt;650,"Risky"
)</f>
        <v>Excellent</v>
      </c>
      <c r="P927" s="27" t="str" cm="1">
        <f t="array" ref="P927">_xlfn.IFS(
AND(F927&gt;=750,H927&lt;=2),"Low Risk",
AND(F927&gt;=700,H927&lt;=5),"Medium Risk",
TRUE,"High Risk"
)</f>
        <v>Medium Risk</v>
      </c>
      <c r="Q927" s="5"/>
      <c r="R927" s="5"/>
      <c r="S927" s="5"/>
      <c r="T927" s="5"/>
      <c r="U927" s="5"/>
      <c r="V927" s="5"/>
      <c r="W927" s="5"/>
      <c r="X927" s="5"/>
      <c r="Y927" s="5"/>
    </row>
    <row r="928" spans="1:25" ht="15.75" customHeight="1" x14ac:dyDescent="0.25">
      <c r="A928" s="2">
        <v>43966</v>
      </c>
      <c r="B928" s="3">
        <v>14886</v>
      </c>
      <c r="C928" s="4" t="s">
        <v>13</v>
      </c>
      <c r="D928" s="4" t="str">
        <f t="shared" si="24"/>
        <v>Marketing</v>
      </c>
      <c r="E928" s="4" t="str">
        <f t="shared" si="25"/>
        <v>Director</v>
      </c>
      <c r="F928" s="13">
        <v>740</v>
      </c>
      <c r="G928" s="13">
        <v>4</v>
      </c>
      <c r="H928" s="13">
        <v>8</v>
      </c>
      <c r="I928" s="2">
        <v>29677</v>
      </c>
      <c r="J928" s="15">
        <v>675410</v>
      </c>
      <c r="K928" s="4" t="s">
        <v>18</v>
      </c>
      <c r="L928" s="27">
        <f t="shared" si="26"/>
        <v>1981</v>
      </c>
      <c r="M928" s="27">
        <f t="shared" si="27"/>
        <v>5</v>
      </c>
      <c r="N928" s="27">
        <f t="shared" ca="1" si="30"/>
        <v>45</v>
      </c>
      <c r="O928" s="27" t="str" cm="1">
        <f t="array" ref="O928">_xlfn.IFS($F928&gt;=750,"Excellent",$F928&gt;=700,"Good",$F928&gt;=650,"Moderate",
$F928&lt;650,"Risky"
)</f>
        <v>Good</v>
      </c>
      <c r="P928" s="27" t="str" cm="1">
        <f t="array" ref="P928">_xlfn.IFS(
AND(F928&gt;=750,H928&lt;=2),"Low Risk",
AND(F928&gt;=700,H928&lt;=5),"Medium Risk",
TRUE,"High Risk"
)</f>
        <v>High Risk</v>
      </c>
      <c r="Q928" s="5"/>
      <c r="R928" s="5"/>
      <c r="S928" s="5"/>
      <c r="T928" s="5"/>
      <c r="U928" s="5"/>
      <c r="V928" s="5"/>
      <c r="W928" s="5"/>
      <c r="X928" s="5"/>
      <c r="Y928" s="5"/>
    </row>
    <row r="929" spans="1:25" ht="15.75" customHeight="1" x14ac:dyDescent="0.25">
      <c r="A929" s="2">
        <v>44164</v>
      </c>
      <c r="B929" s="3">
        <v>17693</v>
      </c>
      <c r="C929" s="4" t="s">
        <v>16</v>
      </c>
      <c r="D929" s="4" t="str">
        <f t="shared" si="24"/>
        <v>Marketing</v>
      </c>
      <c r="E929" s="4" t="str">
        <f t="shared" si="25"/>
        <v>Executive</v>
      </c>
      <c r="F929" s="13">
        <v>737</v>
      </c>
      <c r="G929" s="13">
        <v>4</v>
      </c>
      <c r="H929" s="13">
        <v>9</v>
      </c>
      <c r="I929" s="2">
        <v>31730</v>
      </c>
      <c r="J929" s="15">
        <v>934943</v>
      </c>
      <c r="K929" s="4" t="s">
        <v>18</v>
      </c>
      <c r="L929" s="27">
        <f t="shared" si="26"/>
        <v>1986</v>
      </c>
      <c r="M929" s="27">
        <f t="shared" si="27"/>
        <v>11</v>
      </c>
      <c r="N929" s="27">
        <f t="shared" ca="1" si="30"/>
        <v>40</v>
      </c>
      <c r="O929" s="27" t="str" cm="1">
        <f t="array" ref="O929">_xlfn.IFS($F929&gt;=750,"Excellent",$F929&gt;=700,"Good",$F929&gt;=650,"Moderate",
$F929&lt;650,"Risky"
)</f>
        <v>Good</v>
      </c>
      <c r="P929" s="27" t="str" cm="1">
        <f t="array" ref="P929">_xlfn.IFS(
AND(F929&gt;=750,H929&lt;=2),"Low Risk",
AND(F929&gt;=700,H929&lt;=5),"Medium Risk",
TRUE,"High Risk"
)</f>
        <v>High Risk</v>
      </c>
      <c r="Q929" s="5"/>
      <c r="R929" s="5"/>
      <c r="S929" s="5"/>
      <c r="T929" s="5"/>
      <c r="U929" s="5"/>
      <c r="V929" s="5"/>
      <c r="W929" s="5"/>
      <c r="X929" s="5"/>
      <c r="Y929" s="5"/>
    </row>
    <row r="930" spans="1:25" ht="15.75" customHeight="1" x14ac:dyDescent="0.25">
      <c r="A930" s="2">
        <v>43948</v>
      </c>
      <c r="B930" s="3">
        <v>63705</v>
      </c>
      <c r="C930" s="4" t="s">
        <v>39</v>
      </c>
      <c r="D930" s="4" t="str">
        <f t="shared" si="24"/>
        <v>Growth</v>
      </c>
      <c r="E930" s="4" t="str">
        <f t="shared" si="25"/>
        <v>Executive</v>
      </c>
      <c r="F930" s="13">
        <v>769</v>
      </c>
      <c r="G930" s="13">
        <v>2</v>
      </c>
      <c r="H930" s="13">
        <v>9</v>
      </c>
      <c r="I930" s="2">
        <v>31200</v>
      </c>
      <c r="J930" s="15">
        <v>753887</v>
      </c>
      <c r="K930" s="4" t="s">
        <v>14</v>
      </c>
      <c r="L930" s="27">
        <f t="shared" si="26"/>
        <v>1985</v>
      </c>
      <c r="M930" s="27">
        <f t="shared" si="27"/>
        <v>4</v>
      </c>
      <c r="N930" s="27">
        <f t="shared" ca="1" si="30"/>
        <v>41</v>
      </c>
      <c r="O930" s="27" t="str" cm="1">
        <f t="array" ref="O930">_xlfn.IFS($F930&gt;=750,"Excellent",$F930&gt;=700,"Good",$F930&gt;=650,"Moderate",
$F930&lt;650,"Risky"
)</f>
        <v>Excellent</v>
      </c>
      <c r="P930" s="27" t="str" cm="1">
        <f t="array" ref="P930">_xlfn.IFS(
AND(F930&gt;=750,H930&lt;=2),"Low Risk",
AND(F930&gt;=700,H930&lt;=5),"Medium Risk",
TRUE,"High Risk"
)</f>
        <v>High Risk</v>
      </c>
      <c r="Q930" s="5"/>
      <c r="R930" s="5"/>
      <c r="S930" s="5"/>
      <c r="T930" s="5"/>
      <c r="U930" s="5"/>
      <c r="V930" s="5"/>
      <c r="W930" s="5"/>
      <c r="X930" s="5"/>
      <c r="Y930" s="5"/>
    </row>
    <row r="931" spans="1:25" ht="15.75" customHeight="1" x14ac:dyDescent="0.25">
      <c r="A931" s="2">
        <v>44054</v>
      </c>
      <c r="B931" s="3">
        <v>79227</v>
      </c>
      <c r="C931" s="4" t="s">
        <v>15</v>
      </c>
      <c r="D931" s="4" t="str">
        <f t="shared" si="24"/>
        <v>Operation</v>
      </c>
      <c r="E931" s="4" t="str">
        <f t="shared" si="25"/>
        <v>Executive</v>
      </c>
      <c r="F931" s="13">
        <v>716</v>
      </c>
      <c r="G931" s="13">
        <v>4</v>
      </c>
      <c r="H931" s="13">
        <v>1</v>
      </c>
      <c r="I931" s="2">
        <v>29768</v>
      </c>
      <c r="J931" s="15">
        <v>815919</v>
      </c>
      <c r="K931" s="4" t="s">
        <v>14</v>
      </c>
      <c r="L931" s="27">
        <f t="shared" si="26"/>
        <v>1981</v>
      </c>
      <c r="M931" s="27">
        <f t="shared" si="27"/>
        <v>8</v>
      </c>
      <c r="N931" s="27">
        <f t="shared" ca="1" si="30"/>
        <v>45</v>
      </c>
      <c r="O931" s="27" t="str" cm="1">
        <f t="array" ref="O931">_xlfn.IFS($F931&gt;=750,"Excellent",$F931&gt;=700,"Good",$F931&gt;=650,"Moderate",
$F931&lt;650,"Risky"
)</f>
        <v>Good</v>
      </c>
      <c r="P931" s="27" t="str" cm="1">
        <f t="array" ref="P931">_xlfn.IFS(
AND(F931&gt;=750,H931&lt;=2),"Low Risk",
AND(F931&gt;=700,H931&lt;=5),"Medium Risk",
TRUE,"High Risk"
)</f>
        <v>Medium Risk</v>
      </c>
      <c r="Q931" s="5"/>
      <c r="R931" s="5"/>
      <c r="S931" s="5"/>
      <c r="T931" s="5"/>
      <c r="U931" s="5"/>
      <c r="V931" s="5"/>
      <c r="W931" s="5"/>
      <c r="X931" s="5"/>
      <c r="Y931" s="5"/>
    </row>
    <row r="932" spans="1:25" ht="15.75" customHeight="1" x14ac:dyDescent="0.25">
      <c r="A932" s="2">
        <v>44069</v>
      </c>
      <c r="B932" s="3">
        <v>50994</v>
      </c>
      <c r="C932" s="4" t="s">
        <v>15</v>
      </c>
      <c r="D932" s="4" t="str">
        <f t="shared" si="24"/>
        <v>Operation</v>
      </c>
      <c r="E932" s="4" t="str">
        <f t="shared" si="25"/>
        <v>Executive</v>
      </c>
      <c r="F932" s="13">
        <v>778</v>
      </c>
      <c r="G932" s="13">
        <v>5</v>
      </c>
      <c r="H932" s="13">
        <v>4</v>
      </c>
      <c r="I932" s="2">
        <v>34145</v>
      </c>
      <c r="J932" s="15">
        <v>683977</v>
      </c>
      <c r="K932" s="4" t="s">
        <v>21</v>
      </c>
      <c r="L932" s="27">
        <f t="shared" si="26"/>
        <v>1993</v>
      </c>
      <c r="M932" s="27">
        <f t="shared" si="27"/>
        <v>8</v>
      </c>
      <c r="N932" s="27">
        <f t="shared" ca="1" si="30"/>
        <v>33</v>
      </c>
      <c r="O932" s="27" t="str" cm="1">
        <f t="array" ref="O932">_xlfn.IFS($F932&gt;=750,"Excellent",$F932&gt;=700,"Good",$F932&gt;=650,"Moderate",
$F932&lt;650,"Risky"
)</f>
        <v>Excellent</v>
      </c>
      <c r="P932" s="27" t="str" cm="1">
        <f t="array" ref="P932">_xlfn.IFS(
AND(F932&gt;=750,H932&lt;=2),"Low Risk",
AND(F932&gt;=700,H932&lt;=5),"Medium Risk",
TRUE,"High Risk"
)</f>
        <v>Medium Risk</v>
      </c>
      <c r="Q932" s="5"/>
      <c r="R932" s="5"/>
      <c r="S932" s="5"/>
      <c r="T932" s="5"/>
      <c r="U932" s="5"/>
      <c r="V932" s="5"/>
      <c r="W932" s="5"/>
      <c r="X932" s="5"/>
      <c r="Y932" s="5"/>
    </row>
    <row r="933" spans="1:25" ht="15.75" customHeight="1" x14ac:dyDescent="0.25">
      <c r="A933" s="2">
        <v>43837</v>
      </c>
      <c r="B933" s="3">
        <v>28960</v>
      </c>
      <c r="C933" s="4" t="s">
        <v>28</v>
      </c>
      <c r="D933" s="4" t="str">
        <f t="shared" si="24"/>
        <v>Growth</v>
      </c>
      <c r="E933" s="4" t="str">
        <f t="shared" si="25"/>
        <v>Director</v>
      </c>
      <c r="F933" s="13">
        <v>758</v>
      </c>
      <c r="G933" s="13">
        <v>3</v>
      </c>
      <c r="H933" s="13">
        <v>5</v>
      </c>
      <c r="I933" s="2">
        <v>31298</v>
      </c>
      <c r="J933" s="15">
        <v>503619</v>
      </c>
      <c r="K933" s="4" t="s">
        <v>18</v>
      </c>
      <c r="L933" s="27">
        <f t="shared" si="26"/>
        <v>1985</v>
      </c>
      <c r="M933" s="27">
        <f t="shared" si="27"/>
        <v>1</v>
      </c>
      <c r="N933" s="27">
        <f t="shared" ca="1" si="30"/>
        <v>41</v>
      </c>
      <c r="O933" s="27" t="str" cm="1">
        <f t="array" ref="O933">_xlfn.IFS($F933&gt;=750,"Excellent",$F933&gt;=700,"Good",$F933&gt;=650,"Moderate",
$F933&lt;650,"Risky"
)</f>
        <v>Excellent</v>
      </c>
      <c r="P933" s="27" t="str" cm="1">
        <f t="array" ref="P933">_xlfn.IFS(
AND(F933&gt;=750,H933&lt;=2),"Low Risk",
AND(F933&gt;=700,H933&lt;=5),"Medium Risk",
TRUE,"High Risk"
)</f>
        <v>Medium Risk</v>
      </c>
      <c r="Q933" s="5"/>
      <c r="R933" s="5"/>
      <c r="S933" s="5"/>
      <c r="T933" s="5"/>
      <c r="U933" s="5"/>
      <c r="V933" s="5"/>
      <c r="W933" s="5"/>
      <c r="X933" s="5"/>
      <c r="Y933" s="5"/>
    </row>
    <row r="934" spans="1:25" ht="15.75" customHeight="1" x14ac:dyDescent="0.25">
      <c r="A934" s="2">
        <v>44167</v>
      </c>
      <c r="B934" s="3">
        <v>80217</v>
      </c>
      <c r="C934" s="4" t="s">
        <v>36</v>
      </c>
      <c r="D934" s="4" t="str">
        <f t="shared" si="24"/>
        <v>Sales</v>
      </c>
      <c r="E934" s="4" t="str">
        <f t="shared" si="25"/>
        <v>Intern</v>
      </c>
      <c r="F934" s="13">
        <v>777</v>
      </c>
      <c r="G934" s="13">
        <v>2</v>
      </c>
      <c r="H934" s="13">
        <v>9</v>
      </c>
      <c r="I934" s="2">
        <v>30148</v>
      </c>
      <c r="J934" s="15">
        <v>889056</v>
      </c>
      <c r="K934" s="4" t="s">
        <v>14</v>
      </c>
      <c r="L934" s="27">
        <f t="shared" si="26"/>
        <v>1982</v>
      </c>
      <c r="M934" s="27">
        <f t="shared" si="27"/>
        <v>12</v>
      </c>
      <c r="N934" s="27">
        <f t="shared" ca="1" si="30"/>
        <v>44</v>
      </c>
      <c r="O934" s="27" t="str" cm="1">
        <f t="array" ref="O934">_xlfn.IFS($F934&gt;=750,"Excellent",$F934&gt;=700,"Good",$F934&gt;=650,"Moderate",
$F934&lt;650,"Risky"
)</f>
        <v>Excellent</v>
      </c>
      <c r="P934" s="27" t="str" cm="1">
        <f t="array" ref="P934">_xlfn.IFS(
AND(F934&gt;=750,H934&lt;=2),"Low Risk",
AND(F934&gt;=700,H934&lt;=5),"Medium Risk",
TRUE,"High Risk"
)</f>
        <v>High Risk</v>
      </c>
      <c r="Q934" s="5"/>
      <c r="R934" s="5"/>
      <c r="S934" s="5"/>
      <c r="T934" s="5"/>
      <c r="U934" s="5"/>
      <c r="V934" s="5"/>
      <c r="W934" s="5"/>
      <c r="X934" s="5"/>
      <c r="Y934" s="5"/>
    </row>
    <row r="935" spans="1:25" ht="15.75" customHeight="1" x14ac:dyDescent="0.25">
      <c r="A935" s="2">
        <v>43994</v>
      </c>
      <c r="B935" s="3">
        <v>30845</v>
      </c>
      <c r="C935" s="4" t="s">
        <v>32</v>
      </c>
      <c r="D935" s="4" t="str">
        <f t="shared" si="24"/>
        <v>Finance</v>
      </c>
      <c r="E935" s="4" t="str">
        <f t="shared" si="25"/>
        <v>Executive</v>
      </c>
      <c r="F935" s="13">
        <v>738</v>
      </c>
      <c r="G935" s="13">
        <v>4</v>
      </c>
      <c r="H935" s="13">
        <v>4</v>
      </c>
      <c r="I935" s="2">
        <v>33467</v>
      </c>
      <c r="J935" s="15">
        <v>702299</v>
      </c>
      <c r="K935" s="4" t="s">
        <v>14</v>
      </c>
      <c r="L935" s="27">
        <f t="shared" si="26"/>
        <v>1991</v>
      </c>
      <c r="M935" s="27">
        <f t="shared" si="27"/>
        <v>6</v>
      </c>
      <c r="N935" s="27">
        <f t="shared" ca="1" si="30"/>
        <v>35</v>
      </c>
      <c r="O935" s="27" t="str" cm="1">
        <f t="array" ref="O935">_xlfn.IFS($F935&gt;=750,"Excellent",$F935&gt;=700,"Good",$F935&gt;=650,"Moderate",
$F935&lt;650,"Risky"
)</f>
        <v>Good</v>
      </c>
      <c r="P935" s="27" t="str" cm="1">
        <f t="array" ref="P935">_xlfn.IFS(
AND(F935&gt;=750,H935&lt;=2),"Low Risk",
AND(F935&gt;=700,H935&lt;=5),"Medium Risk",
TRUE,"High Risk"
)</f>
        <v>Medium Risk</v>
      </c>
      <c r="Q935" s="5"/>
      <c r="R935" s="5"/>
      <c r="S935" s="5"/>
      <c r="T935" s="5"/>
      <c r="U935" s="5"/>
      <c r="V935" s="5"/>
      <c r="W935" s="5"/>
      <c r="X935" s="5"/>
      <c r="Y935" s="5"/>
    </row>
    <row r="936" spans="1:25" ht="15.75" customHeight="1" x14ac:dyDescent="0.25">
      <c r="A936" s="2">
        <v>44096</v>
      </c>
      <c r="B936" s="3">
        <v>56704</v>
      </c>
      <c r="C936" s="4" t="s">
        <v>20</v>
      </c>
      <c r="D936" s="4" t="str">
        <f t="shared" si="24"/>
        <v>Operation</v>
      </c>
      <c r="E936" s="4" t="str">
        <f t="shared" si="25"/>
        <v>Manager</v>
      </c>
      <c r="F936" s="13">
        <v>772</v>
      </c>
      <c r="G936" s="13">
        <v>3</v>
      </c>
      <c r="H936" s="13">
        <v>2</v>
      </c>
      <c r="I936" s="2">
        <v>34646</v>
      </c>
      <c r="J936" s="15">
        <v>582495</v>
      </c>
      <c r="K936" s="4" t="s">
        <v>21</v>
      </c>
      <c r="L936" s="27">
        <f t="shared" si="26"/>
        <v>1994</v>
      </c>
      <c r="M936" s="27">
        <f t="shared" si="27"/>
        <v>9</v>
      </c>
      <c r="N936" s="27">
        <f t="shared" ca="1" si="30"/>
        <v>32</v>
      </c>
      <c r="O936" s="27" t="str" cm="1">
        <f t="array" ref="O936">_xlfn.IFS($F936&gt;=750,"Excellent",$F936&gt;=700,"Good",$F936&gt;=650,"Moderate",
$F936&lt;650,"Risky"
)</f>
        <v>Excellent</v>
      </c>
      <c r="P936" s="27" t="str" cm="1">
        <f t="array" ref="P936">_xlfn.IFS(
AND(F936&gt;=750,H936&lt;=2),"Low Risk",
AND(F936&gt;=700,H936&lt;=5),"Medium Risk",
TRUE,"High Risk"
)</f>
        <v>Low Risk</v>
      </c>
      <c r="Q936" s="5"/>
      <c r="R936" s="5"/>
      <c r="S936" s="5"/>
      <c r="T936" s="5"/>
      <c r="U936" s="5"/>
      <c r="V936" s="5"/>
      <c r="W936" s="5"/>
      <c r="X936" s="5"/>
      <c r="Y936" s="5"/>
    </row>
    <row r="937" spans="1:25" ht="15.75" customHeight="1" x14ac:dyDescent="0.25">
      <c r="A937" s="2">
        <v>43976</v>
      </c>
      <c r="B937" s="3">
        <v>86488</v>
      </c>
      <c r="C937" s="4" t="s">
        <v>13</v>
      </c>
      <c r="D937" s="4" t="str">
        <f t="shared" si="24"/>
        <v>Marketing</v>
      </c>
      <c r="E937" s="4" t="str">
        <f t="shared" si="25"/>
        <v>Director</v>
      </c>
      <c r="F937" s="13">
        <v>764</v>
      </c>
      <c r="G937" s="13">
        <v>2</v>
      </c>
      <c r="H937" s="13">
        <v>6</v>
      </c>
      <c r="I937" s="2">
        <v>32260</v>
      </c>
      <c r="J937" s="15">
        <v>658127</v>
      </c>
      <c r="K937" s="4" t="s">
        <v>18</v>
      </c>
      <c r="L937" s="27">
        <f t="shared" si="26"/>
        <v>1988</v>
      </c>
      <c r="M937" s="27">
        <f t="shared" si="27"/>
        <v>5</v>
      </c>
      <c r="N937" s="27">
        <f t="shared" ca="1" si="30"/>
        <v>38</v>
      </c>
      <c r="O937" s="27" t="str" cm="1">
        <f t="array" ref="O937">_xlfn.IFS($F937&gt;=750,"Excellent",$F937&gt;=700,"Good",$F937&gt;=650,"Moderate",
$F937&lt;650,"Risky"
)</f>
        <v>Excellent</v>
      </c>
      <c r="P937" s="27" t="str" cm="1">
        <f t="array" ref="P937">_xlfn.IFS(
AND(F937&gt;=750,H937&lt;=2),"Low Risk",
AND(F937&gt;=700,H937&lt;=5),"Medium Risk",
TRUE,"High Risk"
)</f>
        <v>High Risk</v>
      </c>
      <c r="Q937" s="5"/>
      <c r="R937" s="5"/>
      <c r="S937" s="5"/>
      <c r="T937" s="5"/>
      <c r="U937" s="5"/>
      <c r="V937" s="5"/>
      <c r="W937" s="5"/>
      <c r="X937" s="5"/>
      <c r="Y937" s="5"/>
    </row>
    <row r="938" spans="1:25" ht="15.75" customHeight="1" x14ac:dyDescent="0.25">
      <c r="A938" s="2">
        <v>44021</v>
      </c>
      <c r="B938" s="3">
        <v>79462</v>
      </c>
      <c r="C938" s="4" t="s">
        <v>35</v>
      </c>
      <c r="D938" s="4" t="str">
        <f t="shared" si="24"/>
        <v>Growth</v>
      </c>
      <c r="E938" s="4" t="str">
        <f t="shared" si="25"/>
        <v>Intern</v>
      </c>
      <c r="F938" s="13">
        <v>739</v>
      </c>
      <c r="G938" s="13">
        <v>2</v>
      </c>
      <c r="H938" s="13">
        <v>5</v>
      </c>
      <c r="I938" s="2">
        <v>30092</v>
      </c>
      <c r="J938" s="15">
        <v>955880</v>
      </c>
      <c r="K938" s="4" t="s">
        <v>18</v>
      </c>
      <c r="L938" s="27">
        <f t="shared" si="26"/>
        <v>1982</v>
      </c>
      <c r="M938" s="27">
        <f t="shared" si="27"/>
        <v>7</v>
      </c>
      <c r="N938" s="27">
        <f t="shared" ca="1" si="30"/>
        <v>44</v>
      </c>
      <c r="O938" s="27" t="str" cm="1">
        <f t="array" ref="O938">_xlfn.IFS($F938&gt;=750,"Excellent",$F938&gt;=700,"Good",$F938&gt;=650,"Moderate",
$F938&lt;650,"Risky"
)</f>
        <v>Good</v>
      </c>
      <c r="P938" s="27" t="str" cm="1">
        <f t="array" ref="P938">_xlfn.IFS(
AND(F938&gt;=750,H938&lt;=2),"Low Risk",
AND(F938&gt;=700,H938&lt;=5),"Medium Risk",
TRUE,"High Risk"
)</f>
        <v>Medium Risk</v>
      </c>
      <c r="Q938" s="5"/>
      <c r="R938" s="5"/>
      <c r="S938" s="5"/>
      <c r="T938" s="5"/>
      <c r="U938" s="5"/>
      <c r="V938" s="5"/>
      <c r="W938" s="5"/>
      <c r="X938" s="5"/>
      <c r="Y938" s="5"/>
    </row>
    <row r="939" spans="1:25" ht="15.75" customHeight="1" x14ac:dyDescent="0.25">
      <c r="A939" s="2">
        <v>43945</v>
      </c>
      <c r="B939" s="3">
        <v>64677</v>
      </c>
      <c r="C939" s="4" t="s">
        <v>16</v>
      </c>
      <c r="D939" s="4" t="str">
        <f t="shared" si="24"/>
        <v>Marketing</v>
      </c>
      <c r="E939" s="4" t="str">
        <f t="shared" si="25"/>
        <v>Executive</v>
      </c>
      <c r="F939" s="13">
        <v>703</v>
      </c>
      <c r="G939" s="13">
        <v>2</v>
      </c>
      <c r="H939" s="13">
        <v>7</v>
      </c>
      <c r="I939" s="2">
        <v>34599</v>
      </c>
      <c r="J939" s="15">
        <v>913943</v>
      </c>
      <c r="K939" s="4" t="s">
        <v>21</v>
      </c>
      <c r="L939" s="27">
        <f t="shared" si="26"/>
        <v>1994</v>
      </c>
      <c r="M939" s="27">
        <f t="shared" si="27"/>
        <v>4</v>
      </c>
      <c r="N939" s="27">
        <f t="shared" ca="1" si="30"/>
        <v>32</v>
      </c>
      <c r="O939" s="27" t="str" cm="1">
        <f t="array" ref="O939">_xlfn.IFS($F939&gt;=750,"Excellent",$F939&gt;=700,"Good",$F939&gt;=650,"Moderate",
$F939&lt;650,"Risky"
)</f>
        <v>Good</v>
      </c>
      <c r="P939" s="27" t="str" cm="1">
        <f t="array" ref="P939">_xlfn.IFS(
AND(F939&gt;=750,H939&lt;=2),"Low Risk",
AND(F939&gt;=700,H939&lt;=5),"Medium Risk",
TRUE,"High Risk"
)</f>
        <v>High Risk</v>
      </c>
      <c r="Q939" s="5"/>
      <c r="R939" s="5"/>
      <c r="S939" s="5"/>
      <c r="T939" s="5"/>
      <c r="U939" s="5"/>
      <c r="V939" s="5"/>
      <c r="W939" s="5"/>
      <c r="X939" s="5"/>
      <c r="Y939" s="5"/>
    </row>
    <row r="940" spans="1:25" ht="15.75" customHeight="1" x14ac:dyDescent="0.25">
      <c r="A940" s="2">
        <v>44088</v>
      </c>
      <c r="B940" s="3">
        <v>53751</v>
      </c>
      <c r="C940" s="4" t="s">
        <v>19</v>
      </c>
      <c r="D940" s="4" t="str">
        <f t="shared" si="24"/>
        <v>Marketing</v>
      </c>
      <c r="E940" s="4" t="str">
        <f t="shared" si="25"/>
        <v>Manager</v>
      </c>
      <c r="F940" s="13">
        <v>704</v>
      </c>
      <c r="G940" s="13">
        <v>3</v>
      </c>
      <c r="H940" s="13">
        <v>1</v>
      </c>
      <c r="I940" s="2">
        <v>30100</v>
      </c>
      <c r="J940" s="15">
        <v>992032</v>
      </c>
      <c r="K940" s="4" t="s">
        <v>21</v>
      </c>
      <c r="L940" s="27">
        <f t="shared" si="26"/>
        <v>1982</v>
      </c>
      <c r="M940" s="27">
        <f t="shared" si="27"/>
        <v>9</v>
      </c>
      <c r="N940" s="27">
        <f t="shared" ca="1" si="30"/>
        <v>44</v>
      </c>
      <c r="O940" s="27" t="str" cm="1">
        <f t="array" ref="O940">_xlfn.IFS($F940&gt;=750,"Excellent",$F940&gt;=700,"Good",$F940&gt;=650,"Moderate",
$F940&lt;650,"Risky"
)</f>
        <v>Good</v>
      </c>
      <c r="P940" s="27" t="str" cm="1">
        <f t="array" ref="P940">_xlfn.IFS(
AND(F940&gt;=750,H940&lt;=2),"Low Risk",
AND(F940&gt;=700,H940&lt;=5),"Medium Risk",
TRUE,"High Risk"
)</f>
        <v>Medium Risk</v>
      </c>
      <c r="Q940" s="5"/>
      <c r="R940" s="5"/>
      <c r="S940" s="5"/>
      <c r="T940" s="5"/>
      <c r="U940" s="5"/>
      <c r="V940" s="5"/>
      <c r="W940" s="5"/>
      <c r="X940" s="5"/>
      <c r="Y940" s="5"/>
    </row>
    <row r="941" spans="1:25" ht="15.75" customHeight="1" x14ac:dyDescent="0.25">
      <c r="A941" s="2">
        <v>43846</v>
      </c>
      <c r="B941" s="3">
        <v>27788</v>
      </c>
      <c r="C941" s="4" t="s">
        <v>15</v>
      </c>
      <c r="D941" s="4" t="str">
        <f t="shared" si="24"/>
        <v>Operation</v>
      </c>
      <c r="E941" s="4" t="str">
        <f t="shared" si="25"/>
        <v>Executive</v>
      </c>
      <c r="F941" s="13">
        <v>758</v>
      </c>
      <c r="G941" s="13">
        <v>2</v>
      </c>
      <c r="H941" s="13">
        <v>6</v>
      </c>
      <c r="I941" s="2">
        <v>31425</v>
      </c>
      <c r="J941" s="15">
        <v>780827</v>
      </c>
      <c r="K941" s="4" t="s">
        <v>21</v>
      </c>
      <c r="L941" s="27">
        <f t="shared" si="26"/>
        <v>1986</v>
      </c>
      <c r="M941" s="27">
        <f t="shared" si="27"/>
        <v>1</v>
      </c>
      <c r="N941" s="27">
        <f t="shared" ca="1" si="30"/>
        <v>40</v>
      </c>
      <c r="O941" s="27" t="str" cm="1">
        <f t="array" ref="O941">_xlfn.IFS($F941&gt;=750,"Excellent",$F941&gt;=700,"Good",$F941&gt;=650,"Moderate",
$F941&lt;650,"Risky"
)</f>
        <v>Excellent</v>
      </c>
      <c r="P941" s="27" t="str" cm="1">
        <f t="array" ref="P941">_xlfn.IFS(
AND(F941&gt;=750,H941&lt;=2),"Low Risk",
AND(F941&gt;=700,H941&lt;=5),"Medium Risk",
TRUE,"High Risk"
)</f>
        <v>High Risk</v>
      </c>
      <c r="Q941" s="5"/>
      <c r="R941" s="5"/>
      <c r="S941" s="5"/>
      <c r="T941" s="5"/>
      <c r="U941" s="5"/>
      <c r="V941" s="5"/>
      <c r="W941" s="5"/>
      <c r="X941" s="5"/>
      <c r="Y941" s="5"/>
    </row>
    <row r="942" spans="1:25" ht="15.75" customHeight="1" x14ac:dyDescent="0.25">
      <c r="A942" s="2">
        <v>43843</v>
      </c>
      <c r="B942" s="3">
        <v>70713</v>
      </c>
      <c r="C942" s="4" t="s">
        <v>22</v>
      </c>
      <c r="D942" s="4" t="str">
        <f t="shared" si="24"/>
        <v>Strategy</v>
      </c>
      <c r="E942" s="4" t="str">
        <f t="shared" si="25"/>
        <v>Executive</v>
      </c>
      <c r="F942" s="13">
        <v>729</v>
      </c>
      <c r="G942" s="13">
        <v>5</v>
      </c>
      <c r="H942" s="13">
        <v>6</v>
      </c>
      <c r="I942" s="2">
        <v>33680</v>
      </c>
      <c r="J942" s="15">
        <v>763949</v>
      </c>
      <c r="K942" s="4" t="s">
        <v>14</v>
      </c>
      <c r="L942" s="27">
        <f t="shared" si="26"/>
        <v>1992</v>
      </c>
      <c r="M942" s="27">
        <f t="shared" si="27"/>
        <v>1</v>
      </c>
      <c r="N942" s="27">
        <f t="shared" ca="1" si="30"/>
        <v>34</v>
      </c>
      <c r="O942" s="27" t="str" cm="1">
        <f t="array" ref="O942">_xlfn.IFS($F942&gt;=750,"Excellent",$F942&gt;=700,"Good",$F942&gt;=650,"Moderate",
$F942&lt;650,"Risky"
)</f>
        <v>Good</v>
      </c>
      <c r="P942" s="27" t="str" cm="1">
        <f t="array" ref="P942">_xlfn.IFS(
AND(F942&gt;=750,H942&lt;=2),"Low Risk",
AND(F942&gt;=700,H942&lt;=5),"Medium Risk",
TRUE,"High Risk"
)</f>
        <v>High Risk</v>
      </c>
      <c r="Q942" s="5"/>
      <c r="R942" s="5"/>
      <c r="S942" s="5"/>
      <c r="T942" s="5"/>
      <c r="U942" s="5"/>
      <c r="V942" s="5"/>
      <c r="W942" s="5"/>
      <c r="X942" s="5"/>
      <c r="Y942" s="5"/>
    </row>
    <row r="943" spans="1:25" ht="15.75" customHeight="1" x14ac:dyDescent="0.25">
      <c r="A943" s="2">
        <v>43979</v>
      </c>
      <c r="B943" s="3">
        <v>33264</v>
      </c>
      <c r="C943" s="4" t="s">
        <v>13</v>
      </c>
      <c r="D943" s="4" t="str">
        <f t="shared" si="24"/>
        <v>Marketing</v>
      </c>
      <c r="E943" s="4" t="str">
        <f t="shared" si="25"/>
        <v>Director</v>
      </c>
      <c r="F943" s="13">
        <v>761</v>
      </c>
      <c r="G943" s="13">
        <v>1</v>
      </c>
      <c r="H943" s="13">
        <v>8</v>
      </c>
      <c r="I943" s="2">
        <v>31175</v>
      </c>
      <c r="J943" s="15">
        <v>874282</v>
      </c>
      <c r="K943" s="4" t="s">
        <v>18</v>
      </c>
      <c r="L943" s="27">
        <f t="shared" si="26"/>
        <v>1985</v>
      </c>
      <c r="M943" s="27">
        <f t="shared" si="27"/>
        <v>5</v>
      </c>
      <c r="N943" s="27">
        <f t="shared" ca="1" si="30"/>
        <v>41</v>
      </c>
      <c r="O943" s="27" t="str" cm="1">
        <f t="array" ref="O943">_xlfn.IFS($F943&gt;=750,"Excellent",$F943&gt;=700,"Good",$F943&gt;=650,"Moderate",
$F943&lt;650,"Risky"
)</f>
        <v>Excellent</v>
      </c>
      <c r="P943" s="27" t="str" cm="1">
        <f t="array" ref="P943">_xlfn.IFS(
AND(F943&gt;=750,H943&lt;=2),"Low Risk",
AND(F943&gt;=700,H943&lt;=5),"Medium Risk",
TRUE,"High Risk"
)</f>
        <v>High Risk</v>
      </c>
      <c r="Q943" s="5"/>
      <c r="R943" s="5"/>
      <c r="S943" s="5"/>
      <c r="T943" s="5"/>
      <c r="U943" s="5"/>
      <c r="V943" s="5"/>
      <c r="W943" s="5"/>
      <c r="X943" s="5"/>
      <c r="Y943" s="5"/>
    </row>
    <row r="944" spans="1:25" ht="15.75" customHeight="1" x14ac:dyDescent="0.25">
      <c r="A944" s="2">
        <v>43949</v>
      </c>
      <c r="B944" s="3">
        <v>88783</v>
      </c>
      <c r="C944" s="4" t="s">
        <v>29</v>
      </c>
      <c r="D944" s="4" t="str">
        <f t="shared" si="24"/>
        <v>Sales</v>
      </c>
      <c r="E944" s="4" t="str">
        <f t="shared" si="25"/>
        <v>Director</v>
      </c>
      <c r="F944" s="13">
        <v>708</v>
      </c>
      <c r="G944" s="13">
        <v>2</v>
      </c>
      <c r="H944" s="13">
        <v>8</v>
      </c>
      <c r="I944" s="2">
        <v>30351</v>
      </c>
      <c r="J944" s="15">
        <v>829846</v>
      </c>
      <c r="K944" s="4" t="s">
        <v>18</v>
      </c>
      <c r="L944" s="27">
        <f t="shared" si="26"/>
        <v>1983</v>
      </c>
      <c r="M944" s="27">
        <f t="shared" si="27"/>
        <v>4</v>
      </c>
      <c r="N944" s="27">
        <f t="shared" ca="1" si="30"/>
        <v>43</v>
      </c>
      <c r="O944" s="27" t="str" cm="1">
        <f t="array" ref="O944">_xlfn.IFS($F944&gt;=750,"Excellent",$F944&gt;=700,"Good",$F944&gt;=650,"Moderate",
$F944&lt;650,"Risky"
)</f>
        <v>Good</v>
      </c>
      <c r="P944" s="27" t="str" cm="1">
        <f t="array" ref="P944">_xlfn.IFS(
AND(F944&gt;=750,H944&lt;=2),"Low Risk",
AND(F944&gt;=700,H944&lt;=5),"Medium Risk",
TRUE,"High Risk"
)</f>
        <v>High Risk</v>
      </c>
      <c r="Q944" s="5"/>
      <c r="R944" s="5"/>
      <c r="S944" s="5"/>
      <c r="T944" s="5"/>
      <c r="U944" s="5"/>
      <c r="V944" s="5"/>
      <c r="W944" s="5"/>
      <c r="X944" s="5"/>
      <c r="Y944" s="5"/>
    </row>
    <row r="945" spans="1:25" ht="15.75" customHeight="1" x14ac:dyDescent="0.25">
      <c r="A945" s="2">
        <v>44121</v>
      </c>
      <c r="B945" s="3">
        <v>10804</v>
      </c>
      <c r="C945" s="4" t="s">
        <v>29</v>
      </c>
      <c r="D945" s="4" t="str">
        <f t="shared" si="24"/>
        <v>Sales</v>
      </c>
      <c r="E945" s="4" t="str">
        <f t="shared" si="25"/>
        <v>Director</v>
      </c>
      <c r="F945" s="13">
        <v>771</v>
      </c>
      <c r="G945" s="13">
        <v>2</v>
      </c>
      <c r="H945" s="13">
        <v>4</v>
      </c>
      <c r="I945" s="2">
        <v>33461</v>
      </c>
      <c r="J945" s="15">
        <v>721772</v>
      </c>
      <c r="K945" s="4" t="s">
        <v>14</v>
      </c>
      <c r="L945" s="27">
        <f t="shared" si="26"/>
        <v>1991</v>
      </c>
      <c r="M945" s="27">
        <f t="shared" si="27"/>
        <v>10</v>
      </c>
      <c r="N945" s="27">
        <f t="shared" ca="1" si="30"/>
        <v>35</v>
      </c>
      <c r="O945" s="27" t="str" cm="1">
        <f t="array" ref="O945">_xlfn.IFS($F945&gt;=750,"Excellent",$F945&gt;=700,"Good",$F945&gt;=650,"Moderate",
$F945&lt;650,"Risky"
)</f>
        <v>Excellent</v>
      </c>
      <c r="P945" s="27" t="str" cm="1">
        <f t="array" ref="P945">_xlfn.IFS(
AND(F945&gt;=750,H945&lt;=2),"Low Risk",
AND(F945&gt;=700,H945&lt;=5),"Medium Risk",
TRUE,"High Risk"
)</f>
        <v>Medium Risk</v>
      </c>
      <c r="Q945" s="5"/>
      <c r="R945" s="5"/>
      <c r="S945" s="5"/>
      <c r="T945" s="5"/>
      <c r="U945" s="5"/>
      <c r="V945" s="5"/>
      <c r="W945" s="5"/>
      <c r="X945" s="5"/>
      <c r="Y945" s="5"/>
    </row>
    <row r="946" spans="1:25" ht="15.75" customHeight="1" x14ac:dyDescent="0.25">
      <c r="A946" s="2">
        <v>44035</v>
      </c>
      <c r="B946" s="3">
        <v>40150</v>
      </c>
      <c r="C946" s="4" t="s">
        <v>37</v>
      </c>
      <c r="D946" s="4" t="str">
        <f t="shared" si="24"/>
        <v>Strategy</v>
      </c>
      <c r="E946" s="4" t="str">
        <f t="shared" si="25"/>
        <v>Director</v>
      </c>
      <c r="F946" s="13">
        <v>799</v>
      </c>
      <c r="G946" s="13">
        <v>5</v>
      </c>
      <c r="H946" s="13">
        <v>4</v>
      </c>
      <c r="I946" s="2">
        <v>32553</v>
      </c>
      <c r="J946" s="15">
        <v>867129</v>
      </c>
      <c r="K946" s="4" t="s">
        <v>21</v>
      </c>
      <c r="L946" s="27">
        <f t="shared" si="26"/>
        <v>1989</v>
      </c>
      <c r="M946" s="27">
        <f t="shared" si="27"/>
        <v>7</v>
      </c>
      <c r="N946" s="27">
        <f t="shared" ca="1" si="30"/>
        <v>37</v>
      </c>
      <c r="O946" s="27" t="str" cm="1">
        <f t="array" ref="O946">_xlfn.IFS($F946&gt;=750,"Excellent",$F946&gt;=700,"Good",$F946&gt;=650,"Moderate",
$F946&lt;650,"Risky"
)</f>
        <v>Excellent</v>
      </c>
      <c r="P946" s="27" t="str" cm="1">
        <f t="array" ref="P946">_xlfn.IFS(
AND(F946&gt;=750,H946&lt;=2),"Low Risk",
AND(F946&gt;=700,H946&lt;=5),"Medium Risk",
TRUE,"High Risk"
)</f>
        <v>Medium Risk</v>
      </c>
      <c r="Q946" s="5"/>
      <c r="R946" s="5"/>
      <c r="S946" s="5"/>
      <c r="T946" s="5"/>
      <c r="U946" s="5"/>
      <c r="V946" s="5"/>
      <c r="W946" s="5"/>
      <c r="X946" s="5"/>
      <c r="Y946" s="5"/>
    </row>
    <row r="947" spans="1:25" ht="15.75" customHeight="1" x14ac:dyDescent="0.25">
      <c r="A947" s="2">
        <v>43912</v>
      </c>
      <c r="B947" s="3">
        <v>11377</v>
      </c>
      <c r="C947" s="4" t="s">
        <v>38</v>
      </c>
      <c r="D947" s="4" t="str">
        <f t="shared" si="24"/>
        <v>Finance</v>
      </c>
      <c r="E947" s="4" t="str">
        <f t="shared" si="25"/>
        <v>Manager</v>
      </c>
      <c r="F947" s="13">
        <v>729</v>
      </c>
      <c r="G947" s="13">
        <v>1</v>
      </c>
      <c r="H947" s="13">
        <v>10</v>
      </c>
      <c r="I947" s="2">
        <v>29421</v>
      </c>
      <c r="J947" s="15">
        <v>761341</v>
      </c>
      <c r="K947" s="4" t="s">
        <v>18</v>
      </c>
      <c r="L947" s="27">
        <f t="shared" si="26"/>
        <v>1980</v>
      </c>
      <c r="M947" s="27">
        <f t="shared" si="27"/>
        <v>3</v>
      </c>
      <c r="N947" s="27">
        <f t="shared" ca="1" si="30"/>
        <v>46</v>
      </c>
      <c r="O947" s="27" t="str" cm="1">
        <f t="array" ref="O947">_xlfn.IFS($F947&gt;=750,"Excellent",$F947&gt;=700,"Good",$F947&gt;=650,"Moderate",
$F947&lt;650,"Risky"
)</f>
        <v>Good</v>
      </c>
      <c r="P947" s="27" t="str" cm="1">
        <f t="array" ref="P947">_xlfn.IFS(
AND(F947&gt;=750,H947&lt;=2),"Low Risk",
AND(F947&gt;=700,H947&lt;=5),"Medium Risk",
TRUE,"High Risk"
)</f>
        <v>High Risk</v>
      </c>
      <c r="Q947" s="5"/>
      <c r="R947" s="5"/>
      <c r="S947" s="5"/>
      <c r="T947" s="5"/>
      <c r="U947" s="5"/>
      <c r="V947" s="5"/>
      <c r="W947" s="5"/>
      <c r="X947" s="5"/>
      <c r="Y947" s="5"/>
    </row>
    <row r="948" spans="1:25" ht="15.75" customHeight="1" x14ac:dyDescent="0.25">
      <c r="A948" s="2">
        <v>44033</v>
      </c>
      <c r="B948" s="3">
        <v>37782</v>
      </c>
      <c r="C948" s="4" t="s">
        <v>20</v>
      </c>
      <c r="D948" s="4" t="str">
        <f t="shared" si="24"/>
        <v>Operation</v>
      </c>
      <c r="E948" s="4" t="str">
        <f t="shared" si="25"/>
        <v>Manager</v>
      </c>
      <c r="F948" s="13">
        <v>732</v>
      </c>
      <c r="G948" s="13">
        <v>3</v>
      </c>
      <c r="H948" s="13">
        <v>1</v>
      </c>
      <c r="I948" s="2">
        <v>29383</v>
      </c>
      <c r="J948" s="15">
        <v>769686</v>
      </c>
      <c r="K948" s="4" t="s">
        <v>18</v>
      </c>
      <c r="L948" s="27">
        <f t="shared" si="26"/>
        <v>1980</v>
      </c>
      <c r="M948" s="27">
        <f t="shared" si="27"/>
        <v>7</v>
      </c>
      <c r="N948" s="27">
        <f t="shared" ca="1" si="30"/>
        <v>46</v>
      </c>
      <c r="O948" s="27" t="str" cm="1">
        <f t="array" ref="O948">_xlfn.IFS($F948&gt;=750,"Excellent",$F948&gt;=700,"Good",$F948&gt;=650,"Moderate",
$F948&lt;650,"Risky"
)</f>
        <v>Good</v>
      </c>
      <c r="P948" s="27" t="str" cm="1">
        <f t="array" ref="P948">_xlfn.IFS(
AND(F948&gt;=750,H948&lt;=2),"Low Risk",
AND(F948&gt;=700,H948&lt;=5),"Medium Risk",
TRUE,"High Risk"
)</f>
        <v>Medium Risk</v>
      </c>
      <c r="Q948" s="5"/>
      <c r="R948" s="5"/>
      <c r="S948" s="5"/>
      <c r="T948" s="5"/>
      <c r="U948" s="5"/>
      <c r="V948" s="5"/>
      <c r="W948" s="5"/>
      <c r="X948" s="5"/>
      <c r="Y948" s="5"/>
    </row>
    <row r="949" spans="1:25" ht="15.75" customHeight="1" x14ac:dyDescent="0.25">
      <c r="A949" s="2">
        <v>44026</v>
      </c>
      <c r="B949" s="3">
        <v>66876</v>
      </c>
      <c r="C949" s="4" t="s">
        <v>36</v>
      </c>
      <c r="D949" s="4" t="str">
        <f t="shared" si="24"/>
        <v>Sales</v>
      </c>
      <c r="E949" s="4" t="str">
        <f t="shared" si="25"/>
        <v>Intern</v>
      </c>
      <c r="F949" s="13">
        <v>708</v>
      </c>
      <c r="G949" s="13">
        <v>2</v>
      </c>
      <c r="H949" s="13">
        <v>8</v>
      </c>
      <c r="I949" s="2">
        <v>30201</v>
      </c>
      <c r="J949" s="15">
        <v>947120</v>
      </c>
      <c r="K949" s="4" t="s">
        <v>18</v>
      </c>
      <c r="L949" s="27">
        <f t="shared" si="26"/>
        <v>1982</v>
      </c>
      <c r="M949" s="27">
        <f t="shared" si="27"/>
        <v>7</v>
      </c>
      <c r="N949" s="27">
        <f t="shared" ca="1" si="30"/>
        <v>44</v>
      </c>
      <c r="O949" s="27" t="str" cm="1">
        <f t="array" ref="O949">_xlfn.IFS($F949&gt;=750,"Excellent",$F949&gt;=700,"Good",$F949&gt;=650,"Moderate",
$F949&lt;650,"Risky"
)</f>
        <v>Good</v>
      </c>
      <c r="P949" s="27" t="str" cm="1">
        <f t="array" ref="P949">_xlfn.IFS(
AND(F949&gt;=750,H949&lt;=2),"Low Risk",
AND(F949&gt;=700,H949&lt;=5),"Medium Risk",
TRUE,"High Risk"
)</f>
        <v>High Risk</v>
      </c>
      <c r="Q949" s="5"/>
      <c r="R949" s="5"/>
      <c r="S949" s="5"/>
      <c r="T949" s="5"/>
      <c r="U949" s="5"/>
      <c r="V949" s="5"/>
      <c r="W949" s="5"/>
      <c r="X949" s="5"/>
      <c r="Y949" s="5"/>
    </row>
    <row r="950" spans="1:25" ht="15.75" customHeight="1" x14ac:dyDescent="0.25">
      <c r="A950" s="2">
        <v>44079</v>
      </c>
      <c r="B950" s="3">
        <v>35347</v>
      </c>
      <c r="C950" s="4" t="s">
        <v>28</v>
      </c>
      <c r="D950" s="4" t="str">
        <f t="shared" si="24"/>
        <v>Growth</v>
      </c>
      <c r="E950" s="4" t="str">
        <f t="shared" si="25"/>
        <v>Director</v>
      </c>
      <c r="F950" s="13">
        <v>707</v>
      </c>
      <c r="G950" s="13">
        <v>1</v>
      </c>
      <c r="H950" s="13">
        <v>7</v>
      </c>
      <c r="I950" s="2">
        <v>29276</v>
      </c>
      <c r="J950" s="15">
        <v>748484</v>
      </c>
      <c r="K950" s="4" t="s">
        <v>21</v>
      </c>
      <c r="L950" s="27">
        <f t="shared" si="26"/>
        <v>1980</v>
      </c>
      <c r="M950" s="27">
        <f t="shared" si="27"/>
        <v>9</v>
      </c>
      <c r="N950" s="27">
        <f t="shared" ca="1" si="30"/>
        <v>46</v>
      </c>
      <c r="O950" s="27" t="str" cm="1">
        <f t="array" ref="O950">_xlfn.IFS($F950&gt;=750,"Excellent",$F950&gt;=700,"Good",$F950&gt;=650,"Moderate",
$F950&lt;650,"Risky"
)</f>
        <v>Good</v>
      </c>
      <c r="P950" s="27" t="str" cm="1">
        <f t="array" ref="P950">_xlfn.IFS(
AND(F950&gt;=750,H950&lt;=2),"Low Risk",
AND(F950&gt;=700,H950&lt;=5),"Medium Risk",
TRUE,"High Risk"
)</f>
        <v>High Risk</v>
      </c>
      <c r="Q950" s="5"/>
      <c r="R950" s="5"/>
      <c r="S950" s="5"/>
      <c r="T950" s="5"/>
      <c r="U950" s="5"/>
      <c r="V950" s="5"/>
      <c r="W950" s="5"/>
      <c r="X950" s="5"/>
      <c r="Y950" s="5"/>
    </row>
    <row r="951" spans="1:25" ht="15.75" customHeight="1" x14ac:dyDescent="0.25">
      <c r="A951" s="2">
        <v>44161</v>
      </c>
      <c r="B951" s="3">
        <v>71659</v>
      </c>
      <c r="C951" s="4" t="s">
        <v>25</v>
      </c>
      <c r="D951" s="4" t="str">
        <f t="shared" si="24"/>
        <v>Sales</v>
      </c>
      <c r="E951" s="4" t="str">
        <f t="shared" si="25"/>
        <v>Manager</v>
      </c>
      <c r="F951" s="13">
        <v>770</v>
      </c>
      <c r="G951" s="13">
        <v>1</v>
      </c>
      <c r="H951" s="13">
        <v>6</v>
      </c>
      <c r="I951" s="2">
        <v>29821</v>
      </c>
      <c r="J951" s="15">
        <v>550140</v>
      </c>
      <c r="K951" s="4" t="s">
        <v>21</v>
      </c>
      <c r="L951" s="27">
        <f t="shared" si="26"/>
        <v>1981</v>
      </c>
      <c r="M951" s="27">
        <f t="shared" si="27"/>
        <v>11</v>
      </c>
      <c r="N951" s="27">
        <f t="shared" ca="1" si="30"/>
        <v>45</v>
      </c>
      <c r="O951" s="27" t="str" cm="1">
        <f t="array" ref="O951">_xlfn.IFS($F951&gt;=750,"Excellent",$F951&gt;=700,"Good",$F951&gt;=650,"Moderate",
$F951&lt;650,"Risky"
)</f>
        <v>Excellent</v>
      </c>
      <c r="P951" s="27" t="str" cm="1">
        <f t="array" ref="P951">_xlfn.IFS(
AND(F951&gt;=750,H951&lt;=2),"Low Risk",
AND(F951&gt;=700,H951&lt;=5),"Medium Risk",
TRUE,"High Risk"
)</f>
        <v>High Risk</v>
      </c>
      <c r="Q951" s="5"/>
      <c r="R951" s="5"/>
      <c r="S951" s="5"/>
      <c r="T951" s="5"/>
      <c r="U951" s="5"/>
      <c r="V951" s="5"/>
      <c r="W951" s="5"/>
      <c r="X951" s="5"/>
      <c r="Y951" s="5"/>
    </row>
    <row r="952" spans="1:25" ht="15.75" customHeight="1" x14ac:dyDescent="0.25">
      <c r="A952" s="2">
        <v>44018</v>
      </c>
      <c r="B952" s="3">
        <v>77381</v>
      </c>
      <c r="C952" s="4" t="s">
        <v>30</v>
      </c>
      <c r="D952" s="4" t="str">
        <f t="shared" si="24"/>
        <v>Operation</v>
      </c>
      <c r="E952" s="4" t="str">
        <f t="shared" si="25"/>
        <v>Director</v>
      </c>
      <c r="F952" s="13">
        <v>704</v>
      </c>
      <c r="G952" s="13">
        <v>1</v>
      </c>
      <c r="H952" s="13">
        <v>4</v>
      </c>
      <c r="I952" s="2">
        <v>32626</v>
      </c>
      <c r="J952" s="15">
        <v>541629</v>
      </c>
      <c r="K952" s="4" t="s">
        <v>21</v>
      </c>
      <c r="L952" s="27">
        <f t="shared" si="26"/>
        <v>1989</v>
      </c>
      <c r="M952" s="27">
        <f t="shared" si="27"/>
        <v>7</v>
      </c>
      <c r="N952" s="27">
        <f t="shared" ca="1" si="30"/>
        <v>37</v>
      </c>
      <c r="O952" s="27" t="str" cm="1">
        <f t="array" ref="O952">_xlfn.IFS($F952&gt;=750,"Excellent",$F952&gt;=700,"Good",$F952&gt;=650,"Moderate",
$F952&lt;650,"Risky"
)</f>
        <v>Good</v>
      </c>
      <c r="P952" s="27" t="str" cm="1">
        <f t="array" ref="P952">_xlfn.IFS(
AND(F952&gt;=750,H952&lt;=2),"Low Risk",
AND(F952&gt;=700,H952&lt;=5),"Medium Risk",
TRUE,"High Risk"
)</f>
        <v>Medium Risk</v>
      </c>
      <c r="Q952" s="5"/>
      <c r="R952" s="5"/>
      <c r="S952" s="5"/>
      <c r="T952" s="5"/>
      <c r="U952" s="5"/>
      <c r="V952" s="5"/>
      <c r="W952" s="5"/>
      <c r="X952" s="5"/>
      <c r="Y952" s="5"/>
    </row>
    <row r="953" spans="1:25" ht="15.75" customHeight="1" x14ac:dyDescent="0.25">
      <c r="A953" s="2">
        <v>43967</v>
      </c>
      <c r="B953" s="3">
        <v>22762</v>
      </c>
      <c r="C953" s="4" t="s">
        <v>17</v>
      </c>
      <c r="D953" s="4" t="str">
        <f t="shared" si="24"/>
        <v>Growth</v>
      </c>
      <c r="E953" s="4" t="str">
        <f t="shared" si="25"/>
        <v>Manager</v>
      </c>
      <c r="F953" s="13">
        <v>748</v>
      </c>
      <c r="G953" s="13">
        <v>4</v>
      </c>
      <c r="H953" s="13">
        <v>10</v>
      </c>
      <c r="I953" s="2">
        <v>34608</v>
      </c>
      <c r="J953" s="15">
        <v>918180</v>
      </c>
      <c r="K953" s="4" t="s">
        <v>18</v>
      </c>
      <c r="L953" s="27">
        <f t="shared" si="26"/>
        <v>1994</v>
      </c>
      <c r="M953" s="27">
        <f t="shared" si="27"/>
        <v>5</v>
      </c>
      <c r="N953" s="27">
        <f t="shared" ca="1" si="30"/>
        <v>32</v>
      </c>
      <c r="O953" s="27" t="str" cm="1">
        <f t="array" ref="O953">_xlfn.IFS($F953&gt;=750,"Excellent",$F953&gt;=700,"Good",$F953&gt;=650,"Moderate",
$F953&lt;650,"Risky"
)</f>
        <v>Good</v>
      </c>
      <c r="P953" s="27" t="str" cm="1">
        <f t="array" ref="P953">_xlfn.IFS(
AND(F953&gt;=750,H953&lt;=2),"Low Risk",
AND(F953&gt;=700,H953&lt;=5),"Medium Risk",
TRUE,"High Risk"
)</f>
        <v>High Risk</v>
      </c>
      <c r="Q953" s="5"/>
      <c r="R953" s="5"/>
      <c r="S953" s="5"/>
      <c r="T953" s="5"/>
      <c r="U953" s="5"/>
      <c r="V953" s="5"/>
      <c r="W953" s="5"/>
      <c r="X953" s="5"/>
      <c r="Y953" s="5"/>
    </row>
    <row r="954" spans="1:25" ht="15.75" customHeight="1" x14ac:dyDescent="0.25">
      <c r="A954" s="2">
        <v>43954</v>
      </c>
      <c r="B954" s="3">
        <v>91326</v>
      </c>
      <c r="C954" s="4" t="s">
        <v>31</v>
      </c>
      <c r="D954" s="4" t="str">
        <f t="shared" si="24"/>
        <v>Finance</v>
      </c>
      <c r="E954" s="4" t="str">
        <f t="shared" si="25"/>
        <v>Intern</v>
      </c>
      <c r="F954" s="13">
        <v>726</v>
      </c>
      <c r="G954" s="13">
        <v>3</v>
      </c>
      <c r="H954" s="13">
        <v>8</v>
      </c>
      <c r="I954" s="2">
        <v>31731</v>
      </c>
      <c r="J954" s="15">
        <v>573154</v>
      </c>
      <c r="K954" s="4" t="s">
        <v>14</v>
      </c>
      <c r="L954" s="27">
        <f t="shared" si="26"/>
        <v>1986</v>
      </c>
      <c r="M954" s="27">
        <f t="shared" si="27"/>
        <v>5</v>
      </c>
      <c r="N954" s="27">
        <f t="shared" ca="1" si="30"/>
        <v>40</v>
      </c>
      <c r="O954" s="27" t="str" cm="1">
        <f t="array" ref="O954">_xlfn.IFS($F954&gt;=750,"Excellent",$F954&gt;=700,"Good",$F954&gt;=650,"Moderate",
$F954&lt;650,"Risky"
)</f>
        <v>Good</v>
      </c>
      <c r="P954" s="27" t="str" cm="1">
        <f t="array" ref="P954">_xlfn.IFS(
AND(F954&gt;=750,H954&lt;=2),"Low Risk",
AND(F954&gt;=700,H954&lt;=5),"Medium Risk",
TRUE,"High Risk"
)</f>
        <v>High Risk</v>
      </c>
      <c r="Q954" s="5"/>
      <c r="R954" s="5"/>
      <c r="S954" s="5"/>
      <c r="T954" s="5"/>
      <c r="U954" s="5"/>
      <c r="V954" s="5"/>
      <c r="W954" s="5"/>
      <c r="X954" s="5"/>
      <c r="Y954" s="5"/>
    </row>
    <row r="955" spans="1:25" ht="15.75" customHeight="1" x14ac:dyDescent="0.25">
      <c r="A955" s="2">
        <v>43901</v>
      </c>
      <c r="B955" s="3">
        <v>21644</v>
      </c>
      <c r="C955" s="4" t="s">
        <v>28</v>
      </c>
      <c r="D955" s="4" t="str">
        <f t="shared" si="24"/>
        <v>Growth</v>
      </c>
      <c r="E955" s="4" t="str">
        <f t="shared" si="25"/>
        <v>Director</v>
      </c>
      <c r="F955" s="13">
        <v>791</v>
      </c>
      <c r="G955" s="13">
        <v>3</v>
      </c>
      <c r="H955" s="13">
        <v>4</v>
      </c>
      <c r="I955" s="2">
        <v>32296</v>
      </c>
      <c r="J955" s="15">
        <v>677195</v>
      </c>
      <c r="K955" s="4" t="s">
        <v>18</v>
      </c>
      <c r="L955" s="27">
        <f t="shared" si="26"/>
        <v>1988</v>
      </c>
      <c r="M955" s="27">
        <f t="shared" si="27"/>
        <v>3</v>
      </c>
      <c r="N955" s="27">
        <f t="shared" ca="1" si="30"/>
        <v>38</v>
      </c>
      <c r="O955" s="27" t="str" cm="1">
        <f t="array" ref="O955">_xlfn.IFS($F955&gt;=750,"Excellent",$F955&gt;=700,"Good",$F955&gt;=650,"Moderate",
$F955&lt;650,"Risky"
)</f>
        <v>Excellent</v>
      </c>
      <c r="P955" s="27" t="str" cm="1">
        <f t="array" ref="P955">_xlfn.IFS(
AND(F955&gt;=750,H955&lt;=2),"Low Risk",
AND(F955&gt;=700,H955&lt;=5),"Medium Risk",
TRUE,"High Risk"
)</f>
        <v>Medium Risk</v>
      </c>
      <c r="Q955" s="5"/>
      <c r="R955" s="5"/>
      <c r="S955" s="5"/>
      <c r="T955" s="5"/>
      <c r="U955" s="5"/>
      <c r="V955" s="5"/>
      <c r="W955" s="5"/>
      <c r="X955" s="5"/>
      <c r="Y955" s="5"/>
    </row>
    <row r="956" spans="1:25" ht="15.75" customHeight="1" x14ac:dyDescent="0.25">
      <c r="A956" s="2">
        <v>44160</v>
      </c>
      <c r="B956" s="3">
        <v>58510</v>
      </c>
      <c r="C956" s="4" t="s">
        <v>23</v>
      </c>
      <c r="D956" s="4" t="str">
        <f t="shared" si="24"/>
        <v>Marketing</v>
      </c>
      <c r="E956" s="4" t="str">
        <f t="shared" si="25"/>
        <v>Intern</v>
      </c>
      <c r="F956" s="13">
        <v>764</v>
      </c>
      <c r="G956" s="13">
        <v>5</v>
      </c>
      <c r="H956" s="13">
        <v>3</v>
      </c>
      <c r="I956" s="2">
        <v>32435</v>
      </c>
      <c r="J956" s="15">
        <v>526636</v>
      </c>
      <c r="K956" s="4" t="s">
        <v>14</v>
      </c>
      <c r="L956" s="27">
        <f t="shared" si="26"/>
        <v>1988</v>
      </c>
      <c r="M956" s="27">
        <f t="shared" si="27"/>
        <v>11</v>
      </c>
      <c r="N956" s="27">
        <f t="shared" ca="1" si="30"/>
        <v>38</v>
      </c>
      <c r="O956" s="27" t="str" cm="1">
        <f t="array" ref="O956">_xlfn.IFS($F956&gt;=750,"Excellent",$F956&gt;=700,"Good",$F956&gt;=650,"Moderate",
$F956&lt;650,"Risky"
)</f>
        <v>Excellent</v>
      </c>
      <c r="P956" s="27" t="str" cm="1">
        <f t="array" ref="P956">_xlfn.IFS(
AND(F956&gt;=750,H956&lt;=2),"Low Risk",
AND(F956&gt;=700,H956&lt;=5),"Medium Risk",
TRUE,"High Risk"
)</f>
        <v>Medium Risk</v>
      </c>
      <c r="Q956" s="5"/>
      <c r="R956" s="5"/>
      <c r="S956" s="5"/>
      <c r="T956" s="5"/>
      <c r="U956" s="5"/>
      <c r="V956" s="5"/>
      <c r="W956" s="5"/>
      <c r="X956" s="5"/>
      <c r="Y956" s="5"/>
    </row>
    <row r="957" spans="1:25" ht="15.75" customHeight="1" x14ac:dyDescent="0.25">
      <c r="A957" s="2">
        <v>44031</v>
      </c>
      <c r="B957" s="3">
        <v>15330</v>
      </c>
      <c r="C957" s="4" t="s">
        <v>20</v>
      </c>
      <c r="D957" s="4" t="str">
        <f t="shared" si="24"/>
        <v>Operation</v>
      </c>
      <c r="E957" s="4" t="str">
        <f t="shared" si="25"/>
        <v>Manager</v>
      </c>
      <c r="F957" s="13">
        <v>715</v>
      </c>
      <c r="G957" s="13">
        <v>1</v>
      </c>
      <c r="H957" s="13">
        <v>10</v>
      </c>
      <c r="I957" s="2">
        <v>31056</v>
      </c>
      <c r="J957" s="15">
        <v>685537</v>
      </c>
      <c r="K957" s="4" t="s">
        <v>18</v>
      </c>
      <c r="L957" s="27">
        <f t="shared" si="26"/>
        <v>1985</v>
      </c>
      <c r="M957" s="27">
        <f t="shared" si="27"/>
        <v>7</v>
      </c>
      <c r="N957" s="27">
        <f t="shared" ca="1" si="30"/>
        <v>41</v>
      </c>
      <c r="O957" s="27" t="str" cm="1">
        <f t="array" ref="O957">_xlfn.IFS($F957&gt;=750,"Excellent",$F957&gt;=700,"Good",$F957&gt;=650,"Moderate",
$F957&lt;650,"Risky"
)</f>
        <v>Good</v>
      </c>
      <c r="P957" s="27" t="str" cm="1">
        <f t="array" ref="P957">_xlfn.IFS(
AND(F957&gt;=750,H957&lt;=2),"Low Risk",
AND(F957&gt;=700,H957&lt;=5),"Medium Risk",
TRUE,"High Risk"
)</f>
        <v>High Risk</v>
      </c>
      <c r="Q957" s="5"/>
      <c r="R957" s="5"/>
      <c r="S957" s="5"/>
      <c r="T957" s="5"/>
      <c r="U957" s="5"/>
      <c r="V957" s="5"/>
      <c r="W957" s="5"/>
      <c r="X957" s="5"/>
      <c r="Y957" s="5"/>
    </row>
    <row r="958" spans="1:25" ht="15.75" customHeight="1" x14ac:dyDescent="0.25">
      <c r="A958" s="2">
        <v>43870</v>
      </c>
      <c r="B958" s="3">
        <v>96815</v>
      </c>
      <c r="C958" s="4" t="s">
        <v>26</v>
      </c>
      <c r="D958" s="4" t="str">
        <f t="shared" si="24"/>
        <v>Strategy</v>
      </c>
      <c r="E958" s="4" t="str">
        <f t="shared" si="25"/>
        <v>Manager</v>
      </c>
      <c r="F958" s="13">
        <v>722</v>
      </c>
      <c r="G958" s="13">
        <v>5</v>
      </c>
      <c r="H958" s="13">
        <v>1</v>
      </c>
      <c r="I958" s="2">
        <v>32219</v>
      </c>
      <c r="J958" s="15">
        <v>909554</v>
      </c>
      <c r="K958" s="4" t="s">
        <v>21</v>
      </c>
      <c r="L958" s="27">
        <f t="shared" si="26"/>
        <v>1988</v>
      </c>
      <c r="M958" s="27">
        <f t="shared" si="27"/>
        <v>2</v>
      </c>
      <c r="N958" s="27">
        <f t="shared" ca="1" si="30"/>
        <v>38</v>
      </c>
      <c r="O958" s="27" t="str" cm="1">
        <f t="array" ref="O958">_xlfn.IFS($F958&gt;=750,"Excellent",$F958&gt;=700,"Good",$F958&gt;=650,"Moderate",
$F958&lt;650,"Risky"
)</f>
        <v>Good</v>
      </c>
      <c r="P958" s="27" t="str" cm="1">
        <f t="array" ref="P958">_xlfn.IFS(
AND(F958&gt;=750,H958&lt;=2),"Low Risk",
AND(F958&gt;=700,H958&lt;=5),"Medium Risk",
TRUE,"High Risk"
)</f>
        <v>Medium Risk</v>
      </c>
      <c r="Q958" s="5"/>
      <c r="R958" s="5"/>
      <c r="S958" s="5"/>
      <c r="T958" s="5"/>
      <c r="U958" s="5"/>
      <c r="V958" s="5"/>
      <c r="W958" s="5"/>
      <c r="X958" s="5"/>
      <c r="Y958" s="5"/>
    </row>
    <row r="959" spans="1:25" ht="15.75" customHeight="1" x14ac:dyDescent="0.25">
      <c r="A959" s="2">
        <v>44132</v>
      </c>
      <c r="B959" s="3">
        <v>54329</v>
      </c>
      <c r="C959" s="4" t="s">
        <v>25</v>
      </c>
      <c r="D959" s="4" t="str">
        <f t="shared" si="24"/>
        <v>Sales</v>
      </c>
      <c r="E959" s="4" t="str">
        <f t="shared" si="25"/>
        <v>Manager</v>
      </c>
      <c r="F959" s="13">
        <v>728</v>
      </c>
      <c r="G959" s="13">
        <v>4</v>
      </c>
      <c r="H959" s="13">
        <v>6</v>
      </c>
      <c r="I959" s="2">
        <v>34100</v>
      </c>
      <c r="J959" s="15">
        <v>949802</v>
      </c>
      <c r="K959" s="4" t="s">
        <v>14</v>
      </c>
      <c r="L959" s="27">
        <f t="shared" si="26"/>
        <v>1993</v>
      </c>
      <c r="M959" s="27">
        <f t="shared" si="27"/>
        <v>10</v>
      </c>
      <c r="N959" s="27">
        <f t="shared" ca="1" si="30"/>
        <v>33</v>
      </c>
      <c r="O959" s="27" t="str" cm="1">
        <f t="array" ref="O959">_xlfn.IFS($F959&gt;=750,"Excellent",$F959&gt;=700,"Good",$F959&gt;=650,"Moderate",
$F959&lt;650,"Risky"
)</f>
        <v>Good</v>
      </c>
      <c r="P959" s="27" t="str" cm="1">
        <f t="array" ref="P959">_xlfn.IFS(
AND(F959&gt;=750,H959&lt;=2),"Low Risk",
AND(F959&gt;=700,H959&lt;=5),"Medium Risk",
TRUE,"High Risk"
)</f>
        <v>High Risk</v>
      </c>
      <c r="Q959" s="5"/>
      <c r="R959" s="5"/>
      <c r="S959" s="5"/>
      <c r="T959" s="5"/>
      <c r="U959" s="5"/>
      <c r="V959" s="5"/>
      <c r="W959" s="5"/>
      <c r="X959" s="5"/>
      <c r="Y959" s="5"/>
    </row>
    <row r="960" spans="1:25" ht="15.75" customHeight="1" x14ac:dyDescent="0.25">
      <c r="A960" s="2">
        <v>44154</v>
      </c>
      <c r="B960" s="3">
        <v>89827</v>
      </c>
      <c r="C960" s="4" t="s">
        <v>23</v>
      </c>
      <c r="D960" s="4" t="str">
        <f t="shared" si="24"/>
        <v>Marketing</v>
      </c>
      <c r="E960" s="4" t="str">
        <f t="shared" si="25"/>
        <v>Intern</v>
      </c>
      <c r="F960" s="13">
        <v>743</v>
      </c>
      <c r="G960" s="13">
        <v>4</v>
      </c>
      <c r="H960" s="13">
        <v>2</v>
      </c>
      <c r="I960" s="2">
        <v>29418</v>
      </c>
      <c r="J960" s="15">
        <v>729346</v>
      </c>
      <c r="K960" s="4" t="s">
        <v>18</v>
      </c>
      <c r="L960" s="27">
        <f t="shared" si="26"/>
        <v>1980</v>
      </c>
      <c r="M960" s="27">
        <f t="shared" si="27"/>
        <v>11</v>
      </c>
      <c r="N960" s="27">
        <f t="shared" ca="1" si="30"/>
        <v>46</v>
      </c>
      <c r="O960" s="27" t="str" cm="1">
        <f t="array" ref="O960">_xlfn.IFS($F960&gt;=750,"Excellent",$F960&gt;=700,"Good",$F960&gt;=650,"Moderate",
$F960&lt;650,"Risky"
)</f>
        <v>Good</v>
      </c>
      <c r="P960" s="27" t="str" cm="1">
        <f t="array" ref="P960">_xlfn.IFS(
AND(F960&gt;=750,H960&lt;=2),"Low Risk",
AND(F960&gt;=700,H960&lt;=5),"Medium Risk",
TRUE,"High Risk"
)</f>
        <v>Medium Risk</v>
      </c>
      <c r="Q960" s="5"/>
      <c r="R960" s="5"/>
      <c r="S960" s="5"/>
      <c r="T960" s="5"/>
      <c r="U960" s="5"/>
      <c r="V960" s="5"/>
      <c r="W960" s="5"/>
      <c r="X960" s="5"/>
      <c r="Y960" s="5"/>
    </row>
    <row r="961" spans="1:25" ht="15.75" customHeight="1" x14ac:dyDescent="0.25">
      <c r="A961" s="2">
        <v>43880</v>
      </c>
      <c r="B961" s="3">
        <v>81215</v>
      </c>
      <c r="C961" s="4" t="s">
        <v>39</v>
      </c>
      <c r="D961" s="4" t="str">
        <f t="shared" si="24"/>
        <v>Growth</v>
      </c>
      <c r="E961" s="4" t="str">
        <f t="shared" si="25"/>
        <v>Executive</v>
      </c>
      <c r="F961" s="13">
        <v>700</v>
      </c>
      <c r="G961" s="13">
        <v>2</v>
      </c>
      <c r="H961" s="13">
        <v>5</v>
      </c>
      <c r="I961" s="2">
        <v>34172</v>
      </c>
      <c r="J961" s="15">
        <v>665224</v>
      </c>
      <c r="K961" s="4" t="s">
        <v>21</v>
      </c>
      <c r="L961" s="27">
        <f t="shared" si="26"/>
        <v>1993</v>
      </c>
      <c r="M961" s="27">
        <f t="shared" si="27"/>
        <v>2</v>
      </c>
      <c r="N961" s="27">
        <f t="shared" ca="1" si="30"/>
        <v>33</v>
      </c>
      <c r="O961" s="27" t="str" cm="1">
        <f t="array" ref="O961">_xlfn.IFS($F961&gt;=750,"Excellent",$F961&gt;=700,"Good",$F961&gt;=650,"Moderate",
$F961&lt;650,"Risky"
)</f>
        <v>Good</v>
      </c>
      <c r="P961" s="27" t="str" cm="1">
        <f t="array" ref="P961">_xlfn.IFS(
AND(F961&gt;=750,H961&lt;=2),"Low Risk",
AND(F961&gt;=700,H961&lt;=5),"Medium Risk",
TRUE,"High Risk"
)</f>
        <v>Medium Risk</v>
      </c>
      <c r="Q961" s="5"/>
      <c r="R961" s="5"/>
      <c r="S961" s="5"/>
      <c r="T961" s="5"/>
      <c r="U961" s="5"/>
      <c r="V961" s="5"/>
      <c r="W961" s="5"/>
      <c r="X961" s="5"/>
      <c r="Y961" s="5"/>
    </row>
    <row r="962" spans="1:25" ht="15.75" customHeight="1" x14ac:dyDescent="0.25">
      <c r="A962" s="2">
        <v>43851</v>
      </c>
      <c r="B962" s="3">
        <v>63995</v>
      </c>
      <c r="C962" s="4" t="s">
        <v>28</v>
      </c>
      <c r="D962" s="4" t="str">
        <f t="shared" si="24"/>
        <v>Growth</v>
      </c>
      <c r="E962" s="4" t="str">
        <f t="shared" si="25"/>
        <v>Director</v>
      </c>
      <c r="F962" s="13">
        <v>728</v>
      </c>
      <c r="G962" s="13">
        <v>1</v>
      </c>
      <c r="H962" s="13">
        <v>2</v>
      </c>
      <c r="I962" s="2">
        <v>33153</v>
      </c>
      <c r="J962" s="15">
        <v>816454</v>
      </c>
      <c r="K962" s="4" t="s">
        <v>18</v>
      </c>
      <c r="L962" s="27">
        <f t="shared" si="26"/>
        <v>1990</v>
      </c>
      <c r="M962" s="27">
        <f t="shared" si="27"/>
        <v>1</v>
      </c>
      <c r="N962" s="27">
        <f t="shared" ca="1" si="30"/>
        <v>36</v>
      </c>
      <c r="O962" s="27" t="str" cm="1">
        <f t="array" ref="O962">_xlfn.IFS($F962&gt;=750,"Excellent",$F962&gt;=700,"Good",$F962&gt;=650,"Moderate",
$F962&lt;650,"Risky"
)</f>
        <v>Good</v>
      </c>
      <c r="P962" s="27" t="str" cm="1">
        <f t="array" ref="P962">_xlfn.IFS(
AND(F962&gt;=750,H962&lt;=2),"Low Risk",
AND(F962&gt;=700,H962&lt;=5),"Medium Risk",
TRUE,"High Risk"
)</f>
        <v>Medium Risk</v>
      </c>
      <c r="Q962" s="5"/>
      <c r="R962" s="5"/>
      <c r="S962" s="5"/>
      <c r="T962" s="5"/>
      <c r="U962" s="5"/>
      <c r="V962" s="5"/>
      <c r="W962" s="5"/>
      <c r="X962" s="5"/>
      <c r="Y962" s="5"/>
    </row>
    <row r="963" spans="1:25" ht="15.75" customHeight="1" x14ac:dyDescent="0.25">
      <c r="A963" s="2">
        <v>44042</v>
      </c>
      <c r="B963" s="3">
        <v>80718</v>
      </c>
      <c r="C963" s="4" t="s">
        <v>37</v>
      </c>
      <c r="D963" s="4" t="str">
        <f t="shared" si="24"/>
        <v>Strategy</v>
      </c>
      <c r="E963" s="4" t="str">
        <f t="shared" si="25"/>
        <v>Director</v>
      </c>
      <c r="F963" s="13">
        <v>792</v>
      </c>
      <c r="G963" s="13">
        <v>1</v>
      </c>
      <c r="H963" s="13">
        <v>8</v>
      </c>
      <c r="I963" s="2">
        <v>33033</v>
      </c>
      <c r="J963" s="15">
        <v>902138</v>
      </c>
      <c r="K963" s="4" t="s">
        <v>18</v>
      </c>
      <c r="L963" s="27">
        <f t="shared" si="26"/>
        <v>1990</v>
      </c>
      <c r="M963" s="27">
        <f t="shared" si="27"/>
        <v>7</v>
      </c>
      <c r="N963" s="27">
        <f t="shared" ref="N963:N1026" ca="1" si="31" xml:space="preserve"> YEAR(TODAY()) - $L963</f>
        <v>36</v>
      </c>
      <c r="O963" s="27" t="str" cm="1">
        <f t="array" ref="O963">_xlfn.IFS($F963&gt;=750,"Excellent",$F963&gt;=700,"Good",$F963&gt;=650,"Moderate",
$F963&lt;650,"Risky"
)</f>
        <v>Excellent</v>
      </c>
      <c r="P963" s="27" t="str" cm="1">
        <f t="array" ref="P963">_xlfn.IFS(
AND(F963&gt;=750,H963&lt;=2),"Low Risk",
AND(F963&gt;=700,H963&lt;=5),"Medium Risk",
TRUE,"High Risk"
)</f>
        <v>High Risk</v>
      </c>
      <c r="Q963" s="5"/>
      <c r="R963" s="5"/>
      <c r="S963" s="5"/>
      <c r="T963" s="5"/>
      <c r="U963" s="5"/>
      <c r="V963" s="5"/>
      <c r="W963" s="5"/>
      <c r="X963" s="5"/>
      <c r="Y963" s="5"/>
    </row>
    <row r="964" spans="1:25" ht="15.75" customHeight="1" x14ac:dyDescent="0.25">
      <c r="A964" s="2">
        <v>44068</v>
      </c>
      <c r="B964" s="3">
        <v>61503</v>
      </c>
      <c r="C964" s="4" t="s">
        <v>15</v>
      </c>
      <c r="D964" s="4" t="str">
        <f t="shared" si="24"/>
        <v>Operation</v>
      </c>
      <c r="E964" s="4" t="str">
        <f t="shared" si="25"/>
        <v>Executive</v>
      </c>
      <c r="F964" s="13">
        <v>780</v>
      </c>
      <c r="G964" s="13">
        <v>5</v>
      </c>
      <c r="H964" s="13">
        <v>1</v>
      </c>
      <c r="I964" s="2">
        <v>31525</v>
      </c>
      <c r="J964" s="15">
        <v>573943</v>
      </c>
      <c r="K964" s="4" t="s">
        <v>18</v>
      </c>
      <c r="L964" s="27">
        <f t="shared" si="26"/>
        <v>1986</v>
      </c>
      <c r="M964" s="27">
        <f t="shared" si="27"/>
        <v>8</v>
      </c>
      <c r="N964" s="27">
        <f t="shared" ca="1" si="31"/>
        <v>40</v>
      </c>
      <c r="O964" s="27" t="str" cm="1">
        <f t="array" ref="O964">_xlfn.IFS($F964&gt;=750,"Excellent",$F964&gt;=700,"Good",$F964&gt;=650,"Moderate",
$F964&lt;650,"Risky"
)</f>
        <v>Excellent</v>
      </c>
      <c r="P964" s="27" t="str" cm="1">
        <f t="array" ref="P964">_xlfn.IFS(
AND(F964&gt;=750,H964&lt;=2),"Low Risk",
AND(F964&gt;=700,H964&lt;=5),"Medium Risk",
TRUE,"High Risk"
)</f>
        <v>Low Risk</v>
      </c>
      <c r="Q964" s="5"/>
      <c r="R964" s="5"/>
      <c r="S964" s="5"/>
      <c r="T964" s="5"/>
      <c r="U964" s="5"/>
      <c r="V964" s="5"/>
      <c r="W964" s="5"/>
      <c r="X964" s="5"/>
      <c r="Y964" s="5"/>
    </row>
    <row r="965" spans="1:25" ht="15.75" customHeight="1" x14ac:dyDescent="0.25">
      <c r="A965" s="2">
        <v>43889</v>
      </c>
      <c r="B965" s="3">
        <v>42387</v>
      </c>
      <c r="C965" s="4" t="s">
        <v>37</v>
      </c>
      <c r="D965" s="4" t="str">
        <f t="shared" si="24"/>
        <v>Strategy</v>
      </c>
      <c r="E965" s="4" t="str">
        <f t="shared" si="25"/>
        <v>Director</v>
      </c>
      <c r="F965" s="13">
        <v>765</v>
      </c>
      <c r="G965" s="13">
        <v>5</v>
      </c>
      <c r="H965" s="13">
        <v>10</v>
      </c>
      <c r="I965" s="2">
        <v>31772</v>
      </c>
      <c r="J965" s="15">
        <v>701014</v>
      </c>
      <c r="K965" s="4" t="s">
        <v>14</v>
      </c>
      <c r="L965" s="27">
        <f t="shared" si="26"/>
        <v>1986</v>
      </c>
      <c r="M965" s="27">
        <f t="shared" si="27"/>
        <v>2</v>
      </c>
      <c r="N965" s="27">
        <f t="shared" ca="1" si="31"/>
        <v>40</v>
      </c>
      <c r="O965" s="27" t="str" cm="1">
        <f t="array" ref="O965">_xlfn.IFS($F965&gt;=750,"Excellent",$F965&gt;=700,"Good",$F965&gt;=650,"Moderate",
$F965&lt;650,"Risky"
)</f>
        <v>Excellent</v>
      </c>
      <c r="P965" s="27" t="str" cm="1">
        <f t="array" ref="P965">_xlfn.IFS(
AND(F965&gt;=750,H965&lt;=2),"Low Risk",
AND(F965&gt;=700,H965&lt;=5),"Medium Risk",
TRUE,"High Risk"
)</f>
        <v>High Risk</v>
      </c>
      <c r="Q965" s="5"/>
      <c r="R965" s="5"/>
      <c r="S965" s="5"/>
      <c r="T965" s="5"/>
      <c r="U965" s="5"/>
      <c r="V965" s="5"/>
      <c r="W965" s="5"/>
      <c r="X965" s="5"/>
      <c r="Y965" s="5"/>
    </row>
    <row r="966" spans="1:25" ht="15.75" customHeight="1" x14ac:dyDescent="0.25">
      <c r="A966" s="2">
        <v>43851</v>
      </c>
      <c r="B966" s="3">
        <v>79422</v>
      </c>
      <c r="C966" s="4" t="s">
        <v>19</v>
      </c>
      <c r="D966" s="4" t="str">
        <f t="shared" si="24"/>
        <v>Marketing</v>
      </c>
      <c r="E966" s="4" t="str">
        <f t="shared" si="25"/>
        <v>Manager</v>
      </c>
      <c r="F966" s="13">
        <v>791</v>
      </c>
      <c r="G966" s="13">
        <v>5</v>
      </c>
      <c r="H966" s="13">
        <v>2</v>
      </c>
      <c r="I966" s="2">
        <v>32439</v>
      </c>
      <c r="J966" s="15">
        <v>612963</v>
      </c>
      <c r="K966" s="4" t="s">
        <v>18</v>
      </c>
      <c r="L966" s="27">
        <f t="shared" si="26"/>
        <v>1988</v>
      </c>
      <c r="M966" s="27">
        <f t="shared" si="27"/>
        <v>1</v>
      </c>
      <c r="N966" s="27">
        <f t="shared" ca="1" si="31"/>
        <v>38</v>
      </c>
      <c r="O966" s="27" t="str" cm="1">
        <f t="array" ref="O966">_xlfn.IFS($F966&gt;=750,"Excellent",$F966&gt;=700,"Good",$F966&gt;=650,"Moderate",
$F966&lt;650,"Risky"
)</f>
        <v>Excellent</v>
      </c>
      <c r="P966" s="27" t="str" cm="1">
        <f t="array" ref="P966">_xlfn.IFS(
AND(F966&gt;=750,H966&lt;=2),"Low Risk",
AND(F966&gt;=700,H966&lt;=5),"Medium Risk",
TRUE,"High Risk"
)</f>
        <v>Low Risk</v>
      </c>
      <c r="Q966" s="5"/>
      <c r="R966" s="5"/>
      <c r="S966" s="5"/>
      <c r="T966" s="5"/>
      <c r="U966" s="5"/>
      <c r="V966" s="5"/>
      <c r="W966" s="5"/>
      <c r="X966" s="5"/>
      <c r="Y966" s="5"/>
    </row>
    <row r="967" spans="1:25" ht="15.75" customHeight="1" x14ac:dyDescent="0.25">
      <c r="A967" s="2">
        <v>43971</v>
      </c>
      <c r="B967" s="3">
        <v>91123</v>
      </c>
      <c r="C967" s="4" t="s">
        <v>34</v>
      </c>
      <c r="D967" s="4" t="str">
        <f t="shared" si="24"/>
        <v>Finance</v>
      </c>
      <c r="E967" s="4" t="str">
        <f t="shared" si="25"/>
        <v>Director</v>
      </c>
      <c r="F967" s="13">
        <v>782</v>
      </c>
      <c r="G967" s="13">
        <v>4</v>
      </c>
      <c r="H967" s="13">
        <v>3</v>
      </c>
      <c r="I967" s="2">
        <v>29961</v>
      </c>
      <c r="J967" s="15">
        <v>613798</v>
      </c>
      <c r="K967" s="4" t="s">
        <v>18</v>
      </c>
      <c r="L967" s="27">
        <f t="shared" si="26"/>
        <v>1982</v>
      </c>
      <c r="M967" s="27">
        <f t="shared" si="27"/>
        <v>5</v>
      </c>
      <c r="N967" s="27">
        <f t="shared" ca="1" si="31"/>
        <v>44</v>
      </c>
      <c r="O967" s="27" t="str" cm="1">
        <f t="array" ref="O967">_xlfn.IFS($F967&gt;=750,"Excellent",$F967&gt;=700,"Good",$F967&gt;=650,"Moderate",
$F967&lt;650,"Risky"
)</f>
        <v>Excellent</v>
      </c>
      <c r="P967" s="27" t="str" cm="1">
        <f t="array" ref="P967">_xlfn.IFS(
AND(F967&gt;=750,H967&lt;=2),"Low Risk",
AND(F967&gt;=700,H967&lt;=5),"Medium Risk",
TRUE,"High Risk"
)</f>
        <v>Medium Risk</v>
      </c>
      <c r="Q967" s="5"/>
      <c r="R967" s="5"/>
      <c r="S967" s="5"/>
      <c r="T967" s="5"/>
      <c r="U967" s="5"/>
      <c r="V967" s="5"/>
      <c r="W967" s="5"/>
      <c r="X967" s="5"/>
      <c r="Y967" s="5"/>
    </row>
    <row r="968" spans="1:25" ht="15.75" customHeight="1" x14ac:dyDescent="0.25">
      <c r="A968" s="2">
        <v>43956</v>
      </c>
      <c r="B968" s="3">
        <v>87501</v>
      </c>
      <c r="C968" s="4" t="s">
        <v>37</v>
      </c>
      <c r="D968" s="4" t="str">
        <f t="shared" si="24"/>
        <v>Strategy</v>
      </c>
      <c r="E968" s="4" t="str">
        <f t="shared" si="25"/>
        <v>Director</v>
      </c>
      <c r="F968" s="13">
        <v>713</v>
      </c>
      <c r="G968" s="13">
        <v>1</v>
      </c>
      <c r="H968" s="13">
        <v>3</v>
      </c>
      <c r="I968" s="2">
        <v>32926</v>
      </c>
      <c r="J968" s="15">
        <v>534795</v>
      </c>
      <c r="K968" s="4" t="s">
        <v>14</v>
      </c>
      <c r="L968" s="27">
        <f t="shared" si="26"/>
        <v>1990</v>
      </c>
      <c r="M968" s="27">
        <f t="shared" si="27"/>
        <v>5</v>
      </c>
      <c r="N968" s="27">
        <f t="shared" ca="1" si="31"/>
        <v>36</v>
      </c>
      <c r="O968" s="27" t="str" cm="1">
        <f t="array" ref="O968">_xlfn.IFS($F968&gt;=750,"Excellent",$F968&gt;=700,"Good",$F968&gt;=650,"Moderate",
$F968&lt;650,"Risky"
)</f>
        <v>Good</v>
      </c>
      <c r="P968" s="27" t="str" cm="1">
        <f t="array" ref="P968">_xlfn.IFS(
AND(F968&gt;=750,H968&lt;=2),"Low Risk",
AND(F968&gt;=700,H968&lt;=5),"Medium Risk",
TRUE,"High Risk"
)</f>
        <v>Medium Risk</v>
      </c>
      <c r="Q968" s="5"/>
      <c r="R968" s="5"/>
      <c r="S968" s="5"/>
      <c r="T968" s="5"/>
      <c r="U968" s="5"/>
      <c r="V968" s="5"/>
      <c r="W968" s="5"/>
      <c r="X968" s="5"/>
      <c r="Y968" s="5"/>
    </row>
    <row r="969" spans="1:25" ht="15.75" customHeight="1" x14ac:dyDescent="0.25">
      <c r="A969" s="2">
        <v>44045</v>
      </c>
      <c r="B969" s="3">
        <v>36206</v>
      </c>
      <c r="C969" s="4" t="s">
        <v>22</v>
      </c>
      <c r="D969" s="4" t="str">
        <f t="shared" si="24"/>
        <v>Strategy</v>
      </c>
      <c r="E969" s="4" t="str">
        <f t="shared" si="25"/>
        <v>Executive</v>
      </c>
      <c r="F969" s="13">
        <v>759</v>
      </c>
      <c r="G969" s="13">
        <v>4</v>
      </c>
      <c r="H969" s="13">
        <v>3</v>
      </c>
      <c r="I969" s="2">
        <v>32645</v>
      </c>
      <c r="J969" s="15">
        <v>843646</v>
      </c>
      <c r="K969" s="4" t="s">
        <v>14</v>
      </c>
      <c r="L969" s="27">
        <f t="shared" si="26"/>
        <v>1989</v>
      </c>
      <c r="M969" s="27">
        <f t="shared" si="27"/>
        <v>8</v>
      </c>
      <c r="N969" s="27">
        <f t="shared" ca="1" si="31"/>
        <v>37</v>
      </c>
      <c r="O969" s="27" t="str" cm="1">
        <f t="array" ref="O969">_xlfn.IFS($F969&gt;=750,"Excellent",$F969&gt;=700,"Good",$F969&gt;=650,"Moderate",
$F969&lt;650,"Risky"
)</f>
        <v>Excellent</v>
      </c>
      <c r="P969" s="27" t="str" cm="1">
        <f t="array" ref="P969">_xlfn.IFS(
AND(F969&gt;=750,H969&lt;=2),"Low Risk",
AND(F969&gt;=700,H969&lt;=5),"Medium Risk",
TRUE,"High Risk"
)</f>
        <v>Medium Risk</v>
      </c>
      <c r="Q969" s="5"/>
      <c r="R969" s="5"/>
      <c r="S969" s="5"/>
      <c r="T969" s="5"/>
      <c r="U969" s="5"/>
      <c r="V969" s="5"/>
      <c r="W969" s="5"/>
      <c r="X969" s="5"/>
      <c r="Y969" s="5"/>
    </row>
    <row r="970" spans="1:25" ht="15.75" customHeight="1" x14ac:dyDescent="0.25">
      <c r="A970" s="2">
        <v>43963</v>
      </c>
      <c r="B970" s="3">
        <v>64255</v>
      </c>
      <c r="C970" s="4" t="s">
        <v>36</v>
      </c>
      <c r="D970" s="4" t="str">
        <f t="shared" si="24"/>
        <v>Sales</v>
      </c>
      <c r="E970" s="4" t="str">
        <f t="shared" si="25"/>
        <v>Intern</v>
      </c>
      <c r="F970" s="13">
        <v>775</v>
      </c>
      <c r="G970" s="13">
        <v>1</v>
      </c>
      <c r="H970" s="13">
        <v>5</v>
      </c>
      <c r="I970" s="2">
        <v>32997</v>
      </c>
      <c r="J970" s="15">
        <v>987219</v>
      </c>
      <c r="K970" s="4" t="s">
        <v>14</v>
      </c>
      <c r="L970" s="27">
        <f t="shared" si="26"/>
        <v>1990</v>
      </c>
      <c r="M970" s="27">
        <f t="shared" si="27"/>
        <v>5</v>
      </c>
      <c r="N970" s="27">
        <f t="shared" ca="1" si="31"/>
        <v>36</v>
      </c>
      <c r="O970" s="27" t="str" cm="1">
        <f t="array" ref="O970">_xlfn.IFS($F970&gt;=750,"Excellent",$F970&gt;=700,"Good",$F970&gt;=650,"Moderate",
$F970&lt;650,"Risky"
)</f>
        <v>Excellent</v>
      </c>
      <c r="P970" s="27" t="str" cm="1">
        <f t="array" ref="P970">_xlfn.IFS(
AND(F970&gt;=750,H970&lt;=2),"Low Risk",
AND(F970&gt;=700,H970&lt;=5),"Medium Risk",
TRUE,"High Risk"
)</f>
        <v>Medium Risk</v>
      </c>
      <c r="Q970" s="5"/>
      <c r="R970" s="5"/>
      <c r="S970" s="5"/>
      <c r="T970" s="5"/>
      <c r="U970" s="5"/>
      <c r="V970" s="5"/>
      <c r="W970" s="5"/>
      <c r="X970" s="5"/>
      <c r="Y970" s="5"/>
    </row>
    <row r="971" spans="1:25" ht="15.75" customHeight="1" x14ac:dyDescent="0.25">
      <c r="A971" s="2">
        <v>44054</v>
      </c>
      <c r="B971" s="3">
        <v>63913</v>
      </c>
      <c r="C971" s="4" t="s">
        <v>31</v>
      </c>
      <c r="D971" s="4" t="str">
        <f t="shared" si="24"/>
        <v>Finance</v>
      </c>
      <c r="E971" s="4" t="str">
        <f t="shared" si="25"/>
        <v>Intern</v>
      </c>
      <c r="F971" s="13">
        <v>711</v>
      </c>
      <c r="G971" s="13">
        <v>3</v>
      </c>
      <c r="H971" s="13">
        <v>3</v>
      </c>
      <c r="I971" s="2">
        <v>30314</v>
      </c>
      <c r="J971" s="15">
        <v>909770</v>
      </c>
      <c r="K971" s="4" t="s">
        <v>18</v>
      </c>
      <c r="L971" s="27">
        <f t="shared" si="26"/>
        <v>1982</v>
      </c>
      <c r="M971" s="27">
        <f t="shared" si="27"/>
        <v>8</v>
      </c>
      <c r="N971" s="27">
        <f t="shared" ca="1" si="31"/>
        <v>44</v>
      </c>
      <c r="O971" s="27" t="str" cm="1">
        <f t="array" ref="O971">_xlfn.IFS($F971&gt;=750,"Excellent",$F971&gt;=700,"Good",$F971&gt;=650,"Moderate",
$F971&lt;650,"Risky"
)</f>
        <v>Good</v>
      </c>
      <c r="P971" s="27" t="str" cm="1">
        <f t="array" ref="P971">_xlfn.IFS(
AND(F971&gt;=750,H971&lt;=2),"Low Risk",
AND(F971&gt;=700,H971&lt;=5),"Medium Risk",
TRUE,"High Risk"
)</f>
        <v>Medium Risk</v>
      </c>
      <c r="Q971" s="5"/>
      <c r="R971" s="5"/>
      <c r="S971" s="5"/>
      <c r="T971" s="5"/>
      <c r="U971" s="5"/>
      <c r="V971" s="5"/>
      <c r="W971" s="5"/>
      <c r="X971" s="5"/>
      <c r="Y971" s="5"/>
    </row>
    <row r="972" spans="1:25" ht="15.75" customHeight="1" x14ac:dyDescent="0.25">
      <c r="A972" s="2">
        <v>44055</v>
      </c>
      <c r="B972" s="3">
        <v>42291</v>
      </c>
      <c r="C972" s="4" t="s">
        <v>38</v>
      </c>
      <c r="D972" s="4" t="str">
        <f t="shared" si="24"/>
        <v>Finance</v>
      </c>
      <c r="E972" s="4" t="str">
        <f t="shared" si="25"/>
        <v>Manager</v>
      </c>
      <c r="F972" s="13">
        <v>714</v>
      </c>
      <c r="G972" s="13">
        <v>3</v>
      </c>
      <c r="H972" s="13">
        <v>10</v>
      </c>
      <c r="I972" s="2">
        <v>29297</v>
      </c>
      <c r="J972" s="15">
        <v>876707</v>
      </c>
      <c r="K972" s="4" t="s">
        <v>14</v>
      </c>
      <c r="L972" s="27">
        <f t="shared" si="26"/>
        <v>1980</v>
      </c>
      <c r="M972" s="27">
        <f t="shared" si="27"/>
        <v>8</v>
      </c>
      <c r="N972" s="27">
        <f t="shared" ca="1" si="31"/>
        <v>46</v>
      </c>
      <c r="O972" s="27" t="str" cm="1">
        <f t="array" ref="O972">_xlfn.IFS($F972&gt;=750,"Excellent",$F972&gt;=700,"Good",$F972&gt;=650,"Moderate",
$F972&lt;650,"Risky"
)</f>
        <v>Good</v>
      </c>
      <c r="P972" s="27" t="str" cm="1">
        <f t="array" ref="P972">_xlfn.IFS(
AND(F972&gt;=750,H972&lt;=2),"Low Risk",
AND(F972&gt;=700,H972&lt;=5),"Medium Risk",
TRUE,"High Risk"
)</f>
        <v>High Risk</v>
      </c>
      <c r="Q972" s="5"/>
      <c r="R972" s="5"/>
      <c r="S972" s="5"/>
      <c r="T972" s="5"/>
      <c r="U972" s="5"/>
      <c r="V972" s="5"/>
      <c r="W972" s="5"/>
      <c r="X972" s="5"/>
      <c r="Y972" s="5"/>
    </row>
    <row r="973" spans="1:25" ht="15.75" customHeight="1" x14ac:dyDescent="0.25">
      <c r="A973" s="2">
        <v>44031</v>
      </c>
      <c r="B973" s="3">
        <v>94337</v>
      </c>
      <c r="C973" s="4" t="s">
        <v>33</v>
      </c>
      <c r="D973" s="4" t="str">
        <f t="shared" si="24"/>
        <v>Sales</v>
      </c>
      <c r="E973" s="4" t="str">
        <f t="shared" si="25"/>
        <v>Executive</v>
      </c>
      <c r="F973" s="13">
        <v>760</v>
      </c>
      <c r="G973" s="13">
        <v>5</v>
      </c>
      <c r="H973" s="13">
        <v>1</v>
      </c>
      <c r="I973" s="2">
        <v>32293</v>
      </c>
      <c r="J973" s="15">
        <v>697741</v>
      </c>
      <c r="K973" s="4" t="s">
        <v>18</v>
      </c>
      <c r="L973" s="27">
        <f t="shared" si="26"/>
        <v>1988</v>
      </c>
      <c r="M973" s="27">
        <f t="shared" si="27"/>
        <v>7</v>
      </c>
      <c r="N973" s="27">
        <f t="shared" ca="1" si="31"/>
        <v>38</v>
      </c>
      <c r="O973" s="27" t="str" cm="1">
        <f t="array" ref="O973">_xlfn.IFS($F973&gt;=750,"Excellent",$F973&gt;=700,"Good",$F973&gt;=650,"Moderate",
$F973&lt;650,"Risky"
)</f>
        <v>Excellent</v>
      </c>
      <c r="P973" s="27" t="str" cm="1">
        <f t="array" ref="P973">_xlfn.IFS(
AND(F973&gt;=750,H973&lt;=2),"Low Risk",
AND(F973&gt;=700,H973&lt;=5),"Medium Risk",
TRUE,"High Risk"
)</f>
        <v>Low Risk</v>
      </c>
      <c r="Q973" s="5"/>
      <c r="R973" s="5"/>
      <c r="S973" s="5"/>
      <c r="T973" s="5"/>
      <c r="U973" s="5"/>
      <c r="V973" s="5"/>
      <c r="W973" s="5"/>
      <c r="X973" s="5"/>
      <c r="Y973" s="5"/>
    </row>
    <row r="974" spans="1:25" ht="15.75" customHeight="1" x14ac:dyDescent="0.25">
      <c r="A974" s="2">
        <v>44074</v>
      </c>
      <c r="B974" s="3">
        <v>58536</v>
      </c>
      <c r="C974" s="4" t="s">
        <v>37</v>
      </c>
      <c r="D974" s="4" t="str">
        <f t="shared" si="24"/>
        <v>Strategy</v>
      </c>
      <c r="E974" s="4" t="str">
        <f t="shared" si="25"/>
        <v>Director</v>
      </c>
      <c r="F974" s="13">
        <v>778</v>
      </c>
      <c r="G974" s="13">
        <v>5</v>
      </c>
      <c r="H974" s="13">
        <v>4</v>
      </c>
      <c r="I974" s="2">
        <v>34479</v>
      </c>
      <c r="J974" s="15">
        <v>718981</v>
      </c>
      <c r="K974" s="4" t="s">
        <v>14</v>
      </c>
      <c r="L974" s="27">
        <f t="shared" si="26"/>
        <v>1994</v>
      </c>
      <c r="M974" s="27">
        <f t="shared" si="27"/>
        <v>8</v>
      </c>
      <c r="N974" s="27">
        <f t="shared" ca="1" si="31"/>
        <v>32</v>
      </c>
      <c r="O974" s="27" t="str" cm="1">
        <f t="array" ref="O974">_xlfn.IFS($F974&gt;=750,"Excellent",$F974&gt;=700,"Good",$F974&gt;=650,"Moderate",
$F974&lt;650,"Risky"
)</f>
        <v>Excellent</v>
      </c>
      <c r="P974" s="27" t="str" cm="1">
        <f t="array" ref="P974">_xlfn.IFS(
AND(F974&gt;=750,H974&lt;=2),"Low Risk",
AND(F974&gt;=700,H974&lt;=5),"Medium Risk",
TRUE,"High Risk"
)</f>
        <v>Medium Risk</v>
      </c>
      <c r="Q974" s="5"/>
      <c r="R974" s="5"/>
      <c r="S974" s="5"/>
      <c r="T974" s="5"/>
      <c r="U974" s="5"/>
      <c r="V974" s="5"/>
      <c r="W974" s="5"/>
      <c r="X974" s="5"/>
      <c r="Y974" s="5"/>
    </row>
    <row r="975" spans="1:25" ht="15.75" customHeight="1" x14ac:dyDescent="0.25">
      <c r="A975" s="2">
        <v>44020</v>
      </c>
      <c r="B975" s="3">
        <v>80060</v>
      </c>
      <c r="C975" s="4" t="s">
        <v>36</v>
      </c>
      <c r="D975" s="4" t="str">
        <f t="shared" si="24"/>
        <v>Sales</v>
      </c>
      <c r="E975" s="4" t="str">
        <f t="shared" si="25"/>
        <v>Intern</v>
      </c>
      <c r="F975" s="13">
        <v>714</v>
      </c>
      <c r="G975" s="13">
        <v>4</v>
      </c>
      <c r="H975" s="13">
        <v>10</v>
      </c>
      <c r="I975" s="2">
        <v>29335</v>
      </c>
      <c r="J975" s="15">
        <v>624104</v>
      </c>
      <c r="K975" s="4" t="s">
        <v>18</v>
      </c>
      <c r="L975" s="27">
        <f t="shared" si="26"/>
        <v>1980</v>
      </c>
      <c r="M975" s="27">
        <f t="shared" si="27"/>
        <v>7</v>
      </c>
      <c r="N975" s="27">
        <f t="shared" ca="1" si="31"/>
        <v>46</v>
      </c>
      <c r="O975" s="27" t="str" cm="1">
        <f t="array" ref="O975">_xlfn.IFS($F975&gt;=750,"Excellent",$F975&gt;=700,"Good",$F975&gt;=650,"Moderate",
$F975&lt;650,"Risky"
)</f>
        <v>Good</v>
      </c>
      <c r="P975" s="27" t="str" cm="1">
        <f t="array" ref="P975">_xlfn.IFS(
AND(F975&gt;=750,H975&lt;=2),"Low Risk",
AND(F975&gt;=700,H975&lt;=5),"Medium Risk",
TRUE,"High Risk"
)</f>
        <v>High Risk</v>
      </c>
      <c r="Q975" s="5"/>
      <c r="R975" s="5"/>
      <c r="S975" s="5"/>
      <c r="T975" s="5"/>
      <c r="U975" s="5"/>
      <c r="V975" s="5"/>
      <c r="W975" s="5"/>
      <c r="X975" s="5"/>
      <c r="Y975" s="5"/>
    </row>
    <row r="976" spans="1:25" ht="15.75" customHeight="1" x14ac:dyDescent="0.25">
      <c r="A976" s="2">
        <v>44050</v>
      </c>
      <c r="B976" s="3">
        <v>49766</v>
      </c>
      <c r="C976" s="4" t="s">
        <v>15</v>
      </c>
      <c r="D976" s="4" t="str">
        <f t="shared" si="24"/>
        <v>Operation</v>
      </c>
      <c r="E976" s="4" t="str">
        <f t="shared" si="25"/>
        <v>Executive</v>
      </c>
      <c r="F976" s="13">
        <v>797</v>
      </c>
      <c r="G976" s="13">
        <v>3</v>
      </c>
      <c r="H976" s="13">
        <v>9</v>
      </c>
      <c r="I976" s="2">
        <v>32394</v>
      </c>
      <c r="J976" s="15">
        <v>875743</v>
      </c>
      <c r="K976" s="4" t="s">
        <v>21</v>
      </c>
      <c r="L976" s="27">
        <f t="shared" si="26"/>
        <v>1988</v>
      </c>
      <c r="M976" s="27">
        <f t="shared" si="27"/>
        <v>8</v>
      </c>
      <c r="N976" s="27">
        <f t="shared" ca="1" si="31"/>
        <v>38</v>
      </c>
      <c r="O976" s="27" t="str" cm="1">
        <f t="array" ref="O976">_xlfn.IFS($F976&gt;=750,"Excellent",$F976&gt;=700,"Good",$F976&gt;=650,"Moderate",
$F976&lt;650,"Risky"
)</f>
        <v>Excellent</v>
      </c>
      <c r="P976" s="27" t="str" cm="1">
        <f t="array" ref="P976">_xlfn.IFS(
AND(F976&gt;=750,H976&lt;=2),"Low Risk",
AND(F976&gt;=700,H976&lt;=5),"Medium Risk",
TRUE,"High Risk"
)</f>
        <v>High Risk</v>
      </c>
      <c r="Q976" s="5"/>
      <c r="R976" s="5"/>
      <c r="S976" s="5"/>
      <c r="T976" s="5"/>
      <c r="U976" s="5"/>
      <c r="V976" s="5"/>
      <c r="W976" s="5"/>
      <c r="X976" s="5"/>
      <c r="Y976" s="5"/>
    </row>
    <row r="977" spans="1:25" ht="15.75" customHeight="1" x14ac:dyDescent="0.25">
      <c r="A977" s="2">
        <v>44101</v>
      </c>
      <c r="B977" s="3">
        <v>10463</v>
      </c>
      <c r="C977" s="4" t="s">
        <v>28</v>
      </c>
      <c r="D977" s="4" t="str">
        <f t="shared" si="24"/>
        <v>Growth</v>
      </c>
      <c r="E977" s="4" t="str">
        <f t="shared" si="25"/>
        <v>Director</v>
      </c>
      <c r="F977" s="13">
        <v>754</v>
      </c>
      <c r="G977" s="13">
        <v>5</v>
      </c>
      <c r="H977" s="13">
        <v>10</v>
      </c>
      <c r="I977" s="2">
        <v>29432</v>
      </c>
      <c r="J977" s="15">
        <v>681450</v>
      </c>
      <c r="K977" s="4" t="s">
        <v>14</v>
      </c>
      <c r="L977" s="27">
        <f t="shared" si="26"/>
        <v>1980</v>
      </c>
      <c r="M977" s="27">
        <f t="shared" si="27"/>
        <v>9</v>
      </c>
      <c r="N977" s="27">
        <f t="shared" ca="1" si="31"/>
        <v>46</v>
      </c>
      <c r="O977" s="27" t="str" cm="1">
        <f t="array" ref="O977">_xlfn.IFS($F977&gt;=750,"Excellent",$F977&gt;=700,"Good",$F977&gt;=650,"Moderate",
$F977&lt;650,"Risky"
)</f>
        <v>Excellent</v>
      </c>
      <c r="P977" s="27" t="str" cm="1">
        <f t="array" ref="P977">_xlfn.IFS(
AND(F977&gt;=750,H977&lt;=2),"Low Risk",
AND(F977&gt;=700,H977&lt;=5),"Medium Risk",
TRUE,"High Risk"
)</f>
        <v>High Risk</v>
      </c>
      <c r="Q977" s="5"/>
      <c r="R977" s="5"/>
      <c r="S977" s="5"/>
      <c r="T977" s="5"/>
      <c r="U977" s="5"/>
      <c r="V977" s="5"/>
      <c r="W977" s="5"/>
      <c r="X977" s="5"/>
      <c r="Y977" s="5"/>
    </row>
    <row r="978" spans="1:25" ht="15.75" customHeight="1" x14ac:dyDescent="0.25">
      <c r="A978" s="2">
        <v>43913</v>
      </c>
      <c r="B978" s="3">
        <v>32408</v>
      </c>
      <c r="C978" s="4" t="s">
        <v>33</v>
      </c>
      <c r="D978" s="4" t="str">
        <f t="shared" si="24"/>
        <v>Sales</v>
      </c>
      <c r="E978" s="4" t="str">
        <f t="shared" si="25"/>
        <v>Executive</v>
      </c>
      <c r="F978" s="13">
        <v>723</v>
      </c>
      <c r="G978" s="13">
        <v>2</v>
      </c>
      <c r="H978" s="13">
        <v>4</v>
      </c>
      <c r="I978" s="2">
        <v>33656</v>
      </c>
      <c r="J978" s="15">
        <v>708158</v>
      </c>
      <c r="K978" s="4" t="s">
        <v>21</v>
      </c>
      <c r="L978" s="27">
        <f t="shared" si="26"/>
        <v>1992</v>
      </c>
      <c r="M978" s="27">
        <f t="shared" si="27"/>
        <v>3</v>
      </c>
      <c r="N978" s="27">
        <f t="shared" ca="1" si="31"/>
        <v>34</v>
      </c>
      <c r="O978" s="27" t="str" cm="1">
        <f t="array" ref="O978">_xlfn.IFS($F978&gt;=750,"Excellent",$F978&gt;=700,"Good",$F978&gt;=650,"Moderate",
$F978&lt;650,"Risky"
)</f>
        <v>Good</v>
      </c>
      <c r="P978" s="27" t="str" cm="1">
        <f t="array" ref="P978">_xlfn.IFS(
AND(F978&gt;=750,H978&lt;=2),"Low Risk",
AND(F978&gt;=700,H978&lt;=5),"Medium Risk",
TRUE,"High Risk"
)</f>
        <v>Medium Risk</v>
      </c>
      <c r="Q978" s="5"/>
      <c r="R978" s="5"/>
      <c r="S978" s="5"/>
      <c r="T978" s="5"/>
      <c r="U978" s="5"/>
      <c r="V978" s="5"/>
      <c r="W978" s="5"/>
      <c r="X978" s="5"/>
      <c r="Y978" s="5"/>
    </row>
    <row r="979" spans="1:25" ht="15.75" customHeight="1" x14ac:dyDescent="0.25">
      <c r="A979" s="2">
        <v>43891</v>
      </c>
      <c r="B979" s="3">
        <v>60891</v>
      </c>
      <c r="C979" s="4" t="s">
        <v>20</v>
      </c>
      <c r="D979" s="4" t="str">
        <f t="shared" si="24"/>
        <v>Operation</v>
      </c>
      <c r="E979" s="4" t="str">
        <f t="shared" si="25"/>
        <v>Manager</v>
      </c>
      <c r="F979" s="13">
        <v>720</v>
      </c>
      <c r="G979" s="13">
        <v>3</v>
      </c>
      <c r="H979" s="13">
        <v>6</v>
      </c>
      <c r="I979" s="2">
        <v>29627</v>
      </c>
      <c r="J979" s="15">
        <v>661419</v>
      </c>
      <c r="K979" s="4" t="s">
        <v>21</v>
      </c>
      <c r="L979" s="27">
        <f t="shared" si="26"/>
        <v>1981</v>
      </c>
      <c r="M979" s="27">
        <f t="shared" si="27"/>
        <v>3</v>
      </c>
      <c r="N979" s="27">
        <f t="shared" ca="1" si="31"/>
        <v>45</v>
      </c>
      <c r="O979" s="27" t="str" cm="1">
        <f t="array" ref="O979">_xlfn.IFS($F979&gt;=750,"Excellent",$F979&gt;=700,"Good",$F979&gt;=650,"Moderate",
$F979&lt;650,"Risky"
)</f>
        <v>Good</v>
      </c>
      <c r="P979" s="27" t="str" cm="1">
        <f t="array" ref="P979">_xlfn.IFS(
AND(F979&gt;=750,H979&lt;=2),"Low Risk",
AND(F979&gt;=700,H979&lt;=5),"Medium Risk",
TRUE,"High Risk"
)</f>
        <v>High Risk</v>
      </c>
      <c r="Q979" s="5"/>
      <c r="R979" s="5"/>
      <c r="S979" s="5"/>
      <c r="T979" s="5"/>
      <c r="U979" s="5"/>
      <c r="V979" s="5"/>
      <c r="W979" s="5"/>
      <c r="X979" s="5"/>
      <c r="Y979" s="5"/>
    </row>
    <row r="980" spans="1:25" ht="15.75" customHeight="1" x14ac:dyDescent="0.25">
      <c r="A980" s="2">
        <v>44100</v>
      </c>
      <c r="B980" s="3">
        <v>84687</v>
      </c>
      <c r="C980" s="4" t="s">
        <v>23</v>
      </c>
      <c r="D980" s="4" t="str">
        <f t="shared" si="24"/>
        <v>Marketing</v>
      </c>
      <c r="E980" s="4" t="str">
        <f t="shared" si="25"/>
        <v>Intern</v>
      </c>
      <c r="F980" s="13">
        <v>764</v>
      </c>
      <c r="G980" s="13">
        <v>3</v>
      </c>
      <c r="H980" s="13">
        <v>7</v>
      </c>
      <c r="I980" s="2">
        <v>30779</v>
      </c>
      <c r="J980" s="15">
        <v>828750</v>
      </c>
      <c r="K980" s="4" t="s">
        <v>18</v>
      </c>
      <c r="L980" s="27">
        <f t="shared" si="26"/>
        <v>1984</v>
      </c>
      <c r="M980" s="27">
        <f t="shared" si="27"/>
        <v>9</v>
      </c>
      <c r="N980" s="27">
        <f t="shared" ca="1" si="31"/>
        <v>42</v>
      </c>
      <c r="O980" s="27" t="str" cm="1">
        <f t="array" ref="O980">_xlfn.IFS($F980&gt;=750,"Excellent",$F980&gt;=700,"Good",$F980&gt;=650,"Moderate",
$F980&lt;650,"Risky"
)</f>
        <v>Excellent</v>
      </c>
      <c r="P980" s="27" t="str" cm="1">
        <f t="array" ref="P980">_xlfn.IFS(
AND(F980&gt;=750,H980&lt;=2),"Low Risk",
AND(F980&gt;=700,H980&lt;=5),"Medium Risk",
TRUE,"High Risk"
)</f>
        <v>High Risk</v>
      </c>
      <c r="Q980" s="5"/>
      <c r="R980" s="5"/>
      <c r="S980" s="5"/>
      <c r="T980" s="5"/>
      <c r="U980" s="5"/>
      <c r="V980" s="5"/>
      <c r="W980" s="5"/>
      <c r="X980" s="5"/>
      <c r="Y980" s="5"/>
    </row>
    <row r="981" spans="1:25" ht="15.75" customHeight="1" x14ac:dyDescent="0.25">
      <c r="A981" s="2">
        <v>43980</v>
      </c>
      <c r="B981" s="3">
        <v>80726</v>
      </c>
      <c r="C981" s="4" t="s">
        <v>15</v>
      </c>
      <c r="D981" s="4" t="str">
        <f t="shared" si="24"/>
        <v>Operation</v>
      </c>
      <c r="E981" s="4" t="str">
        <f t="shared" si="25"/>
        <v>Executive</v>
      </c>
      <c r="F981" s="13">
        <v>704</v>
      </c>
      <c r="G981" s="13">
        <v>5</v>
      </c>
      <c r="H981" s="13">
        <v>2</v>
      </c>
      <c r="I981" s="2">
        <v>31493</v>
      </c>
      <c r="J981" s="15">
        <v>756646</v>
      </c>
      <c r="K981" s="4" t="s">
        <v>18</v>
      </c>
      <c r="L981" s="27">
        <f t="shared" si="26"/>
        <v>1986</v>
      </c>
      <c r="M981" s="27">
        <f t="shared" si="27"/>
        <v>5</v>
      </c>
      <c r="N981" s="27">
        <f t="shared" ca="1" si="31"/>
        <v>40</v>
      </c>
      <c r="O981" s="27" t="str" cm="1">
        <f t="array" ref="O981">_xlfn.IFS($F981&gt;=750,"Excellent",$F981&gt;=700,"Good",$F981&gt;=650,"Moderate",
$F981&lt;650,"Risky"
)</f>
        <v>Good</v>
      </c>
      <c r="P981" s="27" t="str" cm="1">
        <f t="array" ref="P981">_xlfn.IFS(
AND(F981&gt;=750,H981&lt;=2),"Low Risk",
AND(F981&gt;=700,H981&lt;=5),"Medium Risk",
TRUE,"High Risk"
)</f>
        <v>Medium Risk</v>
      </c>
      <c r="Q981" s="5"/>
      <c r="R981" s="5"/>
      <c r="S981" s="5"/>
      <c r="T981" s="5"/>
      <c r="U981" s="5"/>
      <c r="V981" s="5"/>
      <c r="W981" s="5"/>
      <c r="X981" s="5"/>
      <c r="Y981" s="5"/>
    </row>
    <row r="982" spans="1:25" ht="15.75" customHeight="1" x14ac:dyDescent="0.25">
      <c r="A982" s="2">
        <v>43959</v>
      </c>
      <c r="B982" s="3">
        <v>32817</v>
      </c>
      <c r="C982" s="4" t="s">
        <v>39</v>
      </c>
      <c r="D982" s="4" t="str">
        <f t="shared" si="24"/>
        <v>Growth</v>
      </c>
      <c r="E982" s="4" t="str">
        <f t="shared" si="25"/>
        <v>Executive</v>
      </c>
      <c r="F982" s="13">
        <v>794</v>
      </c>
      <c r="G982" s="13">
        <v>1</v>
      </c>
      <c r="H982" s="13">
        <v>8</v>
      </c>
      <c r="I982" s="2">
        <v>32933</v>
      </c>
      <c r="J982" s="15">
        <v>852706</v>
      </c>
      <c r="K982" s="4" t="s">
        <v>18</v>
      </c>
      <c r="L982" s="27">
        <f t="shared" si="26"/>
        <v>1990</v>
      </c>
      <c r="M982" s="27">
        <f t="shared" si="27"/>
        <v>5</v>
      </c>
      <c r="N982" s="27">
        <f t="shared" ca="1" si="31"/>
        <v>36</v>
      </c>
      <c r="O982" s="27" t="str" cm="1">
        <f t="array" ref="O982">_xlfn.IFS($F982&gt;=750,"Excellent",$F982&gt;=700,"Good",$F982&gt;=650,"Moderate",
$F982&lt;650,"Risky"
)</f>
        <v>Excellent</v>
      </c>
      <c r="P982" s="27" t="str" cm="1">
        <f t="array" ref="P982">_xlfn.IFS(
AND(F982&gt;=750,H982&lt;=2),"Low Risk",
AND(F982&gt;=700,H982&lt;=5),"Medium Risk",
TRUE,"High Risk"
)</f>
        <v>High Risk</v>
      </c>
      <c r="Q982" s="5"/>
      <c r="R982" s="5"/>
      <c r="S982" s="5"/>
      <c r="T982" s="5"/>
      <c r="U982" s="5"/>
      <c r="V982" s="5"/>
      <c r="W982" s="5"/>
      <c r="X982" s="5"/>
      <c r="Y982" s="5"/>
    </row>
    <row r="983" spans="1:25" ht="15.75" customHeight="1" x14ac:dyDescent="0.25">
      <c r="A983" s="2">
        <v>44123</v>
      </c>
      <c r="B983" s="3">
        <v>12243</v>
      </c>
      <c r="C983" s="4" t="s">
        <v>33</v>
      </c>
      <c r="D983" s="4" t="str">
        <f t="shared" si="24"/>
        <v>Sales</v>
      </c>
      <c r="E983" s="4" t="str">
        <f t="shared" si="25"/>
        <v>Executive</v>
      </c>
      <c r="F983" s="13">
        <v>774</v>
      </c>
      <c r="G983" s="13">
        <v>3</v>
      </c>
      <c r="H983" s="13">
        <v>6</v>
      </c>
      <c r="I983" s="2">
        <v>34153</v>
      </c>
      <c r="J983" s="15">
        <v>624082</v>
      </c>
      <c r="K983" s="4" t="s">
        <v>14</v>
      </c>
      <c r="L983" s="27">
        <f t="shared" si="26"/>
        <v>1993</v>
      </c>
      <c r="M983" s="27">
        <f t="shared" si="27"/>
        <v>10</v>
      </c>
      <c r="N983" s="27">
        <f t="shared" ca="1" si="31"/>
        <v>33</v>
      </c>
      <c r="O983" s="27" t="str" cm="1">
        <f t="array" ref="O983">_xlfn.IFS($F983&gt;=750,"Excellent",$F983&gt;=700,"Good",$F983&gt;=650,"Moderate",
$F983&lt;650,"Risky"
)</f>
        <v>Excellent</v>
      </c>
      <c r="P983" s="27" t="str" cm="1">
        <f t="array" ref="P983">_xlfn.IFS(
AND(F983&gt;=750,H983&lt;=2),"Low Risk",
AND(F983&gt;=700,H983&lt;=5),"Medium Risk",
TRUE,"High Risk"
)</f>
        <v>High Risk</v>
      </c>
      <c r="Q983" s="5"/>
      <c r="R983" s="5"/>
      <c r="S983" s="5"/>
      <c r="T983" s="5"/>
      <c r="U983" s="5"/>
      <c r="V983" s="5"/>
      <c r="W983" s="5"/>
      <c r="X983" s="5"/>
      <c r="Y983" s="5"/>
    </row>
    <row r="984" spans="1:25" ht="15.75" customHeight="1" x14ac:dyDescent="0.25">
      <c r="A984" s="2">
        <v>44148</v>
      </c>
      <c r="B984" s="3">
        <v>25020</v>
      </c>
      <c r="C984" s="4" t="s">
        <v>15</v>
      </c>
      <c r="D984" s="4" t="str">
        <f t="shared" si="24"/>
        <v>Operation</v>
      </c>
      <c r="E984" s="4" t="str">
        <f t="shared" si="25"/>
        <v>Executive</v>
      </c>
      <c r="F984" s="13">
        <v>705</v>
      </c>
      <c r="G984" s="13">
        <v>1</v>
      </c>
      <c r="H984" s="13">
        <v>8</v>
      </c>
      <c r="I984" s="2">
        <v>31021</v>
      </c>
      <c r="J984" s="15">
        <v>612503</v>
      </c>
      <c r="K984" s="4" t="s">
        <v>14</v>
      </c>
      <c r="L984" s="27">
        <f t="shared" si="26"/>
        <v>1984</v>
      </c>
      <c r="M984" s="27">
        <f t="shared" si="27"/>
        <v>11</v>
      </c>
      <c r="N984" s="27">
        <f t="shared" ca="1" si="31"/>
        <v>42</v>
      </c>
      <c r="O984" s="27" t="str" cm="1">
        <f t="array" ref="O984">_xlfn.IFS($F984&gt;=750,"Excellent",$F984&gt;=700,"Good",$F984&gt;=650,"Moderate",
$F984&lt;650,"Risky"
)</f>
        <v>Good</v>
      </c>
      <c r="P984" s="27" t="str" cm="1">
        <f t="array" ref="P984">_xlfn.IFS(
AND(F984&gt;=750,H984&lt;=2),"Low Risk",
AND(F984&gt;=700,H984&lt;=5),"Medium Risk",
TRUE,"High Risk"
)</f>
        <v>High Risk</v>
      </c>
      <c r="Q984" s="5"/>
      <c r="R984" s="5"/>
      <c r="S984" s="5"/>
      <c r="T984" s="5"/>
      <c r="U984" s="5"/>
      <c r="V984" s="5"/>
      <c r="W984" s="5"/>
      <c r="X984" s="5"/>
      <c r="Y984" s="5"/>
    </row>
    <row r="985" spans="1:25" ht="15.75" customHeight="1" x14ac:dyDescent="0.25">
      <c r="A985" s="2">
        <v>43864</v>
      </c>
      <c r="B985" s="3">
        <v>96631</v>
      </c>
      <c r="C985" s="4" t="s">
        <v>13</v>
      </c>
      <c r="D985" s="4" t="str">
        <f t="shared" si="24"/>
        <v>Marketing</v>
      </c>
      <c r="E985" s="4" t="str">
        <f t="shared" si="25"/>
        <v>Director</v>
      </c>
      <c r="F985" s="13">
        <v>716</v>
      </c>
      <c r="G985" s="13">
        <v>3</v>
      </c>
      <c r="H985" s="13">
        <v>4</v>
      </c>
      <c r="I985" s="2">
        <v>29932</v>
      </c>
      <c r="J985" s="15">
        <v>951262</v>
      </c>
      <c r="K985" s="4" t="s">
        <v>18</v>
      </c>
      <c r="L985" s="27">
        <f t="shared" si="26"/>
        <v>1981</v>
      </c>
      <c r="M985" s="27">
        <f t="shared" si="27"/>
        <v>2</v>
      </c>
      <c r="N985" s="27">
        <f t="shared" ca="1" si="31"/>
        <v>45</v>
      </c>
      <c r="O985" s="27" t="str" cm="1">
        <f t="array" ref="O985">_xlfn.IFS($F985&gt;=750,"Excellent",$F985&gt;=700,"Good",$F985&gt;=650,"Moderate",
$F985&lt;650,"Risky"
)</f>
        <v>Good</v>
      </c>
      <c r="P985" s="27" t="str" cm="1">
        <f t="array" ref="P985">_xlfn.IFS(
AND(F985&gt;=750,H985&lt;=2),"Low Risk",
AND(F985&gt;=700,H985&lt;=5),"Medium Risk",
TRUE,"High Risk"
)</f>
        <v>Medium Risk</v>
      </c>
      <c r="Q985" s="5"/>
      <c r="R985" s="5"/>
      <c r="S985" s="5"/>
      <c r="T985" s="5"/>
      <c r="U985" s="5"/>
      <c r="V985" s="5"/>
      <c r="W985" s="5"/>
      <c r="X985" s="5"/>
      <c r="Y985" s="5"/>
    </row>
    <row r="986" spans="1:25" ht="15.75" customHeight="1" x14ac:dyDescent="0.25">
      <c r="A986" s="2">
        <v>44132</v>
      </c>
      <c r="B986" s="3">
        <v>90785</v>
      </c>
      <c r="C986" s="4" t="s">
        <v>37</v>
      </c>
      <c r="D986" s="4" t="str">
        <f t="shared" si="24"/>
        <v>Strategy</v>
      </c>
      <c r="E986" s="4" t="str">
        <f t="shared" si="25"/>
        <v>Director</v>
      </c>
      <c r="F986" s="13">
        <v>765</v>
      </c>
      <c r="G986" s="13">
        <v>4</v>
      </c>
      <c r="H986" s="13">
        <v>7</v>
      </c>
      <c r="I986" s="2">
        <v>32174</v>
      </c>
      <c r="J986" s="15">
        <v>807954</v>
      </c>
      <c r="K986" s="4" t="s">
        <v>14</v>
      </c>
      <c r="L986" s="27">
        <f t="shared" si="26"/>
        <v>1988</v>
      </c>
      <c r="M986" s="27">
        <f t="shared" si="27"/>
        <v>10</v>
      </c>
      <c r="N986" s="27">
        <f t="shared" ca="1" si="31"/>
        <v>38</v>
      </c>
      <c r="O986" s="27" t="str" cm="1">
        <f t="array" ref="O986">_xlfn.IFS($F986&gt;=750,"Excellent",$F986&gt;=700,"Good",$F986&gt;=650,"Moderate",
$F986&lt;650,"Risky"
)</f>
        <v>Excellent</v>
      </c>
      <c r="P986" s="27" t="str" cm="1">
        <f t="array" ref="P986">_xlfn.IFS(
AND(F986&gt;=750,H986&lt;=2),"Low Risk",
AND(F986&gt;=700,H986&lt;=5),"Medium Risk",
TRUE,"High Risk"
)</f>
        <v>High Risk</v>
      </c>
      <c r="Q986" s="5"/>
      <c r="R986" s="5"/>
      <c r="S986" s="5"/>
      <c r="T986" s="5"/>
      <c r="U986" s="5"/>
      <c r="V986" s="5"/>
      <c r="W986" s="5"/>
      <c r="X986" s="5"/>
      <c r="Y986" s="5"/>
    </row>
    <row r="987" spans="1:25" ht="15.75" customHeight="1" x14ac:dyDescent="0.25">
      <c r="A987" s="2">
        <v>44145</v>
      </c>
      <c r="B987" s="3">
        <v>50257</v>
      </c>
      <c r="C987" s="4" t="s">
        <v>37</v>
      </c>
      <c r="D987" s="4" t="str">
        <f t="shared" si="24"/>
        <v>Strategy</v>
      </c>
      <c r="E987" s="4" t="str">
        <f t="shared" si="25"/>
        <v>Director</v>
      </c>
      <c r="F987" s="13">
        <v>741</v>
      </c>
      <c r="G987" s="13">
        <v>3</v>
      </c>
      <c r="H987" s="13">
        <v>3</v>
      </c>
      <c r="I987" s="2">
        <v>34362</v>
      </c>
      <c r="J987" s="15">
        <v>892679</v>
      </c>
      <c r="K987" s="4" t="s">
        <v>14</v>
      </c>
      <c r="L987" s="27">
        <f t="shared" si="26"/>
        <v>1994</v>
      </c>
      <c r="M987" s="27">
        <f t="shared" si="27"/>
        <v>11</v>
      </c>
      <c r="N987" s="27">
        <f t="shared" ca="1" si="31"/>
        <v>32</v>
      </c>
      <c r="O987" s="27" t="str" cm="1">
        <f t="array" ref="O987">_xlfn.IFS($F987&gt;=750,"Excellent",$F987&gt;=700,"Good",$F987&gt;=650,"Moderate",
$F987&lt;650,"Risky"
)</f>
        <v>Good</v>
      </c>
      <c r="P987" s="27" t="str" cm="1">
        <f t="array" ref="P987">_xlfn.IFS(
AND(F987&gt;=750,H987&lt;=2),"Low Risk",
AND(F987&gt;=700,H987&lt;=5),"Medium Risk",
TRUE,"High Risk"
)</f>
        <v>Medium Risk</v>
      </c>
      <c r="Q987" s="5"/>
      <c r="R987" s="5"/>
      <c r="S987" s="5"/>
      <c r="T987" s="5"/>
      <c r="U987" s="5"/>
      <c r="V987" s="5"/>
      <c r="W987" s="5"/>
      <c r="X987" s="5"/>
      <c r="Y987" s="5"/>
    </row>
    <row r="988" spans="1:25" ht="15.75" customHeight="1" x14ac:dyDescent="0.25">
      <c r="A988" s="2">
        <v>44124</v>
      </c>
      <c r="B988" s="3">
        <v>79559</v>
      </c>
      <c r="C988" s="4" t="s">
        <v>26</v>
      </c>
      <c r="D988" s="4" t="str">
        <f t="shared" si="24"/>
        <v>Strategy</v>
      </c>
      <c r="E988" s="4" t="str">
        <f t="shared" si="25"/>
        <v>Manager</v>
      </c>
      <c r="F988" s="13">
        <v>780</v>
      </c>
      <c r="G988" s="13">
        <v>4</v>
      </c>
      <c r="H988" s="13">
        <v>10</v>
      </c>
      <c r="I988" s="2">
        <v>29278</v>
      </c>
      <c r="J988" s="15">
        <v>717221</v>
      </c>
      <c r="K988" s="4" t="s">
        <v>21</v>
      </c>
      <c r="L988" s="27">
        <f t="shared" si="26"/>
        <v>1980</v>
      </c>
      <c r="M988" s="27">
        <f t="shared" si="27"/>
        <v>10</v>
      </c>
      <c r="N988" s="27">
        <f t="shared" ca="1" si="31"/>
        <v>46</v>
      </c>
      <c r="O988" s="27" t="str" cm="1">
        <f t="array" ref="O988">_xlfn.IFS($F988&gt;=750,"Excellent",$F988&gt;=700,"Good",$F988&gt;=650,"Moderate",
$F988&lt;650,"Risky"
)</f>
        <v>Excellent</v>
      </c>
      <c r="P988" s="27" t="str" cm="1">
        <f t="array" ref="P988">_xlfn.IFS(
AND(F988&gt;=750,H988&lt;=2),"Low Risk",
AND(F988&gt;=700,H988&lt;=5),"Medium Risk",
TRUE,"High Risk"
)</f>
        <v>High Risk</v>
      </c>
      <c r="Q988" s="5"/>
      <c r="R988" s="5"/>
      <c r="S988" s="5"/>
      <c r="T988" s="5"/>
      <c r="U988" s="5"/>
      <c r="V988" s="5"/>
      <c r="W988" s="5"/>
      <c r="X988" s="5"/>
      <c r="Y988" s="5"/>
    </row>
    <row r="989" spans="1:25" ht="15.75" customHeight="1" x14ac:dyDescent="0.25">
      <c r="A989" s="2">
        <v>44155</v>
      </c>
      <c r="B989" s="3">
        <v>19368</v>
      </c>
      <c r="C989" s="4" t="s">
        <v>34</v>
      </c>
      <c r="D989" s="4" t="str">
        <f t="shared" si="24"/>
        <v>Finance</v>
      </c>
      <c r="E989" s="4" t="str">
        <f t="shared" si="25"/>
        <v>Director</v>
      </c>
      <c r="F989" s="13">
        <v>700</v>
      </c>
      <c r="G989" s="13">
        <v>5</v>
      </c>
      <c r="H989" s="13">
        <v>10</v>
      </c>
      <c r="I989" s="2">
        <v>31949</v>
      </c>
      <c r="J989" s="15">
        <v>789854</v>
      </c>
      <c r="K989" s="4" t="s">
        <v>14</v>
      </c>
      <c r="L989" s="27">
        <f t="shared" si="26"/>
        <v>1987</v>
      </c>
      <c r="M989" s="27">
        <f t="shared" si="27"/>
        <v>11</v>
      </c>
      <c r="N989" s="27">
        <f t="shared" ca="1" si="31"/>
        <v>39</v>
      </c>
      <c r="O989" s="27" t="str" cm="1">
        <f t="array" ref="O989">_xlfn.IFS($F989&gt;=750,"Excellent",$F989&gt;=700,"Good",$F989&gt;=650,"Moderate",
$F989&lt;650,"Risky"
)</f>
        <v>Good</v>
      </c>
      <c r="P989" s="27" t="str" cm="1">
        <f t="array" ref="P989">_xlfn.IFS(
AND(F989&gt;=750,H989&lt;=2),"Low Risk",
AND(F989&gt;=700,H989&lt;=5),"Medium Risk",
TRUE,"High Risk"
)</f>
        <v>High Risk</v>
      </c>
      <c r="Q989" s="5"/>
      <c r="R989" s="5"/>
      <c r="S989" s="5"/>
      <c r="T989" s="5"/>
      <c r="U989" s="5"/>
      <c r="V989" s="5"/>
      <c r="W989" s="5"/>
      <c r="X989" s="5"/>
      <c r="Y989" s="5"/>
    </row>
    <row r="990" spans="1:25" ht="15.75" customHeight="1" x14ac:dyDescent="0.25">
      <c r="A990" s="2">
        <v>43889</v>
      </c>
      <c r="B990" s="3">
        <v>61780</v>
      </c>
      <c r="C990" s="4" t="s">
        <v>13</v>
      </c>
      <c r="D990" s="4" t="str">
        <f t="shared" si="24"/>
        <v>Marketing</v>
      </c>
      <c r="E990" s="4" t="str">
        <f t="shared" si="25"/>
        <v>Director</v>
      </c>
      <c r="F990" s="13">
        <v>702</v>
      </c>
      <c r="G990" s="13">
        <v>2</v>
      </c>
      <c r="H990" s="13">
        <v>7</v>
      </c>
      <c r="I990" s="2">
        <v>32075</v>
      </c>
      <c r="J990" s="15">
        <v>696125</v>
      </c>
      <c r="K990" s="4" t="s">
        <v>18</v>
      </c>
      <c r="L990" s="27">
        <f t="shared" si="26"/>
        <v>1987</v>
      </c>
      <c r="M990" s="27">
        <f t="shared" si="27"/>
        <v>2</v>
      </c>
      <c r="N990" s="27">
        <f t="shared" ca="1" si="31"/>
        <v>39</v>
      </c>
      <c r="O990" s="27" t="str" cm="1">
        <f t="array" ref="O990">_xlfn.IFS($F990&gt;=750,"Excellent",$F990&gt;=700,"Good",$F990&gt;=650,"Moderate",
$F990&lt;650,"Risky"
)</f>
        <v>Good</v>
      </c>
      <c r="P990" s="27" t="str" cm="1">
        <f t="array" ref="P990">_xlfn.IFS(
AND(F990&gt;=750,H990&lt;=2),"Low Risk",
AND(F990&gt;=700,H990&lt;=5),"Medium Risk",
TRUE,"High Risk"
)</f>
        <v>High Risk</v>
      </c>
      <c r="Q990" s="5"/>
      <c r="R990" s="5"/>
      <c r="S990" s="5"/>
      <c r="T990" s="5"/>
      <c r="U990" s="5"/>
      <c r="V990" s="5"/>
      <c r="W990" s="5"/>
      <c r="X990" s="5"/>
      <c r="Y990" s="5"/>
    </row>
    <row r="991" spans="1:25" ht="15.75" customHeight="1" x14ac:dyDescent="0.25">
      <c r="A991" s="2">
        <v>44044</v>
      </c>
      <c r="B991" s="3">
        <v>13669</v>
      </c>
      <c r="C991" s="4" t="s">
        <v>30</v>
      </c>
      <c r="D991" s="4" t="str">
        <f t="shared" si="24"/>
        <v>Operation</v>
      </c>
      <c r="E991" s="4" t="str">
        <f t="shared" si="25"/>
        <v>Director</v>
      </c>
      <c r="F991" s="13">
        <v>757</v>
      </c>
      <c r="G991" s="13">
        <v>2</v>
      </c>
      <c r="H991" s="13">
        <v>6</v>
      </c>
      <c r="I991" s="2">
        <v>30527</v>
      </c>
      <c r="J991" s="15">
        <v>541389</v>
      </c>
      <c r="K991" s="4" t="s">
        <v>18</v>
      </c>
      <c r="L991" s="27">
        <f t="shared" si="26"/>
        <v>1983</v>
      </c>
      <c r="M991" s="27">
        <f t="shared" si="27"/>
        <v>8</v>
      </c>
      <c r="N991" s="27">
        <f t="shared" ca="1" si="31"/>
        <v>43</v>
      </c>
      <c r="O991" s="27" t="str" cm="1">
        <f t="array" ref="O991">_xlfn.IFS($F991&gt;=750,"Excellent",$F991&gt;=700,"Good",$F991&gt;=650,"Moderate",
$F991&lt;650,"Risky"
)</f>
        <v>Excellent</v>
      </c>
      <c r="P991" s="27" t="str" cm="1">
        <f t="array" ref="P991">_xlfn.IFS(
AND(F991&gt;=750,H991&lt;=2),"Low Risk",
AND(F991&gt;=700,H991&lt;=5),"Medium Risk",
TRUE,"High Risk"
)</f>
        <v>High Risk</v>
      </c>
      <c r="Q991" s="5"/>
      <c r="R991" s="5"/>
      <c r="S991" s="5"/>
      <c r="T991" s="5"/>
      <c r="U991" s="5"/>
      <c r="V991" s="5"/>
      <c r="W991" s="5"/>
      <c r="X991" s="5"/>
      <c r="Y991" s="5"/>
    </row>
    <row r="992" spans="1:25" ht="15.75" customHeight="1" x14ac:dyDescent="0.25">
      <c r="A992" s="2">
        <v>44004</v>
      </c>
      <c r="B992" s="3">
        <v>76498</v>
      </c>
      <c r="C992" s="4" t="s">
        <v>19</v>
      </c>
      <c r="D992" s="4" t="str">
        <f t="shared" si="24"/>
        <v>Marketing</v>
      </c>
      <c r="E992" s="4" t="str">
        <f t="shared" si="25"/>
        <v>Manager</v>
      </c>
      <c r="F992" s="13">
        <v>713</v>
      </c>
      <c r="G992" s="13">
        <v>2</v>
      </c>
      <c r="H992" s="13">
        <v>8</v>
      </c>
      <c r="I992" s="2">
        <v>30779</v>
      </c>
      <c r="J992" s="15">
        <v>617205</v>
      </c>
      <c r="K992" s="4" t="s">
        <v>18</v>
      </c>
      <c r="L992" s="27">
        <f t="shared" si="26"/>
        <v>1984</v>
      </c>
      <c r="M992" s="27">
        <f t="shared" si="27"/>
        <v>6</v>
      </c>
      <c r="N992" s="27">
        <f t="shared" ca="1" si="31"/>
        <v>42</v>
      </c>
      <c r="O992" s="27" t="str" cm="1">
        <f t="array" ref="O992">_xlfn.IFS($F992&gt;=750,"Excellent",$F992&gt;=700,"Good",$F992&gt;=650,"Moderate",
$F992&lt;650,"Risky"
)</f>
        <v>Good</v>
      </c>
      <c r="P992" s="27" t="str" cm="1">
        <f t="array" ref="P992">_xlfn.IFS(
AND(F992&gt;=750,H992&lt;=2),"Low Risk",
AND(F992&gt;=700,H992&lt;=5),"Medium Risk",
TRUE,"High Risk"
)</f>
        <v>High Risk</v>
      </c>
      <c r="Q992" s="5"/>
      <c r="R992" s="5"/>
      <c r="S992" s="5"/>
      <c r="T992" s="5"/>
      <c r="U992" s="5"/>
      <c r="V992" s="5"/>
      <c r="W992" s="5"/>
      <c r="X992" s="5"/>
      <c r="Y992" s="5"/>
    </row>
    <row r="993" spans="1:25" ht="15.75" customHeight="1" x14ac:dyDescent="0.25">
      <c r="A993" s="2">
        <v>43878</v>
      </c>
      <c r="B993" s="3">
        <v>17859</v>
      </c>
      <c r="C993" s="4" t="s">
        <v>37</v>
      </c>
      <c r="D993" s="4" t="str">
        <f t="shared" si="24"/>
        <v>Strategy</v>
      </c>
      <c r="E993" s="4" t="str">
        <f t="shared" si="25"/>
        <v>Director</v>
      </c>
      <c r="F993" s="13">
        <v>770</v>
      </c>
      <c r="G993" s="13">
        <v>2</v>
      </c>
      <c r="H993" s="13">
        <v>4</v>
      </c>
      <c r="I993" s="2">
        <v>33664</v>
      </c>
      <c r="J993" s="15">
        <v>530186</v>
      </c>
      <c r="K993" s="4" t="s">
        <v>18</v>
      </c>
      <c r="L993" s="27">
        <f t="shared" si="26"/>
        <v>1992</v>
      </c>
      <c r="M993" s="27">
        <f t="shared" si="27"/>
        <v>2</v>
      </c>
      <c r="N993" s="27">
        <f t="shared" ca="1" si="31"/>
        <v>34</v>
      </c>
      <c r="O993" s="27" t="str" cm="1">
        <f t="array" ref="O993">_xlfn.IFS($F993&gt;=750,"Excellent",$F993&gt;=700,"Good",$F993&gt;=650,"Moderate",
$F993&lt;650,"Risky"
)</f>
        <v>Excellent</v>
      </c>
      <c r="P993" s="27" t="str" cm="1">
        <f t="array" ref="P993">_xlfn.IFS(
AND(F993&gt;=750,H993&lt;=2),"Low Risk",
AND(F993&gt;=700,H993&lt;=5),"Medium Risk",
TRUE,"High Risk"
)</f>
        <v>Medium Risk</v>
      </c>
      <c r="Q993" s="5"/>
      <c r="R993" s="5"/>
      <c r="S993" s="5"/>
      <c r="T993" s="5"/>
      <c r="U993" s="5"/>
      <c r="V993" s="5"/>
      <c r="W993" s="5"/>
      <c r="X993" s="5"/>
      <c r="Y993" s="5"/>
    </row>
    <row r="994" spans="1:25" ht="15.75" customHeight="1" x14ac:dyDescent="0.25">
      <c r="A994" s="2">
        <v>44033</v>
      </c>
      <c r="B994" s="3">
        <v>17004</v>
      </c>
      <c r="C994" s="4" t="s">
        <v>35</v>
      </c>
      <c r="D994" s="4" t="str">
        <f t="shared" si="24"/>
        <v>Growth</v>
      </c>
      <c r="E994" s="4" t="str">
        <f t="shared" si="25"/>
        <v>Intern</v>
      </c>
      <c r="F994" s="13">
        <v>792</v>
      </c>
      <c r="G994" s="13">
        <v>1</v>
      </c>
      <c r="H994" s="13">
        <v>5</v>
      </c>
      <c r="I994" s="2">
        <v>33294</v>
      </c>
      <c r="J994" s="15">
        <v>673875</v>
      </c>
      <c r="K994" s="4" t="s">
        <v>18</v>
      </c>
      <c r="L994" s="27">
        <f t="shared" si="26"/>
        <v>1991</v>
      </c>
      <c r="M994" s="27">
        <f t="shared" si="27"/>
        <v>7</v>
      </c>
      <c r="N994" s="27">
        <f t="shared" ca="1" si="31"/>
        <v>35</v>
      </c>
      <c r="O994" s="27" t="str" cm="1">
        <f t="array" ref="O994">_xlfn.IFS($F994&gt;=750,"Excellent",$F994&gt;=700,"Good",$F994&gt;=650,"Moderate",
$F994&lt;650,"Risky"
)</f>
        <v>Excellent</v>
      </c>
      <c r="P994" s="27" t="str" cm="1">
        <f t="array" ref="P994">_xlfn.IFS(
AND(F994&gt;=750,H994&lt;=2),"Low Risk",
AND(F994&gt;=700,H994&lt;=5),"Medium Risk",
TRUE,"High Risk"
)</f>
        <v>Medium Risk</v>
      </c>
      <c r="Q994" s="5"/>
      <c r="R994" s="5"/>
      <c r="S994" s="5"/>
      <c r="T994" s="5"/>
      <c r="U994" s="5"/>
      <c r="V994" s="5"/>
      <c r="W994" s="5"/>
      <c r="X994" s="5"/>
      <c r="Y994" s="5"/>
    </row>
    <row r="995" spans="1:25" ht="15.75" customHeight="1" x14ac:dyDescent="0.25">
      <c r="A995" s="2">
        <v>43840</v>
      </c>
      <c r="B995" s="3">
        <v>61867</v>
      </c>
      <c r="C995" s="4" t="s">
        <v>17</v>
      </c>
      <c r="D995" s="4" t="str">
        <f t="shared" si="24"/>
        <v>Growth</v>
      </c>
      <c r="E995" s="4" t="str">
        <f t="shared" si="25"/>
        <v>Manager</v>
      </c>
      <c r="F995" s="13">
        <v>705</v>
      </c>
      <c r="G995" s="13">
        <v>2</v>
      </c>
      <c r="H995" s="13">
        <v>10</v>
      </c>
      <c r="I995" s="2">
        <v>32809</v>
      </c>
      <c r="J995" s="15">
        <v>915797</v>
      </c>
      <c r="K995" s="4" t="s">
        <v>18</v>
      </c>
      <c r="L995" s="27">
        <f t="shared" si="26"/>
        <v>1989</v>
      </c>
      <c r="M995" s="27">
        <f t="shared" si="27"/>
        <v>1</v>
      </c>
      <c r="N995" s="27">
        <f t="shared" ca="1" si="31"/>
        <v>37</v>
      </c>
      <c r="O995" s="27" t="str" cm="1">
        <f t="array" ref="O995">_xlfn.IFS($F995&gt;=750,"Excellent",$F995&gt;=700,"Good",$F995&gt;=650,"Moderate",
$F995&lt;650,"Risky"
)</f>
        <v>Good</v>
      </c>
      <c r="P995" s="27" t="str" cm="1">
        <f t="array" ref="P995">_xlfn.IFS(
AND(F995&gt;=750,H995&lt;=2),"Low Risk",
AND(F995&gt;=700,H995&lt;=5),"Medium Risk",
TRUE,"High Risk"
)</f>
        <v>High Risk</v>
      </c>
      <c r="Q995" s="5"/>
      <c r="R995" s="5"/>
      <c r="S995" s="5"/>
      <c r="T995" s="5"/>
      <c r="U995" s="5"/>
      <c r="V995" s="5"/>
      <c r="W995" s="5"/>
      <c r="X995" s="5"/>
      <c r="Y995" s="5"/>
    </row>
    <row r="996" spans="1:25" ht="15.75" customHeight="1" x14ac:dyDescent="0.25">
      <c r="A996" s="2">
        <v>43913</v>
      </c>
      <c r="B996" s="3">
        <v>38163</v>
      </c>
      <c r="C996" s="4" t="s">
        <v>29</v>
      </c>
      <c r="D996" s="4" t="str">
        <f t="shared" si="24"/>
        <v>Sales</v>
      </c>
      <c r="E996" s="4" t="str">
        <f t="shared" si="25"/>
        <v>Director</v>
      </c>
      <c r="F996" s="13">
        <v>789</v>
      </c>
      <c r="G996" s="13">
        <v>4</v>
      </c>
      <c r="H996" s="13">
        <v>2</v>
      </c>
      <c r="I996" s="2">
        <v>29351</v>
      </c>
      <c r="J996" s="15">
        <v>620332</v>
      </c>
      <c r="K996" s="4" t="s">
        <v>21</v>
      </c>
      <c r="L996" s="27">
        <f t="shared" si="26"/>
        <v>1980</v>
      </c>
      <c r="M996" s="27">
        <f t="shared" si="27"/>
        <v>3</v>
      </c>
      <c r="N996" s="27">
        <f t="shared" ca="1" si="31"/>
        <v>46</v>
      </c>
      <c r="O996" s="27" t="str" cm="1">
        <f t="array" ref="O996">_xlfn.IFS($F996&gt;=750,"Excellent",$F996&gt;=700,"Good",$F996&gt;=650,"Moderate",
$F996&lt;650,"Risky"
)</f>
        <v>Excellent</v>
      </c>
      <c r="P996" s="27" t="str" cm="1">
        <f t="array" ref="P996">_xlfn.IFS(
AND(F996&gt;=750,H996&lt;=2),"Low Risk",
AND(F996&gt;=700,H996&lt;=5),"Medium Risk",
TRUE,"High Risk"
)</f>
        <v>Low Risk</v>
      </c>
      <c r="Q996" s="5"/>
      <c r="R996" s="5"/>
      <c r="S996" s="5"/>
      <c r="T996" s="5"/>
      <c r="U996" s="5"/>
      <c r="V996" s="5"/>
      <c r="W996" s="5"/>
      <c r="X996" s="5"/>
      <c r="Y996" s="5"/>
    </row>
    <row r="997" spans="1:25" ht="15.75" customHeight="1" x14ac:dyDescent="0.25">
      <c r="A997" s="2">
        <v>43921</v>
      </c>
      <c r="B997" s="3">
        <v>79897</v>
      </c>
      <c r="C997" s="4" t="s">
        <v>23</v>
      </c>
      <c r="D997" s="4" t="str">
        <f t="shared" si="24"/>
        <v>Marketing</v>
      </c>
      <c r="E997" s="4" t="str">
        <f t="shared" si="25"/>
        <v>Intern</v>
      </c>
      <c r="F997" s="13">
        <v>780</v>
      </c>
      <c r="G997" s="13">
        <v>4</v>
      </c>
      <c r="H997" s="13">
        <v>4</v>
      </c>
      <c r="I997" s="2">
        <v>31978</v>
      </c>
      <c r="J997" s="15">
        <v>838547</v>
      </c>
      <c r="K997" s="4" t="s">
        <v>14</v>
      </c>
      <c r="L997" s="27">
        <f t="shared" si="26"/>
        <v>1987</v>
      </c>
      <c r="M997" s="27">
        <f t="shared" si="27"/>
        <v>3</v>
      </c>
      <c r="N997" s="27">
        <f t="shared" ca="1" si="31"/>
        <v>39</v>
      </c>
      <c r="O997" s="27" t="str" cm="1">
        <f t="array" ref="O997">_xlfn.IFS($F997&gt;=750,"Excellent",$F997&gt;=700,"Good",$F997&gt;=650,"Moderate",
$F997&lt;650,"Risky"
)</f>
        <v>Excellent</v>
      </c>
      <c r="P997" s="27" t="str" cm="1">
        <f t="array" ref="P997">_xlfn.IFS(
AND(F997&gt;=750,H997&lt;=2),"Low Risk",
AND(F997&gt;=700,H997&lt;=5),"Medium Risk",
TRUE,"High Risk"
)</f>
        <v>Medium Risk</v>
      </c>
      <c r="Q997" s="5"/>
      <c r="R997" s="5"/>
      <c r="S997" s="5"/>
      <c r="T997" s="5"/>
      <c r="U997" s="5"/>
      <c r="V997" s="5"/>
      <c r="W997" s="5"/>
      <c r="X997" s="5"/>
      <c r="Y997" s="5"/>
    </row>
    <row r="998" spans="1:25" ht="15.75" customHeight="1" x14ac:dyDescent="0.25">
      <c r="A998" s="2">
        <v>43915</v>
      </c>
      <c r="B998" s="3">
        <v>16104</v>
      </c>
      <c r="C998" s="4" t="s">
        <v>30</v>
      </c>
      <c r="D998" s="4" t="str">
        <f t="shared" si="24"/>
        <v>Operation</v>
      </c>
      <c r="E998" s="4" t="str">
        <f t="shared" si="25"/>
        <v>Director</v>
      </c>
      <c r="F998" s="13">
        <v>771</v>
      </c>
      <c r="G998" s="13">
        <v>2</v>
      </c>
      <c r="H998" s="13">
        <v>8</v>
      </c>
      <c r="I998" s="2">
        <v>34126</v>
      </c>
      <c r="J998" s="15">
        <v>733075</v>
      </c>
      <c r="K998" s="4" t="s">
        <v>14</v>
      </c>
      <c r="L998" s="27">
        <f t="shared" si="26"/>
        <v>1993</v>
      </c>
      <c r="M998" s="27">
        <f t="shared" si="27"/>
        <v>3</v>
      </c>
      <c r="N998" s="27">
        <f t="shared" ca="1" si="31"/>
        <v>33</v>
      </c>
      <c r="O998" s="27" t="str" cm="1">
        <f t="array" ref="O998">_xlfn.IFS($F998&gt;=750,"Excellent",$F998&gt;=700,"Good",$F998&gt;=650,"Moderate",
$F998&lt;650,"Risky"
)</f>
        <v>Excellent</v>
      </c>
      <c r="P998" s="27" t="str" cm="1">
        <f t="array" ref="P998">_xlfn.IFS(
AND(F998&gt;=750,H998&lt;=2),"Low Risk",
AND(F998&gt;=700,H998&lt;=5),"Medium Risk",
TRUE,"High Risk"
)</f>
        <v>High Risk</v>
      </c>
      <c r="Q998" s="5"/>
      <c r="R998" s="5"/>
      <c r="S998" s="5"/>
      <c r="T998" s="5"/>
      <c r="U998" s="5"/>
      <c r="V998" s="5"/>
      <c r="W998" s="5"/>
      <c r="X998" s="5"/>
      <c r="Y998" s="5"/>
    </row>
    <row r="999" spans="1:25" ht="15.75" customHeight="1" x14ac:dyDescent="0.25">
      <c r="A999" s="2">
        <v>43861</v>
      </c>
      <c r="B999" s="3">
        <v>53546</v>
      </c>
      <c r="C999" s="4" t="s">
        <v>15</v>
      </c>
      <c r="D999" s="4" t="str">
        <f t="shared" si="24"/>
        <v>Operation</v>
      </c>
      <c r="E999" s="4" t="str">
        <f t="shared" si="25"/>
        <v>Executive</v>
      </c>
      <c r="F999" s="13">
        <v>766</v>
      </c>
      <c r="G999" s="13">
        <v>1</v>
      </c>
      <c r="H999" s="13">
        <v>2</v>
      </c>
      <c r="I999" s="2">
        <v>33575</v>
      </c>
      <c r="J999" s="15">
        <v>535279</v>
      </c>
      <c r="K999" s="4" t="s">
        <v>14</v>
      </c>
      <c r="L999" s="27">
        <f t="shared" si="26"/>
        <v>1991</v>
      </c>
      <c r="M999" s="27">
        <f t="shared" si="27"/>
        <v>1</v>
      </c>
      <c r="N999" s="27">
        <f t="shared" ca="1" si="31"/>
        <v>35</v>
      </c>
      <c r="O999" s="27" t="str" cm="1">
        <f t="array" ref="O999">_xlfn.IFS($F999&gt;=750,"Excellent",$F999&gt;=700,"Good",$F999&gt;=650,"Moderate",
$F999&lt;650,"Risky"
)</f>
        <v>Excellent</v>
      </c>
      <c r="P999" s="27" t="str" cm="1">
        <f t="array" ref="P999">_xlfn.IFS(
AND(F999&gt;=750,H999&lt;=2),"Low Risk",
AND(F999&gt;=700,H999&lt;=5),"Medium Risk",
TRUE,"High Risk"
)</f>
        <v>Low Risk</v>
      </c>
      <c r="Q999" s="5"/>
      <c r="R999" s="5"/>
      <c r="S999" s="5"/>
      <c r="T999" s="5"/>
      <c r="U999" s="5"/>
      <c r="V999" s="5"/>
      <c r="W999" s="5"/>
      <c r="X999" s="5"/>
      <c r="Y999" s="5"/>
    </row>
    <row r="1000" spans="1:25" ht="15.75" customHeight="1" x14ac:dyDescent="0.25">
      <c r="A1000" s="2">
        <v>43852</v>
      </c>
      <c r="B1000" s="3">
        <v>85809</v>
      </c>
      <c r="C1000" s="4" t="s">
        <v>22</v>
      </c>
      <c r="D1000" s="4" t="str">
        <f t="shared" si="24"/>
        <v>Strategy</v>
      </c>
      <c r="E1000" s="4" t="str">
        <f t="shared" si="25"/>
        <v>Executive</v>
      </c>
      <c r="F1000" s="13">
        <v>787</v>
      </c>
      <c r="G1000" s="13">
        <v>5</v>
      </c>
      <c r="H1000" s="13">
        <v>7</v>
      </c>
      <c r="I1000" s="2">
        <v>31634</v>
      </c>
      <c r="J1000" s="15">
        <v>762307</v>
      </c>
      <c r="K1000" s="4" t="s">
        <v>18</v>
      </c>
      <c r="L1000" s="27">
        <f t="shared" si="26"/>
        <v>1986</v>
      </c>
      <c r="M1000" s="27">
        <f t="shared" si="27"/>
        <v>1</v>
      </c>
      <c r="N1000" s="27">
        <f t="shared" ca="1" si="31"/>
        <v>40</v>
      </c>
      <c r="O1000" s="27" t="str" cm="1">
        <f t="array" ref="O1000">_xlfn.IFS($F1000&gt;=750,"Excellent",$F1000&gt;=700,"Good",$F1000&gt;=650,"Moderate",
$F1000&lt;650,"Risky"
)</f>
        <v>Excellent</v>
      </c>
      <c r="P1000" s="27" t="str" cm="1">
        <f t="array" ref="P1000">_xlfn.IFS(
AND(F1000&gt;=750,H1000&lt;=2),"Low Risk",
AND(F1000&gt;=700,H1000&lt;=5),"Medium Risk",
TRUE,"High Risk"
)</f>
        <v>High Risk</v>
      </c>
      <c r="Q1000" s="5"/>
      <c r="R1000" s="5"/>
      <c r="S1000" s="5"/>
      <c r="T1000" s="5"/>
      <c r="U1000" s="5"/>
      <c r="V1000" s="5"/>
      <c r="W1000" s="5"/>
      <c r="X1000" s="5"/>
      <c r="Y1000" s="5"/>
    </row>
    <row r="1001" spans="1:25" ht="15.75" customHeight="1" x14ac:dyDescent="0.25">
      <c r="A1001" s="2">
        <v>43882</v>
      </c>
      <c r="B1001" s="3">
        <v>46575</v>
      </c>
      <c r="C1001" s="4" t="s">
        <v>25</v>
      </c>
      <c r="D1001" s="4" t="str">
        <f t="shared" si="24"/>
        <v>Sales</v>
      </c>
      <c r="E1001" s="4" t="str">
        <f t="shared" si="25"/>
        <v>Manager</v>
      </c>
      <c r="F1001" s="13">
        <v>727</v>
      </c>
      <c r="G1001" s="13">
        <v>2</v>
      </c>
      <c r="H1001" s="13">
        <v>9</v>
      </c>
      <c r="I1001" s="2">
        <v>29710</v>
      </c>
      <c r="J1001" s="15">
        <v>962245</v>
      </c>
      <c r="K1001" s="4" t="s">
        <v>21</v>
      </c>
      <c r="L1001" s="27">
        <f t="shared" si="26"/>
        <v>1981</v>
      </c>
      <c r="M1001" s="27">
        <f t="shared" si="27"/>
        <v>2</v>
      </c>
      <c r="N1001" s="27">
        <f t="shared" ca="1" si="31"/>
        <v>45</v>
      </c>
      <c r="O1001" s="27" t="str" cm="1">
        <f t="array" ref="O1001">_xlfn.IFS($F1001&gt;=750,"Excellent",$F1001&gt;=700,"Good",$F1001&gt;=650,"Moderate",
$F1001&lt;650,"Risky"
)</f>
        <v>Good</v>
      </c>
      <c r="P1001" s="27" t="str" cm="1">
        <f t="array" ref="P1001">_xlfn.IFS(
AND(F1001&gt;=750,H1001&lt;=2),"Low Risk",
AND(F1001&gt;=700,H1001&lt;=5),"Medium Risk",
TRUE,"High Risk"
)</f>
        <v>High Risk</v>
      </c>
      <c r="Q1001" s="5"/>
      <c r="R1001" s="5"/>
      <c r="S1001" s="5"/>
      <c r="T1001" s="5"/>
      <c r="U1001" s="5"/>
      <c r="V1001" s="5"/>
      <c r="W1001" s="5"/>
      <c r="X1001" s="5"/>
      <c r="Y1001" s="5"/>
    </row>
    <row r="1002" spans="1:25" ht="15.75" customHeight="1" x14ac:dyDescent="0.25">
      <c r="A1002" s="2">
        <v>43938</v>
      </c>
      <c r="B1002" s="3">
        <v>33717</v>
      </c>
      <c r="C1002" s="4" t="s">
        <v>23</v>
      </c>
      <c r="D1002" s="4" t="str">
        <f t="shared" si="24"/>
        <v>Marketing</v>
      </c>
      <c r="E1002" s="4" t="str">
        <f t="shared" si="25"/>
        <v>Intern</v>
      </c>
      <c r="F1002" s="13">
        <v>745</v>
      </c>
      <c r="G1002" s="13">
        <v>2</v>
      </c>
      <c r="H1002" s="13">
        <v>1</v>
      </c>
      <c r="I1002" s="2">
        <v>32470</v>
      </c>
      <c r="J1002" s="15">
        <v>646858</v>
      </c>
      <c r="K1002" s="4" t="s">
        <v>21</v>
      </c>
      <c r="L1002" s="27">
        <f t="shared" si="26"/>
        <v>1988</v>
      </c>
      <c r="M1002" s="27">
        <f t="shared" si="27"/>
        <v>4</v>
      </c>
      <c r="N1002" s="27">
        <f t="shared" ca="1" si="31"/>
        <v>38</v>
      </c>
      <c r="O1002" s="27" t="str" cm="1">
        <f t="array" ref="O1002">_xlfn.IFS($F1002&gt;=750,"Excellent",$F1002&gt;=700,"Good",$F1002&gt;=650,"Moderate",
$F1002&lt;650,"Risky"
)</f>
        <v>Good</v>
      </c>
      <c r="P1002" s="27" t="str" cm="1">
        <f t="array" ref="P1002">_xlfn.IFS(
AND(F1002&gt;=750,H1002&lt;=2),"Low Risk",
AND(F1002&gt;=700,H1002&lt;=5),"Medium Risk",
TRUE,"High Risk"
)</f>
        <v>Medium Risk</v>
      </c>
      <c r="Q1002" s="5"/>
      <c r="R1002" s="5"/>
      <c r="S1002" s="5"/>
      <c r="T1002" s="5"/>
      <c r="U1002" s="5"/>
      <c r="V1002" s="5"/>
      <c r="W1002" s="5"/>
      <c r="X1002" s="5"/>
      <c r="Y1002" s="5"/>
    </row>
    <row r="1003" spans="1:25" ht="15.75" customHeight="1" x14ac:dyDescent="0.25">
      <c r="A1003" s="2">
        <v>43893</v>
      </c>
      <c r="B1003" s="3">
        <v>57492</v>
      </c>
      <c r="C1003" s="4" t="s">
        <v>24</v>
      </c>
      <c r="D1003" s="4" t="str">
        <f t="shared" si="24"/>
        <v>Strategy</v>
      </c>
      <c r="E1003" s="4" t="str">
        <f t="shared" si="25"/>
        <v>Intern</v>
      </c>
      <c r="F1003" s="13">
        <v>778</v>
      </c>
      <c r="G1003" s="13">
        <v>5</v>
      </c>
      <c r="H1003" s="13">
        <v>6</v>
      </c>
      <c r="I1003" s="2">
        <v>33754</v>
      </c>
      <c r="J1003" s="15">
        <v>732657</v>
      </c>
      <c r="K1003" s="4" t="s">
        <v>14</v>
      </c>
      <c r="L1003" s="27">
        <f t="shared" si="26"/>
        <v>1992</v>
      </c>
      <c r="M1003" s="27">
        <f t="shared" si="27"/>
        <v>3</v>
      </c>
      <c r="N1003" s="27">
        <f t="shared" ca="1" si="31"/>
        <v>34</v>
      </c>
      <c r="O1003" s="27" t="str" cm="1">
        <f t="array" ref="O1003">_xlfn.IFS($F1003&gt;=750,"Excellent",$F1003&gt;=700,"Good",$F1003&gt;=650,"Moderate",
$F1003&lt;650,"Risky"
)</f>
        <v>Excellent</v>
      </c>
      <c r="P1003" s="27" t="str" cm="1">
        <f t="array" ref="P1003">_xlfn.IFS(
AND(F1003&gt;=750,H1003&lt;=2),"Low Risk",
AND(F1003&gt;=700,H1003&lt;=5),"Medium Risk",
TRUE,"High Risk"
)</f>
        <v>High Risk</v>
      </c>
      <c r="Q1003" s="5"/>
      <c r="R1003" s="5"/>
      <c r="S1003" s="5"/>
      <c r="T1003" s="5"/>
      <c r="U1003" s="5"/>
      <c r="V1003" s="5"/>
      <c r="W1003" s="5"/>
      <c r="X1003" s="5"/>
      <c r="Y1003" s="5"/>
    </row>
    <row r="1004" spans="1:25" ht="15.75" customHeight="1" x14ac:dyDescent="0.25">
      <c r="A1004" s="2">
        <v>44149</v>
      </c>
      <c r="B1004" s="3">
        <v>36629</v>
      </c>
      <c r="C1004" s="4" t="s">
        <v>31</v>
      </c>
      <c r="D1004" s="4" t="str">
        <f t="shared" si="24"/>
        <v>Finance</v>
      </c>
      <c r="E1004" s="4" t="str">
        <f t="shared" si="25"/>
        <v>Intern</v>
      </c>
      <c r="F1004" s="13">
        <v>754</v>
      </c>
      <c r="G1004" s="13">
        <v>3</v>
      </c>
      <c r="H1004" s="13">
        <v>1</v>
      </c>
      <c r="I1004" s="2">
        <v>32068</v>
      </c>
      <c r="J1004" s="15">
        <v>768223</v>
      </c>
      <c r="K1004" s="4" t="s">
        <v>14</v>
      </c>
      <c r="L1004" s="27">
        <f t="shared" si="26"/>
        <v>1987</v>
      </c>
      <c r="M1004" s="27">
        <f t="shared" si="27"/>
        <v>11</v>
      </c>
      <c r="N1004" s="27">
        <f t="shared" ca="1" si="31"/>
        <v>39</v>
      </c>
      <c r="O1004" s="27" t="str" cm="1">
        <f t="array" ref="O1004">_xlfn.IFS($F1004&gt;=750,"Excellent",$F1004&gt;=700,"Good",$F1004&gt;=650,"Moderate",
$F1004&lt;650,"Risky"
)</f>
        <v>Excellent</v>
      </c>
      <c r="P1004" s="27" t="str" cm="1">
        <f t="array" ref="P1004">_xlfn.IFS(
AND(F1004&gt;=750,H1004&lt;=2),"Low Risk",
AND(F1004&gt;=700,H1004&lt;=5),"Medium Risk",
TRUE,"High Risk"
)</f>
        <v>Low Risk</v>
      </c>
      <c r="Q1004" s="5"/>
      <c r="R1004" s="5"/>
      <c r="S1004" s="5"/>
      <c r="T1004" s="5"/>
      <c r="U1004" s="5"/>
      <c r="V1004" s="5"/>
      <c r="W1004" s="5"/>
      <c r="X1004" s="5"/>
      <c r="Y1004" s="5"/>
    </row>
    <row r="1005" spans="1:25" ht="15.75" customHeight="1" x14ac:dyDescent="0.25">
      <c r="A1005" s="2">
        <v>44032</v>
      </c>
      <c r="B1005" s="3">
        <v>73789</v>
      </c>
      <c r="C1005" s="4" t="s">
        <v>22</v>
      </c>
      <c r="D1005" s="4" t="str">
        <f t="shared" si="24"/>
        <v>Strategy</v>
      </c>
      <c r="E1005" s="4" t="str">
        <f t="shared" si="25"/>
        <v>Executive</v>
      </c>
      <c r="F1005" s="13">
        <v>799</v>
      </c>
      <c r="G1005" s="13">
        <v>2</v>
      </c>
      <c r="H1005" s="13">
        <v>2</v>
      </c>
      <c r="I1005" s="2">
        <v>30692</v>
      </c>
      <c r="J1005" s="15">
        <v>918795</v>
      </c>
      <c r="K1005" s="4" t="s">
        <v>21</v>
      </c>
      <c r="L1005" s="27">
        <f t="shared" si="26"/>
        <v>1984</v>
      </c>
      <c r="M1005" s="27">
        <f t="shared" si="27"/>
        <v>7</v>
      </c>
      <c r="N1005" s="27">
        <f t="shared" ca="1" si="31"/>
        <v>42</v>
      </c>
      <c r="O1005" s="27" t="str" cm="1">
        <f t="array" ref="O1005">_xlfn.IFS($F1005&gt;=750,"Excellent",$F1005&gt;=700,"Good",$F1005&gt;=650,"Moderate",
$F1005&lt;650,"Risky"
)</f>
        <v>Excellent</v>
      </c>
      <c r="P1005" s="27" t="str" cm="1">
        <f t="array" ref="P1005">_xlfn.IFS(
AND(F1005&gt;=750,H1005&lt;=2),"Low Risk",
AND(F1005&gt;=700,H1005&lt;=5),"Medium Risk",
TRUE,"High Risk"
)</f>
        <v>Low Risk</v>
      </c>
      <c r="Q1005" s="5"/>
      <c r="R1005" s="5"/>
      <c r="S1005" s="5"/>
      <c r="T1005" s="5"/>
      <c r="U1005" s="5"/>
      <c r="V1005" s="5"/>
      <c r="W1005" s="5"/>
      <c r="X1005" s="5"/>
      <c r="Y1005" s="5"/>
    </row>
    <row r="1006" spans="1:25" ht="15.75" customHeight="1" x14ac:dyDescent="0.25">
      <c r="A1006" s="2">
        <v>44115</v>
      </c>
      <c r="B1006" s="3">
        <v>19295</v>
      </c>
      <c r="C1006" s="4" t="s">
        <v>31</v>
      </c>
      <c r="D1006" s="4" t="str">
        <f t="shared" si="24"/>
        <v>Finance</v>
      </c>
      <c r="E1006" s="4" t="str">
        <f t="shared" si="25"/>
        <v>Intern</v>
      </c>
      <c r="F1006" s="13">
        <v>740</v>
      </c>
      <c r="G1006" s="13">
        <v>5</v>
      </c>
      <c r="H1006" s="13">
        <v>5</v>
      </c>
      <c r="I1006" s="2">
        <v>32186</v>
      </c>
      <c r="J1006" s="15">
        <v>985779</v>
      </c>
      <c r="K1006" s="4" t="s">
        <v>18</v>
      </c>
      <c r="L1006" s="27">
        <f t="shared" si="26"/>
        <v>1988</v>
      </c>
      <c r="M1006" s="27">
        <f t="shared" si="27"/>
        <v>10</v>
      </c>
      <c r="N1006" s="27">
        <f t="shared" ca="1" si="31"/>
        <v>38</v>
      </c>
      <c r="O1006" s="27" t="str" cm="1">
        <f t="array" ref="O1006">_xlfn.IFS($F1006&gt;=750,"Excellent",$F1006&gt;=700,"Good",$F1006&gt;=650,"Moderate",
$F1006&lt;650,"Risky"
)</f>
        <v>Good</v>
      </c>
      <c r="P1006" s="27" t="str" cm="1">
        <f t="array" ref="P1006">_xlfn.IFS(
AND(F1006&gt;=750,H1006&lt;=2),"Low Risk",
AND(F1006&gt;=700,H1006&lt;=5),"Medium Risk",
TRUE,"High Risk"
)</f>
        <v>Medium Risk</v>
      </c>
      <c r="Q1006" s="5"/>
      <c r="R1006" s="5"/>
      <c r="S1006" s="5"/>
      <c r="T1006" s="5"/>
      <c r="U1006" s="5"/>
      <c r="V1006" s="5"/>
      <c r="W1006" s="5"/>
      <c r="X1006" s="5"/>
      <c r="Y1006" s="5"/>
    </row>
    <row r="1007" spans="1:25" ht="15.75" customHeight="1" x14ac:dyDescent="0.25">
      <c r="A1007" s="2">
        <v>43860</v>
      </c>
      <c r="B1007" s="3">
        <v>49386</v>
      </c>
      <c r="C1007" s="4" t="s">
        <v>33</v>
      </c>
      <c r="D1007" s="4" t="str">
        <f t="shared" si="24"/>
        <v>Sales</v>
      </c>
      <c r="E1007" s="4" t="str">
        <f t="shared" si="25"/>
        <v>Executive</v>
      </c>
      <c r="F1007" s="13">
        <v>757</v>
      </c>
      <c r="G1007" s="13">
        <v>1</v>
      </c>
      <c r="H1007" s="13">
        <v>1</v>
      </c>
      <c r="I1007" s="2">
        <v>29457</v>
      </c>
      <c r="J1007" s="15">
        <v>776038</v>
      </c>
      <c r="K1007" s="4" t="s">
        <v>21</v>
      </c>
      <c r="L1007" s="27">
        <f t="shared" si="26"/>
        <v>1980</v>
      </c>
      <c r="M1007" s="27">
        <f t="shared" si="27"/>
        <v>1</v>
      </c>
      <c r="N1007" s="27">
        <f t="shared" ca="1" si="31"/>
        <v>46</v>
      </c>
      <c r="O1007" s="27" t="str" cm="1">
        <f t="array" ref="O1007">_xlfn.IFS($F1007&gt;=750,"Excellent",$F1007&gt;=700,"Good",$F1007&gt;=650,"Moderate",
$F1007&lt;650,"Risky"
)</f>
        <v>Excellent</v>
      </c>
      <c r="P1007" s="27" t="str" cm="1">
        <f t="array" ref="P1007">_xlfn.IFS(
AND(F1007&gt;=750,H1007&lt;=2),"Low Risk",
AND(F1007&gt;=700,H1007&lt;=5),"Medium Risk",
TRUE,"High Risk"
)</f>
        <v>Low Risk</v>
      </c>
      <c r="Q1007" s="5"/>
      <c r="R1007" s="5"/>
      <c r="S1007" s="5"/>
      <c r="T1007" s="5"/>
      <c r="U1007" s="5"/>
      <c r="V1007" s="5"/>
      <c r="W1007" s="5"/>
      <c r="X1007" s="5"/>
      <c r="Y1007" s="5"/>
    </row>
    <row r="1008" spans="1:25" ht="15.75" customHeight="1" x14ac:dyDescent="0.25">
      <c r="A1008" s="2">
        <v>43844</v>
      </c>
      <c r="B1008" s="3">
        <v>61144</v>
      </c>
      <c r="C1008" s="4" t="s">
        <v>23</v>
      </c>
      <c r="D1008" s="4" t="str">
        <f t="shared" si="24"/>
        <v>Marketing</v>
      </c>
      <c r="E1008" s="4" t="str">
        <f t="shared" si="25"/>
        <v>Intern</v>
      </c>
      <c r="F1008" s="13">
        <v>752</v>
      </c>
      <c r="G1008" s="13">
        <v>5</v>
      </c>
      <c r="H1008" s="13">
        <v>3</v>
      </c>
      <c r="I1008" s="2">
        <v>30756</v>
      </c>
      <c r="J1008" s="15">
        <v>940912</v>
      </c>
      <c r="K1008" s="4" t="s">
        <v>18</v>
      </c>
      <c r="L1008" s="27">
        <f t="shared" si="26"/>
        <v>1984</v>
      </c>
      <c r="M1008" s="27">
        <f t="shared" si="27"/>
        <v>1</v>
      </c>
      <c r="N1008" s="27">
        <f t="shared" ca="1" si="31"/>
        <v>42</v>
      </c>
      <c r="O1008" s="27" t="str" cm="1">
        <f t="array" ref="O1008">_xlfn.IFS($F1008&gt;=750,"Excellent",$F1008&gt;=700,"Good",$F1008&gt;=650,"Moderate",
$F1008&lt;650,"Risky"
)</f>
        <v>Excellent</v>
      </c>
      <c r="P1008" s="27" t="str" cm="1">
        <f t="array" ref="P1008">_xlfn.IFS(
AND(F1008&gt;=750,H1008&lt;=2),"Low Risk",
AND(F1008&gt;=700,H1008&lt;=5),"Medium Risk",
TRUE,"High Risk"
)</f>
        <v>Medium Risk</v>
      </c>
      <c r="Q1008" s="5"/>
      <c r="R1008" s="5"/>
      <c r="S1008" s="5"/>
      <c r="T1008" s="5"/>
      <c r="U1008" s="5"/>
      <c r="V1008" s="5"/>
      <c r="W1008" s="5"/>
      <c r="X1008" s="5"/>
      <c r="Y1008" s="5"/>
    </row>
    <row r="1009" spans="1:25" ht="15.75" customHeight="1" x14ac:dyDescent="0.25">
      <c r="A1009" s="2">
        <v>44051</v>
      </c>
      <c r="B1009" s="3">
        <v>19566</v>
      </c>
      <c r="C1009" s="4" t="s">
        <v>26</v>
      </c>
      <c r="D1009" s="4" t="str">
        <f t="shared" si="24"/>
        <v>Strategy</v>
      </c>
      <c r="E1009" s="4" t="str">
        <f t="shared" si="25"/>
        <v>Manager</v>
      </c>
      <c r="F1009" s="13">
        <v>766</v>
      </c>
      <c r="G1009" s="13">
        <v>3</v>
      </c>
      <c r="H1009" s="13">
        <v>9</v>
      </c>
      <c r="I1009" s="2">
        <v>33830</v>
      </c>
      <c r="J1009" s="15">
        <v>618476</v>
      </c>
      <c r="K1009" s="4" t="s">
        <v>14</v>
      </c>
      <c r="L1009" s="27">
        <f t="shared" si="26"/>
        <v>1992</v>
      </c>
      <c r="M1009" s="27">
        <f t="shared" si="27"/>
        <v>8</v>
      </c>
      <c r="N1009" s="27">
        <f t="shared" ca="1" si="31"/>
        <v>34</v>
      </c>
      <c r="O1009" s="27" t="str" cm="1">
        <f t="array" ref="O1009">_xlfn.IFS($F1009&gt;=750,"Excellent",$F1009&gt;=700,"Good",$F1009&gt;=650,"Moderate",
$F1009&lt;650,"Risky"
)</f>
        <v>Excellent</v>
      </c>
      <c r="P1009" s="27" t="str" cm="1">
        <f t="array" ref="P1009">_xlfn.IFS(
AND(F1009&gt;=750,H1009&lt;=2),"Low Risk",
AND(F1009&gt;=700,H1009&lt;=5),"Medium Risk",
TRUE,"High Risk"
)</f>
        <v>High Risk</v>
      </c>
      <c r="Q1009" s="5"/>
      <c r="R1009" s="5"/>
      <c r="S1009" s="5"/>
      <c r="T1009" s="5"/>
      <c r="U1009" s="5"/>
      <c r="V1009" s="5"/>
      <c r="W1009" s="5"/>
      <c r="X1009" s="5"/>
      <c r="Y1009" s="5"/>
    </row>
    <row r="1010" spans="1:25" ht="15.75" customHeight="1" x14ac:dyDescent="0.25">
      <c r="A1010" s="2">
        <v>43986</v>
      </c>
      <c r="B1010" s="3">
        <v>11445</v>
      </c>
      <c r="C1010" s="4" t="s">
        <v>39</v>
      </c>
      <c r="D1010" s="4" t="str">
        <f t="shared" si="24"/>
        <v>Growth</v>
      </c>
      <c r="E1010" s="4" t="str">
        <f t="shared" si="25"/>
        <v>Executive</v>
      </c>
      <c r="F1010" s="13">
        <v>712</v>
      </c>
      <c r="G1010" s="13">
        <v>2</v>
      </c>
      <c r="H1010" s="13">
        <v>1</v>
      </c>
      <c r="I1010" s="2">
        <v>29288</v>
      </c>
      <c r="J1010" s="15">
        <v>687683</v>
      </c>
      <c r="K1010" s="4" t="s">
        <v>21</v>
      </c>
      <c r="L1010" s="27">
        <f t="shared" si="26"/>
        <v>1980</v>
      </c>
      <c r="M1010" s="27">
        <f t="shared" si="27"/>
        <v>6</v>
      </c>
      <c r="N1010" s="27">
        <f t="shared" ca="1" si="31"/>
        <v>46</v>
      </c>
      <c r="O1010" s="27" t="str" cm="1">
        <f t="array" ref="O1010">_xlfn.IFS($F1010&gt;=750,"Excellent",$F1010&gt;=700,"Good",$F1010&gt;=650,"Moderate",
$F1010&lt;650,"Risky"
)</f>
        <v>Good</v>
      </c>
      <c r="P1010" s="27" t="str" cm="1">
        <f t="array" ref="P1010">_xlfn.IFS(
AND(F1010&gt;=750,H1010&lt;=2),"Low Risk",
AND(F1010&gt;=700,H1010&lt;=5),"Medium Risk",
TRUE,"High Risk"
)</f>
        <v>Medium Risk</v>
      </c>
      <c r="Q1010" s="5"/>
      <c r="R1010" s="5"/>
      <c r="S1010" s="5"/>
      <c r="T1010" s="5"/>
      <c r="U1010" s="5"/>
      <c r="V1010" s="5"/>
      <c r="W1010" s="5"/>
      <c r="X1010" s="5"/>
      <c r="Y1010" s="5"/>
    </row>
    <row r="1011" spans="1:25" ht="15.75" customHeight="1" x14ac:dyDescent="0.25">
      <c r="A1011" s="2">
        <v>43884</v>
      </c>
      <c r="B1011" s="3">
        <v>20026</v>
      </c>
      <c r="C1011" s="4" t="s">
        <v>36</v>
      </c>
      <c r="D1011" s="4" t="str">
        <f t="shared" si="24"/>
        <v>Sales</v>
      </c>
      <c r="E1011" s="4" t="str">
        <f t="shared" si="25"/>
        <v>Intern</v>
      </c>
      <c r="F1011" s="13">
        <v>755</v>
      </c>
      <c r="G1011" s="13">
        <v>2</v>
      </c>
      <c r="H1011" s="13">
        <v>1</v>
      </c>
      <c r="I1011" s="2">
        <v>31583</v>
      </c>
      <c r="J1011" s="15">
        <v>609843</v>
      </c>
      <c r="K1011" s="4" t="s">
        <v>21</v>
      </c>
      <c r="L1011" s="27">
        <f t="shared" si="26"/>
        <v>1986</v>
      </c>
      <c r="M1011" s="27">
        <f t="shared" si="27"/>
        <v>2</v>
      </c>
      <c r="N1011" s="27">
        <f t="shared" ca="1" si="31"/>
        <v>40</v>
      </c>
      <c r="O1011" s="27" t="str" cm="1">
        <f t="array" ref="O1011">_xlfn.IFS($F1011&gt;=750,"Excellent",$F1011&gt;=700,"Good",$F1011&gt;=650,"Moderate",
$F1011&lt;650,"Risky"
)</f>
        <v>Excellent</v>
      </c>
      <c r="P1011" s="27" t="str" cm="1">
        <f t="array" ref="P1011">_xlfn.IFS(
AND(F1011&gt;=750,H1011&lt;=2),"Low Risk",
AND(F1011&gt;=700,H1011&lt;=5),"Medium Risk",
TRUE,"High Risk"
)</f>
        <v>Low Risk</v>
      </c>
      <c r="Q1011" s="5"/>
      <c r="R1011" s="5"/>
      <c r="S1011" s="5"/>
      <c r="T1011" s="5"/>
      <c r="U1011" s="5"/>
      <c r="V1011" s="5"/>
      <c r="W1011" s="5"/>
      <c r="X1011" s="5"/>
      <c r="Y1011" s="5"/>
    </row>
    <row r="1012" spans="1:25" ht="15.75" customHeight="1" x14ac:dyDescent="0.25">
      <c r="A1012" s="2">
        <v>43837</v>
      </c>
      <c r="B1012" s="3">
        <v>35201</v>
      </c>
      <c r="C1012" s="4" t="s">
        <v>39</v>
      </c>
      <c r="D1012" s="4" t="str">
        <f t="shared" si="24"/>
        <v>Growth</v>
      </c>
      <c r="E1012" s="4" t="str">
        <f t="shared" si="25"/>
        <v>Executive</v>
      </c>
      <c r="F1012" s="13">
        <v>799</v>
      </c>
      <c r="G1012" s="13">
        <v>5</v>
      </c>
      <c r="H1012" s="13">
        <v>4</v>
      </c>
      <c r="I1012" s="2">
        <v>33109</v>
      </c>
      <c r="J1012" s="15">
        <v>837532</v>
      </c>
      <c r="K1012" s="4" t="s">
        <v>14</v>
      </c>
      <c r="L1012" s="27">
        <f t="shared" si="26"/>
        <v>1990</v>
      </c>
      <c r="M1012" s="27">
        <f t="shared" si="27"/>
        <v>1</v>
      </c>
      <c r="N1012" s="27">
        <f t="shared" ca="1" si="31"/>
        <v>36</v>
      </c>
      <c r="O1012" s="27" t="str" cm="1">
        <f t="array" ref="O1012">_xlfn.IFS($F1012&gt;=750,"Excellent",$F1012&gt;=700,"Good",$F1012&gt;=650,"Moderate",
$F1012&lt;650,"Risky"
)</f>
        <v>Excellent</v>
      </c>
      <c r="P1012" s="27" t="str" cm="1">
        <f t="array" ref="P1012">_xlfn.IFS(
AND(F1012&gt;=750,H1012&lt;=2),"Low Risk",
AND(F1012&gt;=700,H1012&lt;=5),"Medium Risk",
TRUE,"High Risk"
)</f>
        <v>Medium Risk</v>
      </c>
      <c r="Q1012" s="5"/>
      <c r="R1012" s="5"/>
      <c r="S1012" s="5"/>
      <c r="T1012" s="5"/>
      <c r="U1012" s="5"/>
      <c r="V1012" s="5"/>
      <c r="W1012" s="5"/>
      <c r="X1012" s="5"/>
      <c r="Y1012" s="5"/>
    </row>
    <row r="1013" spans="1:25" ht="15.75" customHeight="1" x14ac:dyDescent="0.25">
      <c r="A1013" s="2">
        <v>43922</v>
      </c>
      <c r="B1013" s="3">
        <v>43002</v>
      </c>
      <c r="C1013" s="4" t="s">
        <v>34</v>
      </c>
      <c r="D1013" s="4" t="str">
        <f t="shared" si="24"/>
        <v>Finance</v>
      </c>
      <c r="E1013" s="4" t="str">
        <f t="shared" si="25"/>
        <v>Director</v>
      </c>
      <c r="F1013" s="13">
        <v>733</v>
      </c>
      <c r="G1013" s="13">
        <v>2</v>
      </c>
      <c r="H1013" s="13">
        <v>8</v>
      </c>
      <c r="I1013" s="2">
        <v>29440</v>
      </c>
      <c r="J1013" s="15">
        <v>546755</v>
      </c>
      <c r="K1013" s="4" t="s">
        <v>21</v>
      </c>
      <c r="L1013" s="27">
        <f t="shared" si="26"/>
        <v>1980</v>
      </c>
      <c r="M1013" s="27">
        <f t="shared" si="27"/>
        <v>4</v>
      </c>
      <c r="N1013" s="27">
        <f t="shared" ca="1" si="31"/>
        <v>46</v>
      </c>
      <c r="O1013" s="27" t="str" cm="1">
        <f t="array" ref="O1013">_xlfn.IFS($F1013&gt;=750,"Excellent",$F1013&gt;=700,"Good",$F1013&gt;=650,"Moderate",
$F1013&lt;650,"Risky"
)</f>
        <v>Good</v>
      </c>
      <c r="P1013" s="27" t="str" cm="1">
        <f t="array" ref="P1013">_xlfn.IFS(
AND(F1013&gt;=750,H1013&lt;=2),"Low Risk",
AND(F1013&gt;=700,H1013&lt;=5),"Medium Risk",
TRUE,"High Risk"
)</f>
        <v>High Risk</v>
      </c>
      <c r="Q1013" s="5"/>
      <c r="R1013" s="5"/>
      <c r="S1013" s="5"/>
      <c r="T1013" s="5"/>
      <c r="U1013" s="5"/>
      <c r="V1013" s="5"/>
      <c r="W1013" s="5"/>
      <c r="X1013" s="5"/>
      <c r="Y1013" s="5"/>
    </row>
    <row r="1014" spans="1:25" ht="15.75" customHeight="1" x14ac:dyDescent="0.25">
      <c r="A1014" s="2">
        <v>43995</v>
      </c>
      <c r="B1014" s="3">
        <v>49971</v>
      </c>
      <c r="C1014" s="4" t="s">
        <v>26</v>
      </c>
      <c r="D1014" s="4" t="str">
        <f t="shared" si="24"/>
        <v>Strategy</v>
      </c>
      <c r="E1014" s="4" t="str">
        <f t="shared" si="25"/>
        <v>Manager</v>
      </c>
      <c r="F1014" s="13">
        <v>760</v>
      </c>
      <c r="G1014" s="13">
        <v>5</v>
      </c>
      <c r="H1014" s="13">
        <v>2</v>
      </c>
      <c r="I1014" s="2">
        <v>30520</v>
      </c>
      <c r="J1014" s="15">
        <v>899368</v>
      </c>
      <c r="K1014" s="4" t="s">
        <v>21</v>
      </c>
      <c r="L1014" s="27">
        <f t="shared" si="26"/>
        <v>1983</v>
      </c>
      <c r="M1014" s="27">
        <f t="shared" si="27"/>
        <v>6</v>
      </c>
      <c r="N1014" s="27">
        <f t="shared" ca="1" si="31"/>
        <v>43</v>
      </c>
      <c r="O1014" s="27" t="str" cm="1">
        <f t="array" ref="O1014">_xlfn.IFS($F1014&gt;=750,"Excellent",$F1014&gt;=700,"Good",$F1014&gt;=650,"Moderate",
$F1014&lt;650,"Risky"
)</f>
        <v>Excellent</v>
      </c>
      <c r="P1014" s="27" t="str" cm="1">
        <f t="array" ref="P1014">_xlfn.IFS(
AND(F1014&gt;=750,H1014&lt;=2),"Low Risk",
AND(F1014&gt;=700,H1014&lt;=5),"Medium Risk",
TRUE,"High Risk"
)</f>
        <v>Low Risk</v>
      </c>
      <c r="Q1014" s="5"/>
      <c r="R1014" s="5"/>
      <c r="S1014" s="5"/>
      <c r="T1014" s="5"/>
      <c r="U1014" s="5"/>
      <c r="V1014" s="5"/>
      <c r="W1014" s="5"/>
      <c r="X1014" s="5"/>
      <c r="Y1014" s="5"/>
    </row>
    <row r="1015" spans="1:25" ht="15.75" customHeight="1" x14ac:dyDescent="0.25">
      <c r="A1015" s="2">
        <v>44028</v>
      </c>
      <c r="B1015" s="3">
        <v>36343</v>
      </c>
      <c r="C1015" s="4" t="s">
        <v>24</v>
      </c>
      <c r="D1015" s="4" t="str">
        <f t="shared" si="24"/>
        <v>Strategy</v>
      </c>
      <c r="E1015" s="4" t="str">
        <f t="shared" si="25"/>
        <v>Intern</v>
      </c>
      <c r="F1015" s="13">
        <v>730</v>
      </c>
      <c r="G1015" s="13">
        <v>3</v>
      </c>
      <c r="H1015" s="13">
        <v>10</v>
      </c>
      <c r="I1015" s="2">
        <v>31441</v>
      </c>
      <c r="J1015" s="15">
        <v>824547</v>
      </c>
      <c r="K1015" s="4" t="s">
        <v>14</v>
      </c>
      <c r="L1015" s="27">
        <f t="shared" si="26"/>
        <v>1986</v>
      </c>
      <c r="M1015" s="27">
        <f t="shared" si="27"/>
        <v>7</v>
      </c>
      <c r="N1015" s="27">
        <f t="shared" ca="1" si="31"/>
        <v>40</v>
      </c>
      <c r="O1015" s="27" t="str" cm="1">
        <f t="array" ref="O1015">_xlfn.IFS($F1015&gt;=750,"Excellent",$F1015&gt;=700,"Good",$F1015&gt;=650,"Moderate",
$F1015&lt;650,"Risky"
)</f>
        <v>Good</v>
      </c>
      <c r="P1015" s="27" t="str" cm="1">
        <f t="array" ref="P1015">_xlfn.IFS(
AND(F1015&gt;=750,H1015&lt;=2),"Low Risk",
AND(F1015&gt;=700,H1015&lt;=5),"Medium Risk",
TRUE,"High Risk"
)</f>
        <v>High Risk</v>
      </c>
      <c r="Q1015" s="5"/>
      <c r="R1015" s="5"/>
      <c r="S1015" s="5"/>
      <c r="T1015" s="5"/>
      <c r="U1015" s="5"/>
      <c r="V1015" s="5"/>
      <c r="W1015" s="5"/>
      <c r="X1015" s="5"/>
      <c r="Y1015" s="5"/>
    </row>
    <row r="1016" spans="1:25" ht="15.75" customHeight="1" x14ac:dyDescent="0.25">
      <c r="A1016" s="2">
        <v>43973</v>
      </c>
      <c r="B1016" s="3">
        <v>95876</v>
      </c>
      <c r="C1016" s="4" t="s">
        <v>29</v>
      </c>
      <c r="D1016" s="4" t="str">
        <f t="shared" si="24"/>
        <v>Sales</v>
      </c>
      <c r="E1016" s="4" t="str">
        <f t="shared" si="25"/>
        <v>Director</v>
      </c>
      <c r="F1016" s="13">
        <v>731</v>
      </c>
      <c r="G1016" s="13">
        <v>4</v>
      </c>
      <c r="H1016" s="13">
        <v>10</v>
      </c>
      <c r="I1016" s="2">
        <v>30662</v>
      </c>
      <c r="J1016" s="15">
        <v>850116</v>
      </c>
      <c r="K1016" s="4" t="s">
        <v>21</v>
      </c>
      <c r="L1016" s="27">
        <f t="shared" si="26"/>
        <v>1983</v>
      </c>
      <c r="M1016" s="27">
        <f t="shared" si="27"/>
        <v>5</v>
      </c>
      <c r="N1016" s="27">
        <f t="shared" ca="1" si="31"/>
        <v>43</v>
      </c>
      <c r="O1016" s="27" t="str" cm="1">
        <f t="array" ref="O1016">_xlfn.IFS($F1016&gt;=750,"Excellent",$F1016&gt;=700,"Good",$F1016&gt;=650,"Moderate",
$F1016&lt;650,"Risky"
)</f>
        <v>Good</v>
      </c>
      <c r="P1016" s="27" t="str" cm="1">
        <f t="array" ref="P1016">_xlfn.IFS(
AND(F1016&gt;=750,H1016&lt;=2),"Low Risk",
AND(F1016&gt;=700,H1016&lt;=5),"Medium Risk",
TRUE,"High Risk"
)</f>
        <v>High Risk</v>
      </c>
      <c r="Q1016" s="5"/>
      <c r="R1016" s="5"/>
      <c r="S1016" s="5"/>
      <c r="T1016" s="5"/>
      <c r="U1016" s="5"/>
      <c r="V1016" s="5"/>
      <c r="W1016" s="5"/>
      <c r="X1016" s="5"/>
      <c r="Y1016" s="5"/>
    </row>
    <row r="1017" spans="1:25" ht="15.75" customHeight="1" x14ac:dyDescent="0.25">
      <c r="A1017" s="2">
        <v>44124</v>
      </c>
      <c r="B1017" s="3">
        <v>73856</v>
      </c>
      <c r="C1017" s="4" t="s">
        <v>28</v>
      </c>
      <c r="D1017" s="4" t="str">
        <f t="shared" si="24"/>
        <v>Growth</v>
      </c>
      <c r="E1017" s="4" t="str">
        <f t="shared" si="25"/>
        <v>Director</v>
      </c>
      <c r="F1017" s="13">
        <v>745</v>
      </c>
      <c r="G1017" s="13">
        <v>3</v>
      </c>
      <c r="H1017" s="13">
        <v>1</v>
      </c>
      <c r="I1017" s="2">
        <v>30178</v>
      </c>
      <c r="J1017" s="15">
        <v>582643</v>
      </c>
      <c r="K1017" s="4" t="s">
        <v>18</v>
      </c>
      <c r="L1017" s="27">
        <f t="shared" si="26"/>
        <v>1982</v>
      </c>
      <c r="M1017" s="27">
        <f t="shared" si="27"/>
        <v>10</v>
      </c>
      <c r="N1017" s="27">
        <f t="shared" ca="1" si="31"/>
        <v>44</v>
      </c>
      <c r="O1017" s="27" t="str" cm="1">
        <f t="array" ref="O1017">_xlfn.IFS($F1017&gt;=750,"Excellent",$F1017&gt;=700,"Good",$F1017&gt;=650,"Moderate",
$F1017&lt;650,"Risky"
)</f>
        <v>Good</v>
      </c>
      <c r="P1017" s="27" t="str" cm="1">
        <f t="array" ref="P1017">_xlfn.IFS(
AND(F1017&gt;=750,H1017&lt;=2),"Low Risk",
AND(F1017&gt;=700,H1017&lt;=5),"Medium Risk",
TRUE,"High Risk"
)</f>
        <v>Medium Risk</v>
      </c>
      <c r="Q1017" s="5"/>
      <c r="R1017" s="5"/>
      <c r="S1017" s="5"/>
      <c r="T1017" s="5"/>
      <c r="U1017" s="5"/>
      <c r="V1017" s="5"/>
      <c r="W1017" s="5"/>
      <c r="X1017" s="5"/>
      <c r="Y1017" s="5"/>
    </row>
    <row r="1018" spans="1:25" ht="15.75" customHeight="1" x14ac:dyDescent="0.25">
      <c r="A1018" s="2">
        <v>43860</v>
      </c>
      <c r="B1018" s="3">
        <v>71244</v>
      </c>
      <c r="C1018" s="4" t="s">
        <v>20</v>
      </c>
      <c r="D1018" s="4" t="str">
        <f t="shared" si="24"/>
        <v>Operation</v>
      </c>
      <c r="E1018" s="4" t="str">
        <f t="shared" si="25"/>
        <v>Manager</v>
      </c>
      <c r="F1018" s="13">
        <v>700</v>
      </c>
      <c r="G1018" s="13">
        <v>3</v>
      </c>
      <c r="H1018" s="13">
        <v>2</v>
      </c>
      <c r="I1018" s="2">
        <v>31685</v>
      </c>
      <c r="J1018" s="15">
        <v>516827</v>
      </c>
      <c r="K1018" s="4" t="s">
        <v>18</v>
      </c>
      <c r="L1018" s="27">
        <f t="shared" si="26"/>
        <v>1986</v>
      </c>
      <c r="M1018" s="27">
        <f t="shared" si="27"/>
        <v>1</v>
      </c>
      <c r="N1018" s="27">
        <f t="shared" ca="1" si="31"/>
        <v>40</v>
      </c>
      <c r="O1018" s="27" t="str" cm="1">
        <f t="array" ref="O1018">_xlfn.IFS($F1018&gt;=750,"Excellent",$F1018&gt;=700,"Good",$F1018&gt;=650,"Moderate",
$F1018&lt;650,"Risky"
)</f>
        <v>Good</v>
      </c>
      <c r="P1018" s="27" t="str" cm="1">
        <f t="array" ref="P1018">_xlfn.IFS(
AND(F1018&gt;=750,H1018&lt;=2),"Low Risk",
AND(F1018&gt;=700,H1018&lt;=5),"Medium Risk",
TRUE,"High Risk"
)</f>
        <v>Medium Risk</v>
      </c>
      <c r="Q1018" s="5"/>
      <c r="R1018" s="5"/>
      <c r="S1018" s="5"/>
      <c r="T1018" s="5"/>
      <c r="U1018" s="5"/>
      <c r="V1018" s="5"/>
      <c r="W1018" s="5"/>
      <c r="X1018" s="5"/>
      <c r="Y1018" s="5"/>
    </row>
    <row r="1019" spans="1:25" ht="15.75" customHeight="1" x14ac:dyDescent="0.25">
      <c r="A1019" s="2">
        <v>43973</v>
      </c>
      <c r="B1019" s="3">
        <v>52836</v>
      </c>
      <c r="C1019" s="4" t="s">
        <v>19</v>
      </c>
      <c r="D1019" s="4" t="str">
        <f t="shared" si="24"/>
        <v>Marketing</v>
      </c>
      <c r="E1019" s="4" t="str">
        <f t="shared" si="25"/>
        <v>Manager</v>
      </c>
      <c r="F1019" s="13">
        <v>738</v>
      </c>
      <c r="G1019" s="13">
        <v>1</v>
      </c>
      <c r="H1019" s="13">
        <v>10</v>
      </c>
      <c r="I1019" s="2">
        <v>31648</v>
      </c>
      <c r="J1019" s="15">
        <v>957585</v>
      </c>
      <c r="K1019" s="4" t="s">
        <v>14</v>
      </c>
      <c r="L1019" s="27">
        <f t="shared" si="26"/>
        <v>1986</v>
      </c>
      <c r="M1019" s="27">
        <f t="shared" si="27"/>
        <v>5</v>
      </c>
      <c r="N1019" s="27">
        <f t="shared" ca="1" si="31"/>
        <v>40</v>
      </c>
      <c r="O1019" s="27" t="str" cm="1">
        <f t="array" ref="O1019">_xlfn.IFS($F1019&gt;=750,"Excellent",$F1019&gt;=700,"Good",$F1019&gt;=650,"Moderate",
$F1019&lt;650,"Risky"
)</f>
        <v>Good</v>
      </c>
      <c r="P1019" s="27" t="str" cm="1">
        <f t="array" ref="P1019">_xlfn.IFS(
AND(F1019&gt;=750,H1019&lt;=2),"Low Risk",
AND(F1019&gt;=700,H1019&lt;=5),"Medium Risk",
TRUE,"High Risk"
)</f>
        <v>High Risk</v>
      </c>
      <c r="Q1019" s="5"/>
      <c r="R1019" s="5"/>
      <c r="S1019" s="5"/>
      <c r="T1019" s="5"/>
      <c r="U1019" s="5"/>
      <c r="V1019" s="5"/>
      <c r="W1019" s="5"/>
      <c r="X1019" s="5"/>
      <c r="Y1019" s="5"/>
    </row>
    <row r="1020" spans="1:25" ht="15.75" customHeight="1" x14ac:dyDescent="0.25">
      <c r="A1020" s="2">
        <v>43931</v>
      </c>
      <c r="B1020" s="3">
        <v>59488</v>
      </c>
      <c r="C1020" s="4" t="s">
        <v>28</v>
      </c>
      <c r="D1020" s="4" t="str">
        <f t="shared" si="24"/>
        <v>Growth</v>
      </c>
      <c r="E1020" s="4" t="str">
        <f t="shared" si="25"/>
        <v>Director</v>
      </c>
      <c r="F1020" s="13">
        <v>748</v>
      </c>
      <c r="G1020" s="13">
        <v>5</v>
      </c>
      <c r="H1020" s="13">
        <v>7</v>
      </c>
      <c r="I1020" s="2">
        <v>30035</v>
      </c>
      <c r="J1020" s="15">
        <v>611961</v>
      </c>
      <c r="K1020" s="4" t="s">
        <v>21</v>
      </c>
      <c r="L1020" s="27">
        <f t="shared" si="26"/>
        <v>1982</v>
      </c>
      <c r="M1020" s="27">
        <f t="shared" si="27"/>
        <v>4</v>
      </c>
      <c r="N1020" s="27">
        <f t="shared" ca="1" si="31"/>
        <v>44</v>
      </c>
      <c r="O1020" s="27" t="str" cm="1">
        <f t="array" ref="O1020">_xlfn.IFS($F1020&gt;=750,"Excellent",$F1020&gt;=700,"Good",$F1020&gt;=650,"Moderate",
$F1020&lt;650,"Risky"
)</f>
        <v>Good</v>
      </c>
      <c r="P1020" s="27" t="str" cm="1">
        <f t="array" ref="P1020">_xlfn.IFS(
AND(F1020&gt;=750,H1020&lt;=2),"Low Risk",
AND(F1020&gt;=700,H1020&lt;=5),"Medium Risk",
TRUE,"High Risk"
)</f>
        <v>High Risk</v>
      </c>
      <c r="Q1020" s="5"/>
      <c r="R1020" s="5"/>
      <c r="S1020" s="5"/>
      <c r="T1020" s="5"/>
      <c r="U1020" s="5"/>
      <c r="V1020" s="5"/>
      <c r="W1020" s="5"/>
      <c r="X1020" s="5"/>
      <c r="Y1020" s="5"/>
    </row>
    <row r="1021" spans="1:25" ht="15.75" customHeight="1" x14ac:dyDescent="0.25">
      <c r="A1021" s="2">
        <v>44126</v>
      </c>
      <c r="B1021" s="3">
        <v>45960</v>
      </c>
      <c r="C1021" s="4" t="s">
        <v>17</v>
      </c>
      <c r="D1021" s="4" t="str">
        <f t="shared" si="24"/>
        <v>Growth</v>
      </c>
      <c r="E1021" s="4" t="str">
        <f t="shared" si="25"/>
        <v>Manager</v>
      </c>
      <c r="F1021" s="13">
        <v>725</v>
      </c>
      <c r="G1021" s="13">
        <v>2</v>
      </c>
      <c r="H1021" s="13">
        <v>4</v>
      </c>
      <c r="I1021" s="2">
        <v>30348</v>
      </c>
      <c r="J1021" s="15">
        <v>793273</v>
      </c>
      <c r="K1021" s="4" t="s">
        <v>14</v>
      </c>
      <c r="L1021" s="27">
        <f t="shared" si="26"/>
        <v>1983</v>
      </c>
      <c r="M1021" s="27">
        <f t="shared" si="27"/>
        <v>10</v>
      </c>
      <c r="N1021" s="27">
        <f t="shared" ca="1" si="31"/>
        <v>43</v>
      </c>
      <c r="O1021" s="27" t="str" cm="1">
        <f t="array" ref="O1021">_xlfn.IFS($F1021&gt;=750,"Excellent",$F1021&gt;=700,"Good",$F1021&gt;=650,"Moderate",
$F1021&lt;650,"Risky"
)</f>
        <v>Good</v>
      </c>
      <c r="P1021" s="27" t="str" cm="1">
        <f t="array" ref="P1021">_xlfn.IFS(
AND(F1021&gt;=750,H1021&lt;=2),"Low Risk",
AND(F1021&gt;=700,H1021&lt;=5),"Medium Risk",
TRUE,"High Risk"
)</f>
        <v>Medium Risk</v>
      </c>
      <c r="Q1021" s="5"/>
      <c r="R1021" s="5"/>
      <c r="S1021" s="5"/>
      <c r="T1021" s="5"/>
      <c r="U1021" s="5"/>
      <c r="V1021" s="5"/>
      <c r="W1021" s="5"/>
      <c r="X1021" s="5"/>
      <c r="Y1021" s="5"/>
    </row>
    <row r="1022" spans="1:25" ht="15.75" customHeight="1" x14ac:dyDescent="0.25">
      <c r="A1022" s="2">
        <v>43894</v>
      </c>
      <c r="B1022" s="3">
        <v>33980</v>
      </c>
      <c r="C1022" s="4" t="s">
        <v>32</v>
      </c>
      <c r="D1022" s="4" t="str">
        <f t="shared" ref="D1022:D1096" si="32">TRIM(LEFT(C1022,FIND("-",C1022,1)-1))</f>
        <v>Finance</v>
      </c>
      <c r="E1022" s="4" t="str">
        <f t="shared" ref="E1022:E1096" si="33">TRIM(RIGHT(C1022,LEN(C1022)-(FIND("-",C1022,1))))</f>
        <v>Executive</v>
      </c>
      <c r="F1022" s="13">
        <v>743</v>
      </c>
      <c r="G1022" s="13">
        <v>1</v>
      </c>
      <c r="H1022" s="13">
        <v>4</v>
      </c>
      <c r="I1022" s="2">
        <v>32426</v>
      </c>
      <c r="J1022" s="15">
        <v>631678</v>
      </c>
      <c r="K1022" s="4" t="s">
        <v>21</v>
      </c>
      <c r="L1022" s="27">
        <f t="shared" ref="L1022:L1096" si="34">YEAR(I1022)</f>
        <v>1988</v>
      </c>
      <c r="M1022" s="27">
        <f t="shared" ref="M1022:M1096" si="35">MONTH(A1022)</f>
        <v>3</v>
      </c>
      <c r="N1022" s="27">
        <f t="shared" ca="1" si="31"/>
        <v>38</v>
      </c>
      <c r="O1022" s="27" t="str" cm="1">
        <f t="array" ref="O1022">_xlfn.IFS($F1022&gt;=750,"Excellent",$F1022&gt;=700,"Good",$F1022&gt;=650,"Moderate",
$F1022&lt;650,"Risky"
)</f>
        <v>Good</v>
      </c>
      <c r="P1022" s="27" t="str" cm="1">
        <f t="array" ref="P1022">_xlfn.IFS(
AND(F1022&gt;=750,H1022&lt;=2),"Low Risk",
AND(F1022&gt;=700,H1022&lt;=5),"Medium Risk",
TRUE,"High Risk"
)</f>
        <v>Medium Risk</v>
      </c>
      <c r="Q1022" s="5"/>
      <c r="R1022" s="5"/>
      <c r="S1022" s="5"/>
      <c r="T1022" s="5"/>
      <c r="U1022" s="5"/>
      <c r="V1022" s="5"/>
      <c r="W1022" s="5"/>
      <c r="X1022" s="5"/>
      <c r="Y1022" s="5"/>
    </row>
    <row r="1023" spans="1:25" ht="15.75" customHeight="1" x14ac:dyDescent="0.25">
      <c r="A1023" s="2">
        <v>44113</v>
      </c>
      <c r="B1023" s="3">
        <v>75088</v>
      </c>
      <c r="C1023" s="4" t="s">
        <v>19</v>
      </c>
      <c r="D1023" s="4" t="str">
        <f t="shared" si="32"/>
        <v>Marketing</v>
      </c>
      <c r="E1023" s="4" t="str">
        <f t="shared" si="33"/>
        <v>Manager</v>
      </c>
      <c r="F1023" s="13">
        <v>730</v>
      </c>
      <c r="G1023" s="13">
        <v>3</v>
      </c>
      <c r="H1023" s="13">
        <v>4</v>
      </c>
      <c r="I1023" s="2">
        <v>33944</v>
      </c>
      <c r="J1023" s="15">
        <v>537568</v>
      </c>
      <c r="K1023" s="4" t="s">
        <v>18</v>
      </c>
      <c r="L1023" s="27">
        <f t="shared" si="34"/>
        <v>1992</v>
      </c>
      <c r="M1023" s="27">
        <f t="shared" si="35"/>
        <v>10</v>
      </c>
      <c r="N1023" s="27">
        <f t="shared" ca="1" si="31"/>
        <v>34</v>
      </c>
      <c r="O1023" s="27" t="str" cm="1">
        <f t="array" ref="O1023">_xlfn.IFS($F1023&gt;=750,"Excellent",$F1023&gt;=700,"Good",$F1023&gt;=650,"Moderate",
$F1023&lt;650,"Risky"
)</f>
        <v>Good</v>
      </c>
      <c r="P1023" s="27" t="str" cm="1">
        <f t="array" ref="P1023">_xlfn.IFS(
AND(F1023&gt;=750,H1023&lt;=2),"Low Risk",
AND(F1023&gt;=700,H1023&lt;=5),"Medium Risk",
TRUE,"High Risk"
)</f>
        <v>Medium Risk</v>
      </c>
      <c r="Q1023" s="5"/>
      <c r="R1023" s="5"/>
      <c r="S1023" s="5"/>
      <c r="T1023" s="5"/>
      <c r="U1023" s="5"/>
      <c r="V1023" s="5"/>
      <c r="W1023" s="5"/>
      <c r="X1023" s="5"/>
      <c r="Y1023" s="5"/>
    </row>
    <row r="1024" spans="1:25" ht="15.75" customHeight="1" x14ac:dyDescent="0.25">
      <c r="A1024" s="2">
        <v>44134</v>
      </c>
      <c r="B1024" s="3">
        <v>39103</v>
      </c>
      <c r="C1024" s="4" t="s">
        <v>32</v>
      </c>
      <c r="D1024" s="4" t="str">
        <f t="shared" si="32"/>
        <v>Finance</v>
      </c>
      <c r="E1024" s="4" t="str">
        <f t="shared" si="33"/>
        <v>Executive</v>
      </c>
      <c r="F1024" s="13">
        <v>711</v>
      </c>
      <c r="G1024" s="13">
        <v>5</v>
      </c>
      <c r="H1024" s="13">
        <v>3</v>
      </c>
      <c r="I1024" s="2">
        <v>30925</v>
      </c>
      <c r="J1024" s="15">
        <v>777747</v>
      </c>
      <c r="K1024" s="4" t="s">
        <v>21</v>
      </c>
      <c r="L1024" s="27">
        <f t="shared" si="34"/>
        <v>1984</v>
      </c>
      <c r="M1024" s="27">
        <f t="shared" si="35"/>
        <v>10</v>
      </c>
      <c r="N1024" s="27">
        <f t="shared" ca="1" si="31"/>
        <v>42</v>
      </c>
      <c r="O1024" s="27" t="str" cm="1">
        <f t="array" ref="O1024">_xlfn.IFS($F1024&gt;=750,"Excellent",$F1024&gt;=700,"Good",$F1024&gt;=650,"Moderate",
$F1024&lt;650,"Risky"
)</f>
        <v>Good</v>
      </c>
      <c r="P1024" s="27" t="str" cm="1">
        <f t="array" ref="P1024">_xlfn.IFS(
AND(F1024&gt;=750,H1024&lt;=2),"Low Risk",
AND(F1024&gt;=700,H1024&lt;=5),"Medium Risk",
TRUE,"High Risk"
)</f>
        <v>Medium Risk</v>
      </c>
      <c r="Q1024" s="5"/>
      <c r="R1024" s="5"/>
      <c r="S1024" s="5"/>
      <c r="T1024" s="5"/>
      <c r="U1024" s="5"/>
      <c r="V1024" s="5"/>
      <c r="W1024" s="5"/>
      <c r="X1024" s="5"/>
      <c r="Y1024" s="5"/>
    </row>
    <row r="1025" spans="1:25" ht="15.75" customHeight="1" x14ac:dyDescent="0.25">
      <c r="A1025" s="2">
        <v>43878</v>
      </c>
      <c r="B1025" s="3">
        <v>87455</v>
      </c>
      <c r="C1025" s="4" t="s">
        <v>25</v>
      </c>
      <c r="D1025" s="4" t="str">
        <f t="shared" si="32"/>
        <v>Sales</v>
      </c>
      <c r="E1025" s="4" t="str">
        <f t="shared" si="33"/>
        <v>Manager</v>
      </c>
      <c r="F1025" s="13">
        <v>703</v>
      </c>
      <c r="G1025" s="13">
        <v>2</v>
      </c>
      <c r="H1025" s="13">
        <v>10</v>
      </c>
      <c r="I1025" s="2">
        <v>34649</v>
      </c>
      <c r="J1025" s="15">
        <v>906813</v>
      </c>
      <c r="K1025" s="4" t="s">
        <v>14</v>
      </c>
      <c r="L1025" s="27">
        <f t="shared" si="34"/>
        <v>1994</v>
      </c>
      <c r="M1025" s="27">
        <f t="shared" si="35"/>
        <v>2</v>
      </c>
      <c r="N1025" s="27">
        <f t="shared" ca="1" si="31"/>
        <v>32</v>
      </c>
      <c r="O1025" s="27" t="str" cm="1">
        <f t="array" ref="O1025">_xlfn.IFS($F1025&gt;=750,"Excellent",$F1025&gt;=700,"Good",$F1025&gt;=650,"Moderate",
$F1025&lt;650,"Risky"
)</f>
        <v>Good</v>
      </c>
      <c r="P1025" s="27" t="str" cm="1">
        <f t="array" ref="P1025">_xlfn.IFS(
AND(F1025&gt;=750,H1025&lt;=2),"Low Risk",
AND(F1025&gt;=700,H1025&lt;=5),"Medium Risk",
TRUE,"High Risk"
)</f>
        <v>High Risk</v>
      </c>
      <c r="Q1025" s="5"/>
      <c r="R1025" s="5"/>
      <c r="S1025" s="5"/>
      <c r="T1025" s="5"/>
      <c r="U1025" s="5"/>
      <c r="V1025" s="5"/>
      <c r="W1025" s="5"/>
      <c r="X1025" s="5"/>
      <c r="Y1025" s="5"/>
    </row>
    <row r="1026" spans="1:25" ht="15.75" customHeight="1" x14ac:dyDescent="0.25">
      <c r="A1026" s="2">
        <v>43838</v>
      </c>
      <c r="B1026" s="3">
        <v>96599</v>
      </c>
      <c r="C1026" s="4" t="s">
        <v>36</v>
      </c>
      <c r="D1026" s="4" t="str">
        <f t="shared" si="32"/>
        <v>Sales</v>
      </c>
      <c r="E1026" s="4" t="str">
        <f t="shared" si="33"/>
        <v>Intern</v>
      </c>
      <c r="F1026" s="13">
        <v>702</v>
      </c>
      <c r="G1026" s="13">
        <v>5</v>
      </c>
      <c r="H1026" s="13">
        <v>5</v>
      </c>
      <c r="I1026" s="2">
        <v>33119</v>
      </c>
      <c r="J1026" s="15">
        <v>983428</v>
      </c>
      <c r="K1026" s="4" t="s">
        <v>21</v>
      </c>
      <c r="L1026" s="27">
        <f t="shared" si="34"/>
        <v>1990</v>
      </c>
      <c r="M1026" s="27">
        <f t="shared" si="35"/>
        <v>1</v>
      </c>
      <c r="N1026" s="27">
        <f t="shared" ca="1" si="31"/>
        <v>36</v>
      </c>
      <c r="O1026" s="27" t="str" cm="1">
        <f t="array" ref="O1026">_xlfn.IFS($F1026&gt;=750,"Excellent",$F1026&gt;=700,"Good",$F1026&gt;=650,"Moderate",
$F1026&lt;650,"Risky"
)</f>
        <v>Good</v>
      </c>
      <c r="P1026" s="27" t="str" cm="1">
        <f t="array" ref="P1026">_xlfn.IFS(
AND(F1026&gt;=750,H1026&lt;=2),"Low Risk",
AND(F1026&gt;=700,H1026&lt;=5),"Medium Risk",
TRUE,"High Risk"
)</f>
        <v>Medium Risk</v>
      </c>
      <c r="Q1026" s="5"/>
      <c r="R1026" s="5"/>
      <c r="S1026" s="5"/>
      <c r="T1026" s="5"/>
      <c r="U1026" s="5"/>
      <c r="V1026" s="5"/>
      <c r="W1026" s="5"/>
      <c r="X1026" s="5"/>
      <c r="Y1026" s="5"/>
    </row>
    <row r="1027" spans="1:25" ht="15.75" customHeight="1" x14ac:dyDescent="0.25">
      <c r="A1027" s="2">
        <v>43921</v>
      </c>
      <c r="B1027" s="3">
        <v>44345</v>
      </c>
      <c r="C1027" s="4" t="s">
        <v>20</v>
      </c>
      <c r="D1027" s="4" t="str">
        <f t="shared" si="32"/>
        <v>Operation</v>
      </c>
      <c r="E1027" s="4" t="str">
        <f t="shared" si="33"/>
        <v>Manager</v>
      </c>
      <c r="F1027" s="13">
        <v>797</v>
      </c>
      <c r="G1027" s="13">
        <v>3</v>
      </c>
      <c r="H1027" s="13">
        <v>2</v>
      </c>
      <c r="I1027" s="2">
        <v>30050</v>
      </c>
      <c r="J1027" s="15">
        <v>575822</v>
      </c>
      <c r="K1027" s="4" t="s">
        <v>21</v>
      </c>
      <c r="L1027" s="27">
        <f t="shared" si="34"/>
        <v>1982</v>
      </c>
      <c r="M1027" s="27">
        <f t="shared" si="35"/>
        <v>3</v>
      </c>
      <c r="N1027" s="27">
        <f t="shared" ref="N1027:N1090" ca="1" si="36" xml:space="preserve"> YEAR(TODAY()) - $L1027</f>
        <v>44</v>
      </c>
      <c r="O1027" s="27" t="str" cm="1">
        <f t="array" ref="O1027">_xlfn.IFS($F1027&gt;=750,"Excellent",$F1027&gt;=700,"Good",$F1027&gt;=650,"Moderate",
$F1027&lt;650,"Risky"
)</f>
        <v>Excellent</v>
      </c>
      <c r="P1027" s="27" t="str" cm="1">
        <f t="array" ref="P1027">_xlfn.IFS(
AND(F1027&gt;=750,H1027&lt;=2),"Low Risk",
AND(F1027&gt;=700,H1027&lt;=5),"Medium Risk",
TRUE,"High Risk"
)</f>
        <v>Low Risk</v>
      </c>
      <c r="Q1027" s="5"/>
      <c r="R1027" s="5"/>
      <c r="S1027" s="5"/>
      <c r="T1027" s="5"/>
      <c r="U1027" s="5"/>
      <c r="V1027" s="5"/>
      <c r="W1027" s="5"/>
      <c r="X1027" s="5"/>
      <c r="Y1027" s="5"/>
    </row>
    <row r="1028" spans="1:25" ht="15.75" customHeight="1" x14ac:dyDescent="0.25">
      <c r="A1028" s="2">
        <v>44154</v>
      </c>
      <c r="B1028" s="3">
        <v>78197</v>
      </c>
      <c r="C1028" s="4" t="s">
        <v>33</v>
      </c>
      <c r="D1028" s="4" t="str">
        <f t="shared" si="32"/>
        <v>Sales</v>
      </c>
      <c r="E1028" s="4" t="str">
        <f t="shared" si="33"/>
        <v>Executive</v>
      </c>
      <c r="F1028" s="13">
        <v>713</v>
      </c>
      <c r="G1028" s="13">
        <v>2</v>
      </c>
      <c r="H1028" s="13">
        <v>2</v>
      </c>
      <c r="I1028" s="2">
        <v>32504</v>
      </c>
      <c r="J1028" s="15">
        <v>662184</v>
      </c>
      <c r="K1028" s="4" t="s">
        <v>21</v>
      </c>
      <c r="L1028" s="27">
        <f t="shared" si="34"/>
        <v>1988</v>
      </c>
      <c r="M1028" s="27">
        <f t="shared" si="35"/>
        <v>11</v>
      </c>
      <c r="N1028" s="27">
        <f t="shared" ca="1" si="36"/>
        <v>38</v>
      </c>
      <c r="O1028" s="27" t="str" cm="1">
        <f t="array" ref="O1028">_xlfn.IFS($F1028&gt;=750,"Excellent",$F1028&gt;=700,"Good",$F1028&gt;=650,"Moderate",
$F1028&lt;650,"Risky"
)</f>
        <v>Good</v>
      </c>
      <c r="P1028" s="27" t="str" cm="1">
        <f t="array" ref="P1028">_xlfn.IFS(
AND(F1028&gt;=750,H1028&lt;=2),"Low Risk",
AND(F1028&gt;=700,H1028&lt;=5),"Medium Risk",
TRUE,"High Risk"
)</f>
        <v>Medium Risk</v>
      </c>
      <c r="Q1028" s="5"/>
      <c r="R1028" s="5"/>
      <c r="S1028" s="5"/>
      <c r="T1028" s="5"/>
      <c r="U1028" s="5"/>
      <c r="V1028" s="5"/>
      <c r="W1028" s="5"/>
      <c r="X1028" s="5"/>
      <c r="Y1028" s="5"/>
    </row>
    <row r="1029" spans="1:25" ht="15.75" customHeight="1" x14ac:dyDescent="0.25">
      <c r="A1029" s="2">
        <v>43910</v>
      </c>
      <c r="B1029" s="3">
        <v>29117</v>
      </c>
      <c r="C1029" s="4" t="s">
        <v>15</v>
      </c>
      <c r="D1029" s="4" t="str">
        <f t="shared" si="32"/>
        <v>Operation</v>
      </c>
      <c r="E1029" s="4" t="str">
        <f t="shared" si="33"/>
        <v>Executive</v>
      </c>
      <c r="F1029" s="13">
        <v>727</v>
      </c>
      <c r="G1029" s="13">
        <v>5</v>
      </c>
      <c r="H1029" s="13">
        <v>3</v>
      </c>
      <c r="I1029" s="2">
        <v>33740</v>
      </c>
      <c r="J1029" s="15">
        <v>540688</v>
      </c>
      <c r="K1029" s="4" t="s">
        <v>18</v>
      </c>
      <c r="L1029" s="27">
        <f t="shared" si="34"/>
        <v>1992</v>
      </c>
      <c r="M1029" s="27">
        <f t="shared" si="35"/>
        <v>3</v>
      </c>
      <c r="N1029" s="27">
        <f t="shared" ca="1" si="36"/>
        <v>34</v>
      </c>
      <c r="O1029" s="27" t="str" cm="1">
        <f t="array" ref="O1029">_xlfn.IFS($F1029&gt;=750,"Excellent",$F1029&gt;=700,"Good",$F1029&gt;=650,"Moderate",
$F1029&lt;650,"Risky"
)</f>
        <v>Good</v>
      </c>
      <c r="P1029" s="27" t="str" cm="1">
        <f t="array" ref="P1029">_xlfn.IFS(
AND(F1029&gt;=750,H1029&lt;=2),"Low Risk",
AND(F1029&gt;=700,H1029&lt;=5),"Medium Risk",
TRUE,"High Risk"
)</f>
        <v>Medium Risk</v>
      </c>
      <c r="Q1029" s="5"/>
      <c r="R1029" s="5"/>
      <c r="S1029" s="5"/>
      <c r="T1029" s="5"/>
      <c r="U1029" s="5"/>
      <c r="V1029" s="5"/>
      <c r="W1029" s="5"/>
      <c r="X1029" s="5"/>
      <c r="Y1029" s="5"/>
    </row>
    <row r="1030" spans="1:25" ht="15.75" customHeight="1" x14ac:dyDescent="0.25">
      <c r="A1030" s="2">
        <v>43916</v>
      </c>
      <c r="B1030" s="3">
        <v>91489</v>
      </c>
      <c r="C1030" s="4" t="s">
        <v>32</v>
      </c>
      <c r="D1030" s="4" t="str">
        <f t="shared" si="32"/>
        <v>Finance</v>
      </c>
      <c r="E1030" s="4" t="str">
        <f t="shared" si="33"/>
        <v>Executive</v>
      </c>
      <c r="F1030" s="13">
        <v>790</v>
      </c>
      <c r="G1030" s="13">
        <v>3</v>
      </c>
      <c r="H1030" s="13">
        <v>3</v>
      </c>
      <c r="I1030" s="2">
        <v>32604</v>
      </c>
      <c r="J1030" s="15">
        <v>676377</v>
      </c>
      <c r="K1030" s="4" t="s">
        <v>14</v>
      </c>
      <c r="L1030" s="27">
        <f t="shared" si="34"/>
        <v>1989</v>
      </c>
      <c r="M1030" s="27">
        <f t="shared" si="35"/>
        <v>3</v>
      </c>
      <c r="N1030" s="27">
        <f t="shared" ca="1" si="36"/>
        <v>37</v>
      </c>
      <c r="O1030" s="27" t="str" cm="1">
        <f t="array" ref="O1030">_xlfn.IFS($F1030&gt;=750,"Excellent",$F1030&gt;=700,"Good",$F1030&gt;=650,"Moderate",
$F1030&lt;650,"Risky"
)</f>
        <v>Excellent</v>
      </c>
      <c r="P1030" s="27" t="str" cm="1">
        <f t="array" ref="P1030">_xlfn.IFS(
AND(F1030&gt;=750,H1030&lt;=2),"Low Risk",
AND(F1030&gt;=700,H1030&lt;=5),"Medium Risk",
TRUE,"High Risk"
)</f>
        <v>Medium Risk</v>
      </c>
      <c r="Q1030" s="5"/>
      <c r="R1030" s="5"/>
      <c r="S1030" s="5"/>
      <c r="T1030" s="5"/>
      <c r="U1030" s="5"/>
      <c r="V1030" s="5"/>
      <c r="W1030" s="5"/>
      <c r="X1030" s="5"/>
      <c r="Y1030" s="5"/>
    </row>
    <row r="1031" spans="1:25" ht="15.75" customHeight="1" x14ac:dyDescent="0.25">
      <c r="A1031" s="2">
        <v>44132</v>
      </c>
      <c r="B1031" s="3">
        <v>25479</v>
      </c>
      <c r="C1031" s="4" t="s">
        <v>38</v>
      </c>
      <c r="D1031" s="4" t="str">
        <f t="shared" si="32"/>
        <v>Finance</v>
      </c>
      <c r="E1031" s="4" t="str">
        <f t="shared" si="33"/>
        <v>Manager</v>
      </c>
      <c r="F1031" s="13">
        <v>750</v>
      </c>
      <c r="G1031" s="13">
        <v>5</v>
      </c>
      <c r="H1031" s="13">
        <v>2</v>
      </c>
      <c r="I1031" s="2">
        <v>34578</v>
      </c>
      <c r="J1031" s="15">
        <v>682869</v>
      </c>
      <c r="K1031" s="4" t="s">
        <v>14</v>
      </c>
      <c r="L1031" s="27">
        <f t="shared" si="34"/>
        <v>1994</v>
      </c>
      <c r="M1031" s="27">
        <f t="shared" si="35"/>
        <v>10</v>
      </c>
      <c r="N1031" s="27">
        <f t="shared" ca="1" si="36"/>
        <v>32</v>
      </c>
      <c r="O1031" s="27" t="str" cm="1">
        <f t="array" ref="O1031">_xlfn.IFS($F1031&gt;=750,"Excellent",$F1031&gt;=700,"Good",$F1031&gt;=650,"Moderate",
$F1031&lt;650,"Risky"
)</f>
        <v>Excellent</v>
      </c>
      <c r="P1031" s="27" t="str" cm="1">
        <f t="array" ref="P1031">_xlfn.IFS(
AND(F1031&gt;=750,H1031&lt;=2),"Low Risk",
AND(F1031&gt;=700,H1031&lt;=5),"Medium Risk",
TRUE,"High Risk"
)</f>
        <v>Low Risk</v>
      </c>
      <c r="Q1031" s="5"/>
      <c r="R1031" s="5"/>
      <c r="S1031" s="5"/>
      <c r="T1031" s="5"/>
      <c r="U1031" s="5"/>
      <c r="V1031" s="5"/>
      <c r="W1031" s="5"/>
      <c r="X1031" s="5"/>
      <c r="Y1031" s="5"/>
    </row>
    <row r="1032" spans="1:25" ht="15.75" customHeight="1" x14ac:dyDescent="0.25">
      <c r="A1032" s="2">
        <v>43960</v>
      </c>
      <c r="B1032" s="3">
        <v>98022</v>
      </c>
      <c r="C1032" s="4" t="s">
        <v>24</v>
      </c>
      <c r="D1032" s="4" t="str">
        <f t="shared" si="32"/>
        <v>Strategy</v>
      </c>
      <c r="E1032" s="4" t="str">
        <f t="shared" si="33"/>
        <v>Intern</v>
      </c>
      <c r="F1032" s="13">
        <v>794</v>
      </c>
      <c r="G1032" s="13">
        <v>3</v>
      </c>
      <c r="H1032" s="13">
        <v>3</v>
      </c>
      <c r="I1032" s="2">
        <v>33355</v>
      </c>
      <c r="J1032" s="15">
        <v>989564</v>
      </c>
      <c r="K1032" s="4" t="s">
        <v>18</v>
      </c>
      <c r="L1032" s="27">
        <f t="shared" si="34"/>
        <v>1991</v>
      </c>
      <c r="M1032" s="27">
        <f t="shared" si="35"/>
        <v>5</v>
      </c>
      <c r="N1032" s="27">
        <f t="shared" ca="1" si="36"/>
        <v>35</v>
      </c>
      <c r="O1032" s="27" t="str" cm="1">
        <f t="array" ref="O1032">_xlfn.IFS($F1032&gt;=750,"Excellent",$F1032&gt;=700,"Good",$F1032&gt;=650,"Moderate",
$F1032&lt;650,"Risky"
)</f>
        <v>Excellent</v>
      </c>
      <c r="P1032" s="27" t="str" cm="1">
        <f t="array" ref="P1032">_xlfn.IFS(
AND(F1032&gt;=750,H1032&lt;=2),"Low Risk",
AND(F1032&gt;=700,H1032&lt;=5),"Medium Risk",
TRUE,"High Risk"
)</f>
        <v>Medium Risk</v>
      </c>
      <c r="Q1032" s="5"/>
      <c r="R1032" s="5"/>
      <c r="S1032" s="5"/>
      <c r="T1032" s="5"/>
      <c r="U1032" s="5"/>
      <c r="V1032" s="5"/>
      <c r="W1032" s="5"/>
      <c r="X1032" s="5"/>
      <c r="Y1032" s="5"/>
    </row>
    <row r="1033" spans="1:25" ht="15.75" customHeight="1" x14ac:dyDescent="0.25">
      <c r="A1033" s="2">
        <v>44146</v>
      </c>
      <c r="B1033" s="3">
        <v>43666</v>
      </c>
      <c r="C1033" s="4" t="s">
        <v>16</v>
      </c>
      <c r="D1033" s="4" t="str">
        <f t="shared" si="32"/>
        <v>Marketing</v>
      </c>
      <c r="E1033" s="4" t="str">
        <f t="shared" si="33"/>
        <v>Executive</v>
      </c>
      <c r="F1033" s="13">
        <v>798</v>
      </c>
      <c r="G1033" s="13">
        <v>5</v>
      </c>
      <c r="H1033" s="13">
        <v>3</v>
      </c>
      <c r="I1033" s="2">
        <v>29624</v>
      </c>
      <c r="J1033" s="15">
        <v>539585</v>
      </c>
      <c r="K1033" s="4" t="s">
        <v>18</v>
      </c>
      <c r="L1033" s="27">
        <f t="shared" si="34"/>
        <v>1981</v>
      </c>
      <c r="M1033" s="27">
        <f t="shared" si="35"/>
        <v>11</v>
      </c>
      <c r="N1033" s="27">
        <f t="shared" ca="1" si="36"/>
        <v>45</v>
      </c>
      <c r="O1033" s="27" t="str" cm="1">
        <f t="array" ref="O1033">_xlfn.IFS($F1033&gt;=750,"Excellent",$F1033&gt;=700,"Good",$F1033&gt;=650,"Moderate",
$F1033&lt;650,"Risky"
)</f>
        <v>Excellent</v>
      </c>
      <c r="P1033" s="27" t="str" cm="1">
        <f t="array" ref="P1033">_xlfn.IFS(
AND(F1033&gt;=750,H1033&lt;=2),"Low Risk",
AND(F1033&gt;=700,H1033&lt;=5),"Medium Risk",
TRUE,"High Risk"
)</f>
        <v>Medium Risk</v>
      </c>
      <c r="Q1033" s="5"/>
      <c r="R1033" s="5"/>
      <c r="S1033" s="5"/>
      <c r="T1033" s="5"/>
      <c r="U1033" s="5"/>
      <c r="V1033" s="5"/>
      <c r="W1033" s="5"/>
      <c r="X1033" s="5"/>
      <c r="Y1033" s="5"/>
    </row>
    <row r="1034" spans="1:25" ht="15.75" customHeight="1" x14ac:dyDescent="0.25">
      <c r="A1034" s="2">
        <v>44131</v>
      </c>
      <c r="B1034" s="3">
        <v>89531</v>
      </c>
      <c r="C1034" s="4" t="s">
        <v>29</v>
      </c>
      <c r="D1034" s="4" t="str">
        <f t="shared" si="32"/>
        <v>Sales</v>
      </c>
      <c r="E1034" s="4" t="str">
        <f t="shared" si="33"/>
        <v>Director</v>
      </c>
      <c r="F1034" s="13">
        <v>736</v>
      </c>
      <c r="G1034" s="13">
        <v>3</v>
      </c>
      <c r="H1034" s="13">
        <v>9</v>
      </c>
      <c r="I1034" s="2">
        <v>33832</v>
      </c>
      <c r="J1034" s="15">
        <v>745259</v>
      </c>
      <c r="K1034" s="4" t="s">
        <v>14</v>
      </c>
      <c r="L1034" s="27">
        <f t="shared" si="34"/>
        <v>1992</v>
      </c>
      <c r="M1034" s="27">
        <f t="shared" si="35"/>
        <v>10</v>
      </c>
      <c r="N1034" s="27">
        <f t="shared" ca="1" si="36"/>
        <v>34</v>
      </c>
      <c r="O1034" s="27" t="str" cm="1">
        <f t="array" ref="O1034">_xlfn.IFS($F1034&gt;=750,"Excellent",$F1034&gt;=700,"Good",$F1034&gt;=650,"Moderate",
$F1034&lt;650,"Risky"
)</f>
        <v>Good</v>
      </c>
      <c r="P1034" s="27" t="str" cm="1">
        <f t="array" ref="P1034">_xlfn.IFS(
AND(F1034&gt;=750,H1034&lt;=2),"Low Risk",
AND(F1034&gt;=700,H1034&lt;=5),"Medium Risk",
TRUE,"High Risk"
)</f>
        <v>High Risk</v>
      </c>
      <c r="Q1034" s="5"/>
      <c r="R1034" s="5"/>
      <c r="S1034" s="5"/>
      <c r="T1034" s="5"/>
      <c r="U1034" s="5"/>
      <c r="V1034" s="5"/>
      <c r="W1034" s="5"/>
      <c r="X1034" s="5"/>
      <c r="Y1034" s="5"/>
    </row>
    <row r="1035" spans="1:25" ht="15.75" customHeight="1" x14ac:dyDescent="0.25">
      <c r="A1035" s="2">
        <v>43847</v>
      </c>
      <c r="B1035" s="3">
        <v>73361</v>
      </c>
      <c r="C1035" s="4" t="s">
        <v>16</v>
      </c>
      <c r="D1035" s="4" t="str">
        <f t="shared" si="32"/>
        <v>Marketing</v>
      </c>
      <c r="E1035" s="4" t="str">
        <f t="shared" si="33"/>
        <v>Executive</v>
      </c>
      <c r="F1035" s="13">
        <v>750</v>
      </c>
      <c r="G1035" s="13">
        <v>1</v>
      </c>
      <c r="H1035" s="13">
        <v>2</v>
      </c>
      <c r="I1035" s="2">
        <v>34559</v>
      </c>
      <c r="J1035" s="15">
        <v>546600</v>
      </c>
      <c r="K1035" s="4" t="s">
        <v>21</v>
      </c>
      <c r="L1035" s="27">
        <f t="shared" si="34"/>
        <v>1994</v>
      </c>
      <c r="M1035" s="27">
        <f t="shared" si="35"/>
        <v>1</v>
      </c>
      <c r="N1035" s="27">
        <f t="shared" ca="1" si="36"/>
        <v>32</v>
      </c>
      <c r="O1035" s="27" t="str" cm="1">
        <f t="array" ref="O1035">_xlfn.IFS($F1035&gt;=750,"Excellent",$F1035&gt;=700,"Good",$F1035&gt;=650,"Moderate",
$F1035&lt;650,"Risky"
)</f>
        <v>Excellent</v>
      </c>
      <c r="P1035" s="27" t="str" cm="1">
        <f t="array" ref="P1035">_xlfn.IFS(
AND(F1035&gt;=750,H1035&lt;=2),"Low Risk",
AND(F1035&gt;=700,H1035&lt;=5),"Medium Risk",
TRUE,"High Risk"
)</f>
        <v>Low Risk</v>
      </c>
      <c r="Q1035" s="5"/>
      <c r="R1035" s="5"/>
      <c r="S1035" s="5"/>
      <c r="T1035" s="5"/>
      <c r="U1035" s="5"/>
      <c r="V1035" s="5"/>
      <c r="W1035" s="5"/>
      <c r="X1035" s="5"/>
      <c r="Y1035" s="5"/>
    </row>
    <row r="1036" spans="1:25" ht="15.75" customHeight="1" x14ac:dyDescent="0.25">
      <c r="A1036" s="2">
        <v>44144</v>
      </c>
      <c r="B1036" s="3">
        <v>83936</v>
      </c>
      <c r="C1036" s="4" t="s">
        <v>17</v>
      </c>
      <c r="D1036" s="4" t="str">
        <f t="shared" si="32"/>
        <v>Growth</v>
      </c>
      <c r="E1036" s="4" t="str">
        <f t="shared" si="33"/>
        <v>Manager</v>
      </c>
      <c r="F1036" s="13">
        <v>789</v>
      </c>
      <c r="G1036" s="13">
        <v>4</v>
      </c>
      <c r="H1036" s="13">
        <v>6</v>
      </c>
      <c r="I1036" s="2">
        <v>30373</v>
      </c>
      <c r="J1036" s="15">
        <v>877440</v>
      </c>
      <c r="K1036" s="4" t="s">
        <v>18</v>
      </c>
      <c r="L1036" s="27">
        <f t="shared" si="34"/>
        <v>1983</v>
      </c>
      <c r="M1036" s="27">
        <f t="shared" si="35"/>
        <v>11</v>
      </c>
      <c r="N1036" s="27">
        <f t="shared" ca="1" si="36"/>
        <v>43</v>
      </c>
      <c r="O1036" s="27" t="str" cm="1">
        <f t="array" ref="O1036">_xlfn.IFS($F1036&gt;=750,"Excellent",$F1036&gt;=700,"Good",$F1036&gt;=650,"Moderate",
$F1036&lt;650,"Risky"
)</f>
        <v>Excellent</v>
      </c>
      <c r="P1036" s="27" t="str" cm="1">
        <f t="array" ref="P1036">_xlfn.IFS(
AND(F1036&gt;=750,H1036&lt;=2),"Low Risk",
AND(F1036&gt;=700,H1036&lt;=5),"Medium Risk",
TRUE,"High Risk"
)</f>
        <v>High Risk</v>
      </c>
      <c r="Q1036" s="5"/>
      <c r="R1036" s="5"/>
      <c r="S1036" s="5"/>
      <c r="T1036" s="5"/>
      <c r="U1036" s="5"/>
      <c r="V1036" s="5"/>
      <c r="W1036" s="5"/>
      <c r="X1036" s="5"/>
      <c r="Y1036" s="5"/>
    </row>
    <row r="1037" spans="1:25" ht="15.75" customHeight="1" x14ac:dyDescent="0.25">
      <c r="A1037" s="2">
        <v>43862</v>
      </c>
      <c r="B1037" s="3">
        <v>87663</v>
      </c>
      <c r="C1037" s="4" t="s">
        <v>33</v>
      </c>
      <c r="D1037" s="4" t="str">
        <f t="shared" si="32"/>
        <v>Sales</v>
      </c>
      <c r="E1037" s="4" t="str">
        <f t="shared" si="33"/>
        <v>Executive</v>
      </c>
      <c r="F1037" s="13">
        <v>784</v>
      </c>
      <c r="G1037" s="13">
        <v>4</v>
      </c>
      <c r="H1037" s="13">
        <v>8</v>
      </c>
      <c r="I1037" s="2">
        <v>32246</v>
      </c>
      <c r="J1037" s="15">
        <v>784708</v>
      </c>
      <c r="K1037" s="4" t="s">
        <v>18</v>
      </c>
      <c r="L1037" s="27">
        <f t="shared" si="34"/>
        <v>1988</v>
      </c>
      <c r="M1037" s="27">
        <f t="shared" si="35"/>
        <v>2</v>
      </c>
      <c r="N1037" s="27">
        <f t="shared" ca="1" si="36"/>
        <v>38</v>
      </c>
      <c r="O1037" s="27" t="str" cm="1">
        <f t="array" ref="O1037">_xlfn.IFS($F1037&gt;=750,"Excellent",$F1037&gt;=700,"Good",$F1037&gt;=650,"Moderate",
$F1037&lt;650,"Risky"
)</f>
        <v>Excellent</v>
      </c>
      <c r="P1037" s="27" t="str" cm="1">
        <f t="array" ref="P1037">_xlfn.IFS(
AND(F1037&gt;=750,H1037&lt;=2),"Low Risk",
AND(F1037&gt;=700,H1037&lt;=5),"Medium Risk",
TRUE,"High Risk"
)</f>
        <v>High Risk</v>
      </c>
      <c r="Q1037" s="5"/>
      <c r="R1037" s="5"/>
      <c r="S1037" s="5"/>
      <c r="T1037" s="5"/>
      <c r="U1037" s="5"/>
      <c r="V1037" s="5"/>
      <c r="W1037" s="5"/>
      <c r="X1037" s="5"/>
      <c r="Y1037" s="5"/>
    </row>
    <row r="1038" spans="1:25" ht="15.75" customHeight="1" x14ac:dyDescent="0.25">
      <c r="A1038" s="2">
        <v>44172</v>
      </c>
      <c r="B1038" s="3">
        <v>21478</v>
      </c>
      <c r="C1038" s="4" t="s">
        <v>31</v>
      </c>
      <c r="D1038" s="4" t="str">
        <f t="shared" si="32"/>
        <v>Finance</v>
      </c>
      <c r="E1038" s="4" t="str">
        <f t="shared" si="33"/>
        <v>Intern</v>
      </c>
      <c r="F1038" s="13">
        <v>744</v>
      </c>
      <c r="G1038" s="13">
        <v>2</v>
      </c>
      <c r="H1038" s="13">
        <v>7</v>
      </c>
      <c r="I1038" s="2">
        <v>29245</v>
      </c>
      <c r="J1038" s="15">
        <v>668408</v>
      </c>
      <c r="K1038" s="4" t="s">
        <v>14</v>
      </c>
      <c r="L1038" s="27">
        <f t="shared" si="34"/>
        <v>1980</v>
      </c>
      <c r="M1038" s="27">
        <f t="shared" si="35"/>
        <v>12</v>
      </c>
      <c r="N1038" s="27">
        <f t="shared" ca="1" si="36"/>
        <v>46</v>
      </c>
      <c r="O1038" s="27" t="str" cm="1">
        <f t="array" ref="O1038">_xlfn.IFS($F1038&gt;=750,"Excellent",$F1038&gt;=700,"Good",$F1038&gt;=650,"Moderate",
$F1038&lt;650,"Risky"
)</f>
        <v>Good</v>
      </c>
      <c r="P1038" s="27" t="str" cm="1">
        <f t="array" ref="P1038">_xlfn.IFS(
AND(F1038&gt;=750,H1038&lt;=2),"Low Risk",
AND(F1038&gt;=700,H1038&lt;=5),"Medium Risk",
TRUE,"High Risk"
)</f>
        <v>High Risk</v>
      </c>
      <c r="Q1038" s="5"/>
      <c r="R1038" s="5"/>
      <c r="S1038" s="5"/>
      <c r="T1038" s="5"/>
      <c r="U1038" s="5"/>
      <c r="V1038" s="5"/>
      <c r="W1038" s="5"/>
      <c r="X1038" s="5"/>
      <c r="Y1038" s="5"/>
    </row>
    <row r="1039" spans="1:25" ht="15.75" customHeight="1" x14ac:dyDescent="0.25">
      <c r="A1039" s="2">
        <v>43995</v>
      </c>
      <c r="B1039" s="3">
        <v>32550</v>
      </c>
      <c r="C1039" s="4" t="s">
        <v>27</v>
      </c>
      <c r="D1039" s="4" t="str">
        <f t="shared" si="32"/>
        <v>Operation</v>
      </c>
      <c r="E1039" s="4" t="str">
        <f t="shared" si="33"/>
        <v>Intern</v>
      </c>
      <c r="F1039" s="13">
        <v>789</v>
      </c>
      <c r="G1039" s="13">
        <v>3</v>
      </c>
      <c r="H1039" s="13">
        <v>3</v>
      </c>
      <c r="I1039" s="2">
        <v>32708</v>
      </c>
      <c r="J1039" s="15">
        <v>532370</v>
      </c>
      <c r="K1039" s="4" t="s">
        <v>18</v>
      </c>
      <c r="L1039" s="27">
        <f t="shared" si="34"/>
        <v>1989</v>
      </c>
      <c r="M1039" s="27">
        <f t="shared" si="35"/>
        <v>6</v>
      </c>
      <c r="N1039" s="27">
        <f t="shared" ca="1" si="36"/>
        <v>37</v>
      </c>
      <c r="O1039" s="27" t="str" cm="1">
        <f t="array" ref="O1039">_xlfn.IFS($F1039&gt;=750,"Excellent",$F1039&gt;=700,"Good",$F1039&gt;=650,"Moderate",
$F1039&lt;650,"Risky"
)</f>
        <v>Excellent</v>
      </c>
      <c r="P1039" s="27" t="str" cm="1">
        <f t="array" ref="P1039">_xlfn.IFS(
AND(F1039&gt;=750,H1039&lt;=2),"Low Risk",
AND(F1039&gt;=700,H1039&lt;=5),"Medium Risk",
TRUE,"High Risk"
)</f>
        <v>Medium Risk</v>
      </c>
      <c r="Q1039" s="5"/>
      <c r="R1039" s="5"/>
      <c r="S1039" s="5"/>
      <c r="T1039" s="5"/>
      <c r="U1039" s="5"/>
      <c r="V1039" s="5"/>
      <c r="W1039" s="5"/>
      <c r="X1039" s="5"/>
      <c r="Y1039" s="5"/>
    </row>
    <row r="1040" spans="1:25" ht="15.75" customHeight="1" x14ac:dyDescent="0.25">
      <c r="A1040" s="2">
        <v>44124</v>
      </c>
      <c r="B1040" s="3">
        <v>62304</v>
      </c>
      <c r="C1040" s="4" t="s">
        <v>37</v>
      </c>
      <c r="D1040" s="4" t="str">
        <f t="shared" si="32"/>
        <v>Strategy</v>
      </c>
      <c r="E1040" s="4" t="str">
        <f t="shared" si="33"/>
        <v>Director</v>
      </c>
      <c r="F1040" s="13">
        <v>709</v>
      </c>
      <c r="G1040" s="13">
        <v>4</v>
      </c>
      <c r="H1040" s="13">
        <v>9</v>
      </c>
      <c r="I1040" s="2">
        <v>34567</v>
      </c>
      <c r="J1040" s="15">
        <v>982857</v>
      </c>
      <c r="K1040" s="4" t="s">
        <v>21</v>
      </c>
      <c r="L1040" s="27">
        <f t="shared" si="34"/>
        <v>1994</v>
      </c>
      <c r="M1040" s="27">
        <f t="shared" si="35"/>
        <v>10</v>
      </c>
      <c r="N1040" s="27">
        <f t="shared" ca="1" si="36"/>
        <v>32</v>
      </c>
      <c r="O1040" s="27" t="str" cm="1">
        <f t="array" ref="O1040">_xlfn.IFS($F1040&gt;=750,"Excellent",$F1040&gt;=700,"Good",$F1040&gt;=650,"Moderate",
$F1040&lt;650,"Risky"
)</f>
        <v>Good</v>
      </c>
      <c r="P1040" s="27" t="str" cm="1">
        <f t="array" ref="P1040">_xlfn.IFS(
AND(F1040&gt;=750,H1040&lt;=2),"Low Risk",
AND(F1040&gt;=700,H1040&lt;=5),"Medium Risk",
TRUE,"High Risk"
)</f>
        <v>High Risk</v>
      </c>
      <c r="Q1040" s="5"/>
      <c r="R1040" s="5"/>
      <c r="S1040" s="5"/>
      <c r="T1040" s="5"/>
      <c r="U1040" s="5"/>
      <c r="V1040" s="5"/>
      <c r="W1040" s="5"/>
      <c r="X1040" s="5"/>
      <c r="Y1040" s="5"/>
    </row>
    <row r="1041" spans="1:25" ht="15.75" customHeight="1" x14ac:dyDescent="0.25">
      <c r="A1041" s="2">
        <v>44078</v>
      </c>
      <c r="B1041" s="3">
        <v>51482</v>
      </c>
      <c r="C1041" s="4" t="s">
        <v>38</v>
      </c>
      <c r="D1041" s="4" t="str">
        <f t="shared" si="32"/>
        <v>Finance</v>
      </c>
      <c r="E1041" s="4" t="str">
        <f t="shared" si="33"/>
        <v>Manager</v>
      </c>
      <c r="F1041" s="13">
        <v>737</v>
      </c>
      <c r="G1041" s="13">
        <v>2</v>
      </c>
      <c r="H1041" s="13">
        <v>5</v>
      </c>
      <c r="I1041" s="2">
        <v>32001</v>
      </c>
      <c r="J1041" s="15">
        <v>850423</v>
      </c>
      <c r="K1041" s="4" t="s">
        <v>18</v>
      </c>
      <c r="L1041" s="27">
        <f t="shared" si="34"/>
        <v>1987</v>
      </c>
      <c r="M1041" s="27">
        <f t="shared" si="35"/>
        <v>9</v>
      </c>
      <c r="N1041" s="27">
        <f t="shared" ca="1" si="36"/>
        <v>39</v>
      </c>
      <c r="O1041" s="27" t="str" cm="1">
        <f t="array" ref="O1041">_xlfn.IFS($F1041&gt;=750,"Excellent",$F1041&gt;=700,"Good",$F1041&gt;=650,"Moderate",
$F1041&lt;650,"Risky"
)</f>
        <v>Good</v>
      </c>
      <c r="P1041" s="27" t="str" cm="1">
        <f t="array" ref="P1041">_xlfn.IFS(
AND(F1041&gt;=750,H1041&lt;=2),"Low Risk",
AND(F1041&gt;=700,H1041&lt;=5),"Medium Risk",
TRUE,"High Risk"
)</f>
        <v>Medium Risk</v>
      </c>
      <c r="Q1041" s="5"/>
      <c r="R1041" s="5"/>
      <c r="S1041" s="5"/>
      <c r="T1041" s="5"/>
      <c r="U1041" s="5"/>
      <c r="V1041" s="5"/>
      <c r="W1041" s="5"/>
      <c r="X1041" s="5"/>
      <c r="Y1041" s="5"/>
    </row>
    <row r="1042" spans="1:25" ht="15.75" customHeight="1" x14ac:dyDescent="0.25">
      <c r="A1042" s="2">
        <v>44165</v>
      </c>
      <c r="B1042" s="3">
        <v>10264</v>
      </c>
      <c r="C1042" s="4" t="s">
        <v>20</v>
      </c>
      <c r="D1042" s="4" t="str">
        <f t="shared" si="32"/>
        <v>Operation</v>
      </c>
      <c r="E1042" s="4" t="str">
        <f t="shared" si="33"/>
        <v>Manager</v>
      </c>
      <c r="F1042" s="13">
        <v>739</v>
      </c>
      <c r="G1042" s="13">
        <v>5</v>
      </c>
      <c r="H1042" s="13">
        <v>10</v>
      </c>
      <c r="I1042" s="2">
        <v>33866</v>
      </c>
      <c r="J1042" s="15">
        <v>993245</v>
      </c>
      <c r="K1042" s="4" t="s">
        <v>18</v>
      </c>
      <c r="L1042" s="27">
        <f t="shared" si="34"/>
        <v>1992</v>
      </c>
      <c r="M1042" s="27">
        <f t="shared" si="35"/>
        <v>11</v>
      </c>
      <c r="N1042" s="27">
        <f t="shared" ca="1" si="36"/>
        <v>34</v>
      </c>
      <c r="O1042" s="27" t="str" cm="1">
        <f t="array" ref="O1042">_xlfn.IFS($F1042&gt;=750,"Excellent",$F1042&gt;=700,"Good",$F1042&gt;=650,"Moderate",
$F1042&lt;650,"Risky"
)</f>
        <v>Good</v>
      </c>
      <c r="P1042" s="27" t="str" cm="1">
        <f t="array" ref="P1042">_xlfn.IFS(
AND(F1042&gt;=750,H1042&lt;=2),"Low Risk",
AND(F1042&gt;=700,H1042&lt;=5),"Medium Risk",
TRUE,"High Risk"
)</f>
        <v>High Risk</v>
      </c>
      <c r="Q1042" s="5"/>
      <c r="R1042" s="5"/>
      <c r="S1042" s="5"/>
      <c r="T1042" s="5"/>
      <c r="U1042" s="5"/>
      <c r="V1042" s="5"/>
      <c r="W1042" s="5"/>
      <c r="X1042" s="5"/>
      <c r="Y1042" s="5"/>
    </row>
    <row r="1043" spans="1:25" ht="15.75" customHeight="1" x14ac:dyDescent="0.25">
      <c r="A1043" s="2">
        <v>43919</v>
      </c>
      <c r="B1043" s="3">
        <v>89174</v>
      </c>
      <c r="C1043" s="4" t="s">
        <v>37</v>
      </c>
      <c r="D1043" s="4" t="str">
        <f t="shared" si="32"/>
        <v>Strategy</v>
      </c>
      <c r="E1043" s="4" t="str">
        <f t="shared" si="33"/>
        <v>Director</v>
      </c>
      <c r="F1043" s="13">
        <v>730</v>
      </c>
      <c r="G1043" s="13">
        <v>5</v>
      </c>
      <c r="H1043" s="13">
        <v>1</v>
      </c>
      <c r="I1043" s="2">
        <v>29536</v>
      </c>
      <c r="J1043" s="15">
        <v>502469</v>
      </c>
      <c r="K1043" s="4" t="s">
        <v>18</v>
      </c>
      <c r="L1043" s="27">
        <f t="shared" si="34"/>
        <v>1980</v>
      </c>
      <c r="M1043" s="27">
        <f t="shared" si="35"/>
        <v>3</v>
      </c>
      <c r="N1043" s="27">
        <f t="shared" ca="1" si="36"/>
        <v>46</v>
      </c>
      <c r="O1043" s="27" t="str" cm="1">
        <f t="array" ref="O1043">_xlfn.IFS($F1043&gt;=750,"Excellent",$F1043&gt;=700,"Good",$F1043&gt;=650,"Moderate",
$F1043&lt;650,"Risky"
)</f>
        <v>Good</v>
      </c>
      <c r="P1043" s="27" t="str" cm="1">
        <f t="array" ref="P1043">_xlfn.IFS(
AND(F1043&gt;=750,H1043&lt;=2),"Low Risk",
AND(F1043&gt;=700,H1043&lt;=5),"Medium Risk",
TRUE,"High Risk"
)</f>
        <v>Medium Risk</v>
      </c>
      <c r="Q1043" s="5"/>
      <c r="R1043" s="5"/>
      <c r="S1043" s="5"/>
      <c r="T1043" s="5"/>
      <c r="U1043" s="5"/>
      <c r="V1043" s="5"/>
      <c r="W1043" s="5"/>
      <c r="X1043" s="5"/>
      <c r="Y1043" s="5"/>
    </row>
    <row r="1044" spans="1:25" ht="15.75" customHeight="1" x14ac:dyDescent="0.25">
      <c r="A1044" s="2">
        <v>43881</v>
      </c>
      <c r="B1044" s="3">
        <v>43193</v>
      </c>
      <c r="C1044" s="4" t="s">
        <v>23</v>
      </c>
      <c r="D1044" s="4" t="str">
        <f t="shared" si="32"/>
        <v>Marketing</v>
      </c>
      <c r="E1044" s="4" t="str">
        <f t="shared" si="33"/>
        <v>Intern</v>
      </c>
      <c r="F1044" s="13">
        <v>748</v>
      </c>
      <c r="G1044" s="13">
        <v>3</v>
      </c>
      <c r="H1044" s="13">
        <v>7</v>
      </c>
      <c r="I1044" s="2">
        <v>30691</v>
      </c>
      <c r="J1044" s="15">
        <v>953477</v>
      </c>
      <c r="K1044" s="4" t="s">
        <v>21</v>
      </c>
      <c r="L1044" s="27">
        <f t="shared" si="34"/>
        <v>1984</v>
      </c>
      <c r="M1044" s="27">
        <f t="shared" si="35"/>
        <v>2</v>
      </c>
      <c r="N1044" s="27">
        <f t="shared" ca="1" si="36"/>
        <v>42</v>
      </c>
      <c r="O1044" s="27" t="str" cm="1">
        <f t="array" ref="O1044">_xlfn.IFS($F1044&gt;=750,"Excellent",$F1044&gt;=700,"Good",$F1044&gt;=650,"Moderate",
$F1044&lt;650,"Risky"
)</f>
        <v>Good</v>
      </c>
      <c r="P1044" s="27" t="str" cm="1">
        <f t="array" ref="P1044">_xlfn.IFS(
AND(F1044&gt;=750,H1044&lt;=2),"Low Risk",
AND(F1044&gt;=700,H1044&lt;=5),"Medium Risk",
TRUE,"High Risk"
)</f>
        <v>High Risk</v>
      </c>
      <c r="Q1044" s="5"/>
      <c r="R1044" s="5"/>
      <c r="S1044" s="5"/>
      <c r="T1044" s="5"/>
      <c r="U1044" s="5"/>
      <c r="V1044" s="5"/>
      <c r="W1044" s="5"/>
      <c r="X1044" s="5"/>
      <c r="Y1044" s="5"/>
    </row>
    <row r="1045" spans="1:25" ht="15.75" customHeight="1" x14ac:dyDescent="0.25">
      <c r="A1045" s="2">
        <v>43975</v>
      </c>
      <c r="B1045" s="3">
        <v>89946</v>
      </c>
      <c r="C1045" s="4" t="s">
        <v>29</v>
      </c>
      <c r="D1045" s="4" t="str">
        <f t="shared" si="32"/>
        <v>Sales</v>
      </c>
      <c r="E1045" s="4" t="str">
        <f t="shared" si="33"/>
        <v>Director</v>
      </c>
      <c r="F1045" s="13">
        <v>799</v>
      </c>
      <c r="G1045" s="13">
        <v>5</v>
      </c>
      <c r="H1045" s="13">
        <v>7</v>
      </c>
      <c r="I1045" s="2">
        <v>34406</v>
      </c>
      <c r="J1045" s="15">
        <v>957311</v>
      </c>
      <c r="K1045" s="4" t="s">
        <v>21</v>
      </c>
      <c r="L1045" s="27">
        <f t="shared" si="34"/>
        <v>1994</v>
      </c>
      <c r="M1045" s="27">
        <f t="shared" si="35"/>
        <v>5</v>
      </c>
      <c r="N1045" s="27">
        <f t="shared" ca="1" si="36"/>
        <v>32</v>
      </c>
      <c r="O1045" s="27" t="str" cm="1">
        <f t="array" ref="O1045">_xlfn.IFS($F1045&gt;=750,"Excellent",$F1045&gt;=700,"Good",$F1045&gt;=650,"Moderate",
$F1045&lt;650,"Risky"
)</f>
        <v>Excellent</v>
      </c>
      <c r="P1045" s="27" t="str" cm="1">
        <f t="array" ref="P1045">_xlfn.IFS(
AND(F1045&gt;=750,H1045&lt;=2),"Low Risk",
AND(F1045&gt;=700,H1045&lt;=5),"Medium Risk",
TRUE,"High Risk"
)</f>
        <v>High Risk</v>
      </c>
      <c r="Q1045" s="5"/>
      <c r="R1045" s="5"/>
      <c r="S1045" s="5"/>
      <c r="T1045" s="5"/>
      <c r="U1045" s="5"/>
      <c r="V1045" s="5"/>
      <c r="W1045" s="5"/>
      <c r="X1045" s="5"/>
      <c r="Y1045" s="5"/>
    </row>
    <row r="1046" spans="1:25" ht="15.75" customHeight="1" x14ac:dyDescent="0.25">
      <c r="A1046" s="2">
        <v>43832</v>
      </c>
      <c r="B1046" s="3">
        <v>74711</v>
      </c>
      <c r="C1046" s="4" t="s">
        <v>34</v>
      </c>
      <c r="D1046" s="4" t="str">
        <f t="shared" si="32"/>
        <v>Finance</v>
      </c>
      <c r="E1046" s="4" t="str">
        <f t="shared" si="33"/>
        <v>Director</v>
      </c>
      <c r="F1046" s="13">
        <v>707</v>
      </c>
      <c r="G1046" s="13">
        <v>5</v>
      </c>
      <c r="H1046" s="13">
        <v>7</v>
      </c>
      <c r="I1046" s="2">
        <v>31387</v>
      </c>
      <c r="J1046" s="15">
        <v>896044</v>
      </c>
      <c r="K1046" s="4" t="s">
        <v>14</v>
      </c>
      <c r="L1046" s="27">
        <f t="shared" si="34"/>
        <v>1985</v>
      </c>
      <c r="M1046" s="27">
        <f t="shared" si="35"/>
        <v>1</v>
      </c>
      <c r="N1046" s="27">
        <f t="shared" ca="1" si="36"/>
        <v>41</v>
      </c>
      <c r="O1046" s="27" t="str" cm="1">
        <f t="array" ref="O1046">_xlfn.IFS($F1046&gt;=750,"Excellent",$F1046&gt;=700,"Good",$F1046&gt;=650,"Moderate",
$F1046&lt;650,"Risky"
)</f>
        <v>Good</v>
      </c>
      <c r="P1046" s="27" t="str" cm="1">
        <f t="array" ref="P1046">_xlfn.IFS(
AND(F1046&gt;=750,H1046&lt;=2),"Low Risk",
AND(F1046&gt;=700,H1046&lt;=5),"Medium Risk",
TRUE,"High Risk"
)</f>
        <v>High Risk</v>
      </c>
      <c r="Q1046" s="5"/>
      <c r="R1046" s="5"/>
      <c r="S1046" s="5"/>
      <c r="T1046" s="5"/>
      <c r="U1046" s="5"/>
      <c r="V1046" s="5"/>
      <c r="W1046" s="5"/>
      <c r="X1046" s="5"/>
      <c r="Y1046" s="5"/>
    </row>
    <row r="1047" spans="1:25" ht="15.75" customHeight="1" x14ac:dyDescent="0.25">
      <c r="A1047" s="2">
        <v>43982</v>
      </c>
      <c r="B1047" s="3">
        <v>77498</v>
      </c>
      <c r="C1047" s="4" t="s">
        <v>19</v>
      </c>
      <c r="D1047" s="4" t="str">
        <f t="shared" si="32"/>
        <v>Marketing</v>
      </c>
      <c r="E1047" s="4" t="str">
        <f t="shared" si="33"/>
        <v>Manager</v>
      </c>
      <c r="F1047" s="13">
        <v>767</v>
      </c>
      <c r="G1047" s="13">
        <v>1</v>
      </c>
      <c r="H1047" s="13">
        <v>4</v>
      </c>
      <c r="I1047" s="2">
        <v>30371</v>
      </c>
      <c r="J1047" s="15">
        <v>551373</v>
      </c>
      <c r="K1047" s="4" t="s">
        <v>21</v>
      </c>
      <c r="L1047" s="27">
        <f t="shared" si="34"/>
        <v>1983</v>
      </c>
      <c r="M1047" s="27">
        <f t="shared" si="35"/>
        <v>5</v>
      </c>
      <c r="N1047" s="27">
        <f t="shared" ca="1" si="36"/>
        <v>43</v>
      </c>
      <c r="O1047" s="27" t="str" cm="1">
        <f t="array" ref="O1047">_xlfn.IFS($F1047&gt;=750,"Excellent",$F1047&gt;=700,"Good",$F1047&gt;=650,"Moderate",
$F1047&lt;650,"Risky"
)</f>
        <v>Excellent</v>
      </c>
      <c r="P1047" s="27" t="str" cm="1">
        <f t="array" ref="P1047">_xlfn.IFS(
AND(F1047&gt;=750,H1047&lt;=2),"Low Risk",
AND(F1047&gt;=700,H1047&lt;=5),"Medium Risk",
TRUE,"High Risk"
)</f>
        <v>Medium Risk</v>
      </c>
      <c r="Q1047" s="5"/>
      <c r="R1047" s="5"/>
      <c r="S1047" s="5"/>
      <c r="T1047" s="5"/>
      <c r="U1047" s="5"/>
      <c r="V1047" s="5"/>
      <c r="W1047" s="5"/>
      <c r="X1047" s="5"/>
      <c r="Y1047" s="5"/>
    </row>
    <row r="1048" spans="1:25" ht="15.75" customHeight="1" x14ac:dyDescent="0.25">
      <c r="A1048" s="2">
        <v>43901</v>
      </c>
      <c r="B1048" s="3">
        <v>50068</v>
      </c>
      <c r="C1048" s="4" t="s">
        <v>34</v>
      </c>
      <c r="D1048" s="4" t="str">
        <f t="shared" si="32"/>
        <v>Finance</v>
      </c>
      <c r="E1048" s="4" t="str">
        <f t="shared" si="33"/>
        <v>Director</v>
      </c>
      <c r="F1048" s="13">
        <v>710</v>
      </c>
      <c r="G1048" s="13">
        <v>1</v>
      </c>
      <c r="H1048" s="13">
        <v>2</v>
      </c>
      <c r="I1048" s="2">
        <v>30947</v>
      </c>
      <c r="J1048" s="15">
        <v>678013</v>
      </c>
      <c r="K1048" s="4" t="s">
        <v>14</v>
      </c>
      <c r="L1048" s="27">
        <f t="shared" si="34"/>
        <v>1984</v>
      </c>
      <c r="M1048" s="27">
        <f t="shared" si="35"/>
        <v>3</v>
      </c>
      <c r="N1048" s="27">
        <f t="shared" ca="1" si="36"/>
        <v>42</v>
      </c>
      <c r="O1048" s="27" t="str" cm="1">
        <f t="array" ref="O1048">_xlfn.IFS($F1048&gt;=750,"Excellent",$F1048&gt;=700,"Good",$F1048&gt;=650,"Moderate",
$F1048&lt;650,"Risky"
)</f>
        <v>Good</v>
      </c>
      <c r="P1048" s="27" t="str" cm="1">
        <f t="array" ref="P1048">_xlfn.IFS(
AND(F1048&gt;=750,H1048&lt;=2),"Low Risk",
AND(F1048&gt;=700,H1048&lt;=5),"Medium Risk",
TRUE,"High Risk"
)</f>
        <v>Medium Risk</v>
      </c>
      <c r="Q1048" s="5"/>
      <c r="R1048" s="5"/>
      <c r="S1048" s="5"/>
      <c r="T1048" s="5"/>
      <c r="U1048" s="5"/>
      <c r="V1048" s="5"/>
      <c r="W1048" s="5"/>
      <c r="X1048" s="5"/>
      <c r="Y1048" s="5"/>
    </row>
    <row r="1049" spans="1:25" ht="15.75" customHeight="1" x14ac:dyDescent="0.25">
      <c r="A1049" s="2">
        <v>43916</v>
      </c>
      <c r="B1049" s="3">
        <v>25864</v>
      </c>
      <c r="C1049" s="4" t="s">
        <v>34</v>
      </c>
      <c r="D1049" s="4" t="str">
        <f t="shared" si="32"/>
        <v>Finance</v>
      </c>
      <c r="E1049" s="4" t="str">
        <f t="shared" si="33"/>
        <v>Director</v>
      </c>
      <c r="F1049" s="13">
        <v>748</v>
      </c>
      <c r="G1049" s="13">
        <v>1</v>
      </c>
      <c r="H1049" s="13">
        <v>9</v>
      </c>
      <c r="I1049" s="2">
        <v>30913</v>
      </c>
      <c r="J1049" s="15">
        <v>576506</v>
      </c>
      <c r="K1049" s="4" t="s">
        <v>21</v>
      </c>
      <c r="L1049" s="27">
        <f t="shared" si="34"/>
        <v>1984</v>
      </c>
      <c r="M1049" s="27">
        <f t="shared" si="35"/>
        <v>3</v>
      </c>
      <c r="N1049" s="27">
        <f t="shared" ca="1" si="36"/>
        <v>42</v>
      </c>
      <c r="O1049" s="27" t="str" cm="1">
        <f t="array" ref="O1049">_xlfn.IFS($F1049&gt;=750,"Excellent",$F1049&gt;=700,"Good",$F1049&gt;=650,"Moderate",
$F1049&lt;650,"Risky"
)</f>
        <v>Good</v>
      </c>
      <c r="P1049" s="27" t="str" cm="1">
        <f t="array" ref="P1049">_xlfn.IFS(
AND(F1049&gt;=750,H1049&lt;=2),"Low Risk",
AND(F1049&gt;=700,H1049&lt;=5),"Medium Risk",
TRUE,"High Risk"
)</f>
        <v>High Risk</v>
      </c>
      <c r="Q1049" s="5"/>
      <c r="R1049" s="5"/>
      <c r="S1049" s="5"/>
      <c r="T1049" s="5"/>
      <c r="U1049" s="5"/>
      <c r="V1049" s="5"/>
      <c r="W1049" s="5"/>
      <c r="X1049" s="5"/>
      <c r="Y1049" s="5"/>
    </row>
    <row r="1050" spans="1:25" ht="15.75" customHeight="1" x14ac:dyDescent="0.25">
      <c r="A1050" s="2">
        <v>44067</v>
      </c>
      <c r="B1050" s="3">
        <v>15523</v>
      </c>
      <c r="C1050" s="4" t="s">
        <v>37</v>
      </c>
      <c r="D1050" s="4" t="str">
        <f t="shared" si="32"/>
        <v>Strategy</v>
      </c>
      <c r="E1050" s="4" t="str">
        <f t="shared" si="33"/>
        <v>Director</v>
      </c>
      <c r="F1050" s="13">
        <v>703</v>
      </c>
      <c r="G1050" s="13">
        <v>5</v>
      </c>
      <c r="H1050" s="13">
        <v>5</v>
      </c>
      <c r="I1050" s="2">
        <v>32649</v>
      </c>
      <c r="J1050" s="15">
        <v>578683</v>
      </c>
      <c r="K1050" s="4" t="s">
        <v>21</v>
      </c>
      <c r="L1050" s="27">
        <f t="shared" si="34"/>
        <v>1989</v>
      </c>
      <c r="M1050" s="27">
        <f t="shared" si="35"/>
        <v>8</v>
      </c>
      <c r="N1050" s="27">
        <f t="shared" ca="1" si="36"/>
        <v>37</v>
      </c>
      <c r="O1050" s="27" t="str" cm="1">
        <f t="array" ref="O1050">_xlfn.IFS($F1050&gt;=750,"Excellent",$F1050&gt;=700,"Good",$F1050&gt;=650,"Moderate",
$F1050&lt;650,"Risky"
)</f>
        <v>Good</v>
      </c>
      <c r="P1050" s="27" t="str" cm="1">
        <f t="array" ref="P1050">_xlfn.IFS(
AND(F1050&gt;=750,H1050&lt;=2),"Low Risk",
AND(F1050&gt;=700,H1050&lt;=5),"Medium Risk",
TRUE,"High Risk"
)</f>
        <v>Medium Risk</v>
      </c>
      <c r="Q1050" s="5"/>
      <c r="R1050" s="5"/>
      <c r="S1050" s="5"/>
      <c r="T1050" s="5"/>
      <c r="U1050" s="5"/>
      <c r="V1050" s="5"/>
      <c r="W1050" s="5"/>
      <c r="X1050" s="5"/>
      <c r="Y1050" s="5"/>
    </row>
    <row r="1051" spans="1:25" ht="15.75" customHeight="1" x14ac:dyDescent="0.25">
      <c r="A1051" s="2">
        <v>44042</v>
      </c>
      <c r="B1051" s="3">
        <v>12810</v>
      </c>
      <c r="C1051" s="4" t="s">
        <v>16</v>
      </c>
      <c r="D1051" s="4" t="str">
        <f t="shared" si="32"/>
        <v>Marketing</v>
      </c>
      <c r="E1051" s="4" t="str">
        <f t="shared" si="33"/>
        <v>Executive</v>
      </c>
      <c r="F1051" s="13">
        <v>783</v>
      </c>
      <c r="G1051" s="13">
        <v>2</v>
      </c>
      <c r="H1051" s="13">
        <v>8</v>
      </c>
      <c r="I1051" s="2">
        <v>33322</v>
      </c>
      <c r="J1051" s="15">
        <v>773923</v>
      </c>
      <c r="K1051" s="4" t="s">
        <v>18</v>
      </c>
      <c r="L1051" s="27">
        <f t="shared" si="34"/>
        <v>1991</v>
      </c>
      <c r="M1051" s="27">
        <f t="shared" si="35"/>
        <v>7</v>
      </c>
      <c r="N1051" s="27">
        <f t="shared" ca="1" si="36"/>
        <v>35</v>
      </c>
      <c r="O1051" s="27" t="str" cm="1">
        <f t="array" ref="O1051">_xlfn.IFS($F1051&gt;=750,"Excellent",$F1051&gt;=700,"Good",$F1051&gt;=650,"Moderate",
$F1051&lt;650,"Risky"
)</f>
        <v>Excellent</v>
      </c>
      <c r="P1051" s="27" t="str" cm="1">
        <f t="array" ref="P1051">_xlfn.IFS(
AND(F1051&gt;=750,H1051&lt;=2),"Low Risk",
AND(F1051&gt;=700,H1051&lt;=5),"Medium Risk",
TRUE,"High Risk"
)</f>
        <v>High Risk</v>
      </c>
      <c r="Q1051" s="5"/>
      <c r="R1051" s="5"/>
      <c r="S1051" s="5"/>
      <c r="T1051" s="5"/>
      <c r="U1051" s="5"/>
      <c r="V1051" s="5"/>
      <c r="W1051" s="5"/>
      <c r="X1051" s="5"/>
      <c r="Y1051" s="5"/>
    </row>
    <row r="1052" spans="1:25" ht="15.75" customHeight="1" x14ac:dyDescent="0.25">
      <c r="A1052" s="2">
        <v>43877</v>
      </c>
      <c r="B1052" s="3">
        <v>28938</v>
      </c>
      <c r="C1052" s="4" t="s">
        <v>32</v>
      </c>
      <c r="D1052" s="4" t="str">
        <f t="shared" si="32"/>
        <v>Finance</v>
      </c>
      <c r="E1052" s="4" t="str">
        <f t="shared" si="33"/>
        <v>Executive</v>
      </c>
      <c r="F1052" s="13">
        <v>714</v>
      </c>
      <c r="G1052" s="13">
        <v>3</v>
      </c>
      <c r="H1052" s="13">
        <v>7</v>
      </c>
      <c r="I1052" s="2">
        <v>33766</v>
      </c>
      <c r="J1052" s="15">
        <v>567036</v>
      </c>
      <c r="K1052" s="4" t="s">
        <v>21</v>
      </c>
      <c r="L1052" s="27">
        <f t="shared" si="34"/>
        <v>1992</v>
      </c>
      <c r="M1052" s="27">
        <f t="shared" si="35"/>
        <v>2</v>
      </c>
      <c r="N1052" s="27">
        <f t="shared" ca="1" si="36"/>
        <v>34</v>
      </c>
      <c r="O1052" s="27" t="str" cm="1">
        <f t="array" ref="O1052">_xlfn.IFS($F1052&gt;=750,"Excellent",$F1052&gt;=700,"Good",$F1052&gt;=650,"Moderate",
$F1052&lt;650,"Risky"
)</f>
        <v>Good</v>
      </c>
      <c r="P1052" s="27" t="str" cm="1">
        <f t="array" ref="P1052">_xlfn.IFS(
AND(F1052&gt;=750,H1052&lt;=2),"Low Risk",
AND(F1052&gt;=700,H1052&lt;=5),"Medium Risk",
TRUE,"High Risk"
)</f>
        <v>High Risk</v>
      </c>
      <c r="Q1052" s="5"/>
      <c r="R1052" s="5"/>
      <c r="S1052" s="5"/>
      <c r="T1052" s="5"/>
      <c r="U1052" s="5"/>
      <c r="V1052" s="5"/>
      <c r="W1052" s="5"/>
      <c r="X1052" s="5"/>
      <c r="Y1052" s="5"/>
    </row>
    <row r="1053" spans="1:25" ht="15.75" customHeight="1" x14ac:dyDescent="0.25">
      <c r="A1053" s="2">
        <v>43898</v>
      </c>
      <c r="B1053" s="3">
        <v>38868</v>
      </c>
      <c r="C1053" s="4" t="s">
        <v>38</v>
      </c>
      <c r="D1053" s="4" t="str">
        <f t="shared" si="32"/>
        <v>Finance</v>
      </c>
      <c r="E1053" s="4" t="str">
        <f t="shared" si="33"/>
        <v>Manager</v>
      </c>
      <c r="F1053" s="13">
        <v>786</v>
      </c>
      <c r="G1053" s="13">
        <v>5</v>
      </c>
      <c r="H1053" s="13">
        <v>9</v>
      </c>
      <c r="I1053" s="2">
        <v>33532</v>
      </c>
      <c r="J1053" s="15">
        <v>774453</v>
      </c>
      <c r="K1053" s="4" t="s">
        <v>14</v>
      </c>
      <c r="L1053" s="27">
        <f t="shared" si="34"/>
        <v>1991</v>
      </c>
      <c r="M1053" s="27">
        <f t="shared" si="35"/>
        <v>3</v>
      </c>
      <c r="N1053" s="27">
        <f t="shared" ca="1" si="36"/>
        <v>35</v>
      </c>
      <c r="O1053" s="27" t="str" cm="1">
        <f t="array" ref="O1053">_xlfn.IFS($F1053&gt;=750,"Excellent",$F1053&gt;=700,"Good",$F1053&gt;=650,"Moderate",
$F1053&lt;650,"Risky"
)</f>
        <v>Excellent</v>
      </c>
      <c r="P1053" s="27" t="str" cm="1">
        <f t="array" ref="P1053">_xlfn.IFS(
AND(F1053&gt;=750,H1053&lt;=2),"Low Risk",
AND(F1053&gt;=700,H1053&lt;=5),"Medium Risk",
TRUE,"High Risk"
)</f>
        <v>High Risk</v>
      </c>
      <c r="Q1053" s="5"/>
      <c r="R1053" s="5"/>
      <c r="S1053" s="5"/>
      <c r="T1053" s="5"/>
      <c r="U1053" s="5"/>
      <c r="V1053" s="5"/>
      <c r="W1053" s="5"/>
      <c r="X1053" s="5"/>
      <c r="Y1053" s="5"/>
    </row>
    <row r="1054" spans="1:25" ht="15.75" customHeight="1" x14ac:dyDescent="0.25">
      <c r="A1054" s="2">
        <v>43967</v>
      </c>
      <c r="B1054" s="3">
        <v>98711</v>
      </c>
      <c r="C1054" s="4" t="s">
        <v>34</v>
      </c>
      <c r="D1054" s="4" t="str">
        <f t="shared" si="32"/>
        <v>Finance</v>
      </c>
      <c r="E1054" s="4" t="str">
        <f t="shared" si="33"/>
        <v>Director</v>
      </c>
      <c r="F1054" s="13">
        <v>744</v>
      </c>
      <c r="G1054" s="13">
        <v>2</v>
      </c>
      <c r="H1054" s="13">
        <v>9</v>
      </c>
      <c r="I1054" s="2">
        <v>33866</v>
      </c>
      <c r="J1054" s="15">
        <v>622283</v>
      </c>
      <c r="K1054" s="4" t="s">
        <v>14</v>
      </c>
      <c r="L1054" s="27">
        <f t="shared" si="34"/>
        <v>1992</v>
      </c>
      <c r="M1054" s="27">
        <f t="shared" si="35"/>
        <v>5</v>
      </c>
      <c r="N1054" s="27">
        <f t="shared" ca="1" si="36"/>
        <v>34</v>
      </c>
      <c r="O1054" s="27" t="str" cm="1">
        <f t="array" ref="O1054">_xlfn.IFS($F1054&gt;=750,"Excellent",$F1054&gt;=700,"Good",$F1054&gt;=650,"Moderate",
$F1054&lt;650,"Risky"
)</f>
        <v>Good</v>
      </c>
      <c r="P1054" s="27" t="str" cm="1">
        <f t="array" ref="P1054">_xlfn.IFS(
AND(F1054&gt;=750,H1054&lt;=2),"Low Risk",
AND(F1054&gt;=700,H1054&lt;=5),"Medium Risk",
TRUE,"High Risk"
)</f>
        <v>High Risk</v>
      </c>
      <c r="Q1054" s="5"/>
      <c r="R1054" s="5"/>
      <c r="S1054" s="5"/>
      <c r="T1054" s="5"/>
      <c r="U1054" s="5"/>
      <c r="V1054" s="5"/>
      <c r="W1054" s="5"/>
      <c r="X1054" s="5"/>
      <c r="Y1054" s="5"/>
    </row>
    <row r="1055" spans="1:25" ht="15.75" customHeight="1" x14ac:dyDescent="0.25">
      <c r="A1055" s="2">
        <v>43991</v>
      </c>
      <c r="B1055" s="3">
        <v>79287</v>
      </c>
      <c r="C1055" s="4" t="s">
        <v>16</v>
      </c>
      <c r="D1055" s="4" t="str">
        <f t="shared" si="32"/>
        <v>Marketing</v>
      </c>
      <c r="E1055" s="4" t="str">
        <f t="shared" si="33"/>
        <v>Executive</v>
      </c>
      <c r="F1055" s="13">
        <v>760</v>
      </c>
      <c r="G1055" s="13">
        <v>1</v>
      </c>
      <c r="H1055" s="13">
        <v>3</v>
      </c>
      <c r="I1055" s="2">
        <v>29659</v>
      </c>
      <c r="J1055" s="15">
        <v>611744</v>
      </c>
      <c r="K1055" s="4" t="s">
        <v>14</v>
      </c>
      <c r="L1055" s="27">
        <f t="shared" si="34"/>
        <v>1981</v>
      </c>
      <c r="M1055" s="27">
        <f t="shared" si="35"/>
        <v>6</v>
      </c>
      <c r="N1055" s="27">
        <f t="shared" ca="1" si="36"/>
        <v>45</v>
      </c>
      <c r="O1055" s="27" t="str" cm="1">
        <f t="array" ref="O1055">_xlfn.IFS($F1055&gt;=750,"Excellent",$F1055&gt;=700,"Good",$F1055&gt;=650,"Moderate",
$F1055&lt;650,"Risky"
)</f>
        <v>Excellent</v>
      </c>
      <c r="P1055" s="27" t="str" cm="1">
        <f t="array" ref="P1055">_xlfn.IFS(
AND(F1055&gt;=750,H1055&lt;=2),"Low Risk",
AND(F1055&gt;=700,H1055&lt;=5),"Medium Risk",
TRUE,"High Risk"
)</f>
        <v>Medium Risk</v>
      </c>
      <c r="Q1055" s="5"/>
      <c r="R1055" s="5"/>
      <c r="S1055" s="5"/>
      <c r="T1055" s="5"/>
      <c r="U1055" s="5"/>
      <c r="V1055" s="5"/>
      <c r="W1055" s="5"/>
      <c r="X1055" s="5"/>
      <c r="Y1055" s="5"/>
    </row>
    <row r="1056" spans="1:25" ht="15.75" customHeight="1" x14ac:dyDescent="0.25">
      <c r="A1056" s="2">
        <v>44016</v>
      </c>
      <c r="B1056" s="3">
        <v>19045</v>
      </c>
      <c r="C1056" s="4" t="s">
        <v>15</v>
      </c>
      <c r="D1056" s="4" t="str">
        <f t="shared" si="32"/>
        <v>Operation</v>
      </c>
      <c r="E1056" s="4" t="str">
        <f t="shared" si="33"/>
        <v>Executive</v>
      </c>
      <c r="F1056" s="13">
        <v>796</v>
      </c>
      <c r="G1056" s="13">
        <v>2</v>
      </c>
      <c r="H1056" s="13">
        <v>10</v>
      </c>
      <c r="I1056" s="2">
        <v>30783</v>
      </c>
      <c r="J1056" s="15">
        <v>628943</v>
      </c>
      <c r="K1056" s="4" t="s">
        <v>18</v>
      </c>
      <c r="L1056" s="27">
        <f t="shared" si="34"/>
        <v>1984</v>
      </c>
      <c r="M1056" s="27">
        <f t="shared" si="35"/>
        <v>7</v>
      </c>
      <c r="N1056" s="27">
        <f t="shared" ca="1" si="36"/>
        <v>42</v>
      </c>
      <c r="O1056" s="27" t="str" cm="1">
        <f t="array" ref="O1056">_xlfn.IFS($F1056&gt;=750,"Excellent",$F1056&gt;=700,"Good",$F1056&gt;=650,"Moderate",
$F1056&lt;650,"Risky"
)</f>
        <v>Excellent</v>
      </c>
      <c r="P1056" s="27" t="str" cm="1">
        <f t="array" ref="P1056">_xlfn.IFS(
AND(F1056&gt;=750,H1056&lt;=2),"Low Risk",
AND(F1056&gt;=700,H1056&lt;=5),"Medium Risk",
TRUE,"High Risk"
)</f>
        <v>High Risk</v>
      </c>
      <c r="Q1056" s="5"/>
      <c r="R1056" s="5"/>
      <c r="S1056" s="5"/>
      <c r="T1056" s="5"/>
      <c r="U1056" s="5"/>
      <c r="V1056" s="5"/>
      <c r="W1056" s="5"/>
      <c r="X1056" s="5"/>
      <c r="Y1056" s="5"/>
    </row>
    <row r="1057" spans="1:25" ht="15.75" customHeight="1" x14ac:dyDescent="0.25">
      <c r="A1057" s="2">
        <v>43958</v>
      </c>
      <c r="B1057" s="3">
        <v>85012</v>
      </c>
      <c r="C1057" s="4" t="s">
        <v>29</v>
      </c>
      <c r="D1057" s="4" t="str">
        <f t="shared" si="32"/>
        <v>Sales</v>
      </c>
      <c r="E1057" s="4" t="str">
        <f t="shared" si="33"/>
        <v>Director</v>
      </c>
      <c r="F1057" s="13">
        <v>732</v>
      </c>
      <c r="G1057" s="13">
        <v>4</v>
      </c>
      <c r="H1057" s="13">
        <v>7</v>
      </c>
      <c r="I1057" s="2">
        <v>32937</v>
      </c>
      <c r="J1057" s="15">
        <v>708934</v>
      </c>
      <c r="K1057" s="4" t="s">
        <v>21</v>
      </c>
      <c r="L1057" s="27">
        <f t="shared" si="34"/>
        <v>1990</v>
      </c>
      <c r="M1057" s="27">
        <f t="shared" si="35"/>
        <v>5</v>
      </c>
      <c r="N1057" s="27">
        <f t="shared" ca="1" si="36"/>
        <v>36</v>
      </c>
      <c r="O1057" s="27" t="str" cm="1">
        <f t="array" ref="O1057">_xlfn.IFS($F1057&gt;=750,"Excellent",$F1057&gt;=700,"Good",$F1057&gt;=650,"Moderate",
$F1057&lt;650,"Risky"
)</f>
        <v>Good</v>
      </c>
      <c r="P1057" s="27" t="str" cm="1">
        <f t="array" ref="P1057">_xlfn.IFS(
AND(F1057&gt;=750,H1057&lt;=2),"Low Risk",
AND(F1057&gt;=700,H1057&lt;=5),"Medium Risk",
TRUE,"High Risk"
)</f>
        <v>High Risk</v>
      </c>
      <c r="Q1057" s="5"/>
      <c r="R1057" s="5"/>
      <c r="S1057" s="5"/>
      <c r="T1057" s="5"/>
      <c r="U1057" s="5"/>
      <c r="V1057" s="5"/>
      <c r="W1057" s="5"/>
      <c r="X1057" s="5"/>
      <c r="Y1057" s="5"/>
    </row>
    <row r="1058" spans="1:25" ht="15.75" customHeight="1" x14ac:dyDescent="0.25">
      <c r="A1058" s="2">
        <v>43969</v>
      </c>
      <c r="B1058" s="3">
        <v>26130</v>
      </c>
      <c r="C1058" s="4" t="s">
        <v>16</v>
      </c>
      <c r="D1058" s="4" t="str">
        <f t="shared" si="32"/>
        <v>Marketing</v>
      </c>
      <c r="E1058" s="4" t="str">
        <f t="shared" si="33"/>
        <v>Executive</v>
      </c>
      <c r="F1058" s="13">
        <v>750</v>
      </c>
      <c r="G1058" s="13">
        <v>3</v>
      </c>
      <c r="H1058" s="13">
        <v>3</v>
      </c>
      <c r="I1058" s="2">
        <v>31624</v>
      </c>
      <c r="J1058" s="15">
        <v>702540</v>
      </c>
      <c r="K1058" s="4" t="s">
        <v>21</v>
      </c>
      <c r="L1058" s="27">
        <f t="shared" si="34"/>
        <v>1986</v>
      </c>
      <c r="M1058" s="27">
        <f t="shared" si="35"/>
        <v>5</v>
      </c>
      <c r="N1058" s="27">
        <f t="shared" ca="1" si="36"/>
        <v>40</v>
      </c>
      <c r="O1058" s="27" t="str" cm="1">
        <f t="array" ref="O1058">_xlfn.IFS($F1058&gt;=750,"Excellent",$F1058&gt;=700,"Good",$F1058&gt;=650,"Moderate",
$F1058&lt;650,"Risky"
)</f>
        <v>Excellent</v>
      </c>
      <c r="P1058" s="27" t="str" cm="1">
        <f t="array" ref="P1058">_xlfn.IFS(
AND(F1058&gt;=750,H1058&lt;=2),"Low Risk",
AND(F1058&gt;=700,H1058&lt;=5),"Medium Risk",
TRUE,"High Risk"
)</f>
        <v>Medium Risk</v>
      </c>
      <c r="Q1058" s="5"/>
      <c r="R1058" s="5"/>
      <c r="S1058" s="5"/>
      <c r="T1058" s="5"/>
      <c r="U1058" s="5"/>
      <c r="V1058" s="5"/>
      <c r="W1058" s="5"/>
      <c r="X1058" s="5"/>
      <c r="Y1058" s="5"/>
    </row>
    <row r="1059" spans="1:25" ht="15.75" customHeight="1" x14ac:dyDescent="0.25">
      <c r="A1059" s="2">
        <v>43863</v>
      </c>
      <c r="B1059" s="3">
        <v>75676</v>
      </c>
      <c r="C1059" s="4" t="s">
        <v>34</v>
      </c>
      <c r="D1059" s="4" t="str">
        <f t="shared" si="32"/>
        <v>Finance</v>
      </c>
      <c r="E1059" s="4" t="str">
        <f t="shared" si="33"/>
        <v>Director</v>
      </c>
      <c r="F1059" s="13">
        <v>782</v>
      </c>
      <c r="G1059" s="13">
        <v>5</v>
      </c>
      <c r="H1059" s="13">
        <v>9</v>
      </c>
      <c r="I1059" s="2">
        <v>33797</v>
      </c>
      <c r="J1059" s="15">
        <v>972215</v>
      </c>
      <c r="K1059" s="4" t="s">
        <v>18</v>
      </c>
      <c r="L1059" s="27">
        <f t="shared" si="34"/>
        <v>1992</v>
      </c>
      <c r="M1059" s="27">
        <f t="shared" si="35"/>
        <v>2</v>
      </c>
      <c r="N1059" s="27">
        <f t="shared" ca="1" si="36"/>
        <v>34</v>
      </c>
      <c r="O1059" s="27" t="str" cm="1">
        <f t="array" ref="O1059">_xlfn.IFS($F1059&gt;=750,"Excellent",$F1059&gt;=700,"Good",$F1059&gt;=650,"Moderate",
$F1059&lt;650,"Risky"
)</f>
        <v>Excellent</v>
      </c>
      <c r="P1059" s="27" t="str" cm="1">
        <f t="array" ref="P1059">_xlfn.IFS(
AND(F1059&gt;=750,H1059&lt;=2),"Low Risk",
AND(F1059&gt;=700,H1059&lt;=5),"Medium Risk",
TRUE,"High Risk"
)</f>
        <v>High Risk</v>
      </c>
      <c r="Q1059" s="5"/>
      <c r="R1059" s="5"/>
      <c r="S1059" s="5"/>
      <c r="T1059" s="5"/>
      <c r="U1059" s="5"/>
      <c r="V1059" s="5"/>
      <c r="W1059" s="5"/>
      <c r="X1059" s="5"/>
      <c r="Y1059" s="5"/>
    </row>
    <row r="1060" spans="1:25" ht="15.75" customHeight="1" x14ac:dyDescent="0.25">
      <c r="A1060" s="2">
        <v>43924</v>
      </c>
      <c r="B1060" s="3">
        <v>33039</v>
      </c>
      <c r="C1060" s="4" t="s">
        <v>17</v>
      </c>
      <c r="D1060" s="4" t="str">
        <f t="shared" si="32"/>
        <v>Growth</v>
      </c>
      <c r="E1060" s="4" t="str">
        <f t="shared" si="33"/>
        <v>Manager</v>
      </c>
      <c r="F1060" s="13">
        <v>727</v>
      </c>
      <c r="G1060" s="13">
        <v>3</v>
      </c>
      <c r="H1060" s="13">
        <v>1</v>
      </c>
      <c r="I1060" s="2">
        <v>33560</v>
      </c>
      <c r="J1060" s="15">
        <v>768217</v>
      </c>
      <c r="K1060" s="4" t="s">
        <v>21</v>
      </c>
      <c r="L1060" s="27">
        <f t="shared" si="34"/>
        <v>1991</v>
      </c>
      <c r="M1060" s="27">
        <f t="shared" si="35"/>
        <v>4</v>
      </c>
      <c r="N1060" s="27">
        <f t="shared" ca="1" si="36"/>
        <v>35</v>
      </c>
      <c r="O1060" s="27" t="str" cm="1">
        <f t="array" ref="O1060">_xlfn.IFS($F1060&gt;=750,"Excellent",$F1060&gt;=700,"Good",$F1060&gt;=650,"Moderate",
$F1060&lt;650,"Risky"
)</f>
        <v>Good</v>
      </c>
      <c r="P1060" s="27" t="str" cm="1">
        <f t="array" ref="P1060">_xlfn.IFS(
AND(F1060&gt;=750,H1060&lt;=2),"Low Risk",
AND(F1060&gt;=700,H1060&lt;=5),"Medium Risk",
TRUE,"High Risk"
)</f>
        <v>Medium Risk</v>
      </c>
      <c r="Q1060" s="5"/>
      <c r="R1060" s="5"/>
      <c r="S1060" s="5"/>
      <c r="T1060" s="5"/>
      <c r="U1060" s="5"/>
      <c r="V1060" s="5"/>
      <c r="W1060" s="5"/>
      <c r="X1060" s="5"/>
      <c r="Y1060" s="5"/>
    </row>
    <row r="1061" spans="1:25" ht="15.75" customHeight="1" x14ac:dyDescent="0.25">
      <c r="A1061" s="2">
        <v>43991</v>
      </c>
      <c r="B1061" s="3">
        <v>25933</v>
      </c>
      <c r="C1061" s="4" t="s">
        <v>23</v>
      </c>
      <c r="D1061" s="4" t="str">
        <f t="shared" si="32"/>
        <v>Marketing</v>
      </c>
      <c r="E1061" s="4" t="str">
        <f t="shared" si="33"/>
        <v>Intern</v>
      </c>
      <c r="F1061" s="13">
        <v>795</v>
      </c>
      <c r="G1061" s="13">
        <v>1</v>
      </c>
      <c r="H1061" s="13">
        <v>6</v>
      </c>
      <c r="I1061" s="2">
        <v>32592</v>
      </c>
      <c r="J1061" s="15">
        <v>551272</v>
      </c>
      <c r="K1061" s="4" t="s">
        <v>21</v>
      </c>
      <c r="L1061" s="27">
        <f t="shared" si="34"/>
        <v>1989</v>
      </c>
      <c r="M1061" s="27">
        <f t="shared" si="35"/>
        <v>6</v>
      </c>
      <c r="N1061" s="27">
        <f t="shared" ca="1" si="36"/>
        <v>37</v>
      </c>
      <c r="O1061" s="27" t="str" cm="1">
        <f t="array" ref="O1061">_xlfn.IFS($F1061&gt;=750,"Excellent",$F1061&gt;=700,"Good",$F1061&gt;=650,"Moderate",
$F1061&lt;650,"Risky"
)</f>
        <v>Excellent</v>
      </c>
      <c r="P1061" s="27" t="str" cm="1">
        <f t="array" ref="P1061">_xlfn.IFS(
AND(F1061&gt;=750,H1061&lt;=2),"Low Risk",
AND(F1061&gt;=700,H1061&lt;=5),"Medium Risk",
TRUE,"High Risk"
)</f>
        <v>High Risk</v>
      </c>
      <c r="Q1061" s="5"/>
      <c r="R1061" s="5"/>
      <c r="S1061" s="5"/>
      <c r="T1061" s="5"/>
      <c r="U1061" s="5"/>
      <c r="V1061" s="5"/>
      <c r="W1061" s="5"/>
      <c r="X1061" s="5"/>
      <c r="Y1061" s="5"/>
    </row>
    <row r="1062" spans="1:25" ht="15.75" customHeight="1" x14ac:dyDescent="0.25">
      <c r="A1062" s="2">
        <v>43979</v>
      </c>
      <c r="B1062" s="3">
        <v>87206</v>
      </c>
      <c r="C1062" s="4" t="s">
        <v>16</v>
      </c>
      <c r="D1062" s="4" t="str">
        <f t="shared" si="32"/>
        <v>Marketing</v>
      </c>
      <c r="E1062" s="4" t="str">
        <f t="shared" si="33"/>
        <v>Executive</v>
      </c>
      <c r="F1062" s="13">
        <v>797</v>
      </c>
      <c r="G1062" s="13">
        <v>2</v>
      </c>
      <c r="H1062" s="13">
        <v>4</v>
      </c>
      <c r="I1062" s="2">
        <v>32699</v>
      </c>
      <c r="J1062" s="15">
        <v>778299</v>
      </c>
      <c r="K1062" s="4" t="s">
        <v>18</v>
      </c>
      <c r="L1062" s="27">
        <f t="shared" si="34"/>
        <v>1989</v>
      </c>
      <c r="M1062" s="27">
        <f t="shared" si="35"/>
        <v>5</v>
      </c>
      <c r="N1062" s="27">
        <f t="shared" ca="1" si="36"/>
        <v>37</v>
      </c>
      <c r="O1062" s="27" t="str" cm="1">
        <f t="array" ref="O1062">_xlfn.IFS($F1062&gt;=750,"Excellent",$F1062&gt;=700,"Good",$F1062&gt;=650,"Moderate",
$F1062&lt;650,"Risky"
)</f>
        <v>Excellent</v>
      </c>
      <c r="P1062" s="27" t="str" cm="1">
        <f t="array" ref="P1062">_xlfn.IFS(
AND(F1062&gt;=750,H1062&lt;=2),"Low Risk",
AND(F1062&gt;=700,H1062&lt;=5),"Medium Risk",
TRUE,"High Risk"
)</f>
        <v>Medium Risk</v>
      </c>
      <c r="Q1062" s="5"/>
      <c r="R1062" s="5"/>
      <c r="S1062" s="5"/>
      <c r="T1062" s="5"/>
      <c r="U1062" s="5"/>
      <c r="V1062" s="5"/>
      <c r="W1062" s="5"/>
      <c r="X1062" s="5"/>
      <c r="Y1062" s="5"/>
    </row>
    <row r="1063" spans="1:25" ht="15.75" customHeight="1" x14ac:dyDescent="0.25">
      <c r="A1063" s="2">
        <v>44012</v>
      </c>
      <c r="B1063" s="3">
        <v>90629</v>
      </c>
      <c r="C1063" s="4" t="s">
        <v>15</v>
      </c>
      <c r="D1063" s="4" t="str">
        <f t="shared" si="32"/>
        <v>Operation</v>
      </c>
      <c r="E1063" s="4" t="str">
        <f t="shared" si="33"/>
        <v>Executive</v>
      </c>
      <c r="F1063" s="13">
        <v>762</v>
      </c>
      <c r="G1063" s="13">
        <v>4</v>
      </c>
      <c r="H1063" s="13">
        <v>8</v>
      </c>
      <c r="I1063" s="2">
        <v>34077</v>
      </c>
      <c r="J1063" s="15">
        <v>885277</v>
      </c>
      <c r="K1063" s="4" t="s">
        <v>14</v>
      </c>
      <c r="L1063" s="27">
        <f t="shared" si="34"/>
        <v>1993</v>
      </c>
      <c r="M1063" s="27">
        <f t="shared" si="35"/>
        <v>6</v>
      </c>
      <c r="N1063" s="27">
        <f t="shared" ca="1" si="36"/>
        <v>33</v>
      </c>
      <c r="O1063" s="27" t="str" cm="1">
        <f t="array" ref="O1063">_xlfn.IFS($F1063&gt;=750,"Excellent",$F1063&gt;=700,"Good",$F1063&gt;=650,"Moderate",
$F1063&lt;650,"Risky"
)</f>
        <v>Excellent</v>
      </c>
      <c r="P1063" s="27" t="str" cm="1">
        <f t="array" ref="P1063">_xlfn.IFS(
AND(F1063&gt;=750,H1063&lt;=2),"Low Risk",
AND(F1063&gt;=700,H1063&lt;=5),"Medium Risk",
TRUE,"High Risk"
)</f>
        <v>High Risk</v>
      </c>
      <c r="Q1063" s="5"/>
      <c r="R1063" s="5"/>
      <c r="S1063" s="5"/>
      <c r="T1063" s="5"/>
      <c r="U1063" s="5"/>
      <c r="V1063" s="5"/>
      <c r="W1063" s="5"/>
      <c r="X1063" s="5"/>
      <c r="Y1063" s="5"/>
    </row>
    <row r="1064" spans="1:25" ht="15.75" customHeight="1" x14ac:dyDescent="0.25">
      <c r="A1064" s="2">
        <v>43877</v>
      </c>
      <c r="B1064" s="3">
        <v>21163</v>
      </c>
      <c r="C1064" s="4" t="s">
        <v>30</v>
      </c>
      <c r="D1064" s="4" t="str">
        <f t="shared" si="32"/>
        <v>Operation</v>
      </c>
      <c r="E1064" s="4" t="str">
        <f t="shared" si="33"/>
        <v>Director</v>
      </c>
      <c r="F1064" s="13">
        <v>731</v>
      </c>
      <c r="G1064" s="13">
        <v>5</v>
      </c>
      <c r="H1064" s="13">
        <v>10</v>
      </c>
      <c r="I1064" s="2">
        <v>30796</v>
      </c>
      <c r="J1064" s="15">
        <v>678764</v>
      </c>
      <c r="K1064" s="4" t="s">
        <v>21</v>
      </c>
      <c r="L1064" s="27">
        <f t="shared" si="34"/>
        <v>1984</v>
      </c>
      <c r="M1064" s="27">
        <f t="shared" si="35"/>
        <v>2</v>
      </c>
      <c r="N1064" s="27">
        <f t="shared" ca="1" si="36"/>
        <v>42</v>
      </c>
      <c r="O1064" s="27" t="str" cm="1">
        <f t="array" ref="O1064">_xlfn.IFS($F1064&gt;=750,"Excellent",$F1064&gt;=700,"Good",$F1064&gt;=650,"Moderate",
$F1064&lt;650,"Risky"
)</f>
        <v>Good</v>
      </c>
      <c r="P1064" s="27" t="str" cm="1">
        <f t="array" ref="P1064">_xlfn.IFS(
AND(F1064&gt;=750,H1064&lt;=2),"Low Risk",
AND(F1064&gt;=700,H1064&lt;=5),"Medium Risk",
TRUE,"High Risk"
)</f>
        <v>High Risk</v>
      </c>
      <c r="Q1064" s="5"/>
      <c r="R1064" s="5"/>
      <c r="S1064" s="5"/>
      <c r="T1064" s="5"/>
      <c r="U1064" s="5"/>
      <c r="V1064" s="5"/>
      <c r="W1064" s="5"/>
      <c r="X1064" s="5"/>
      <c r="Y1064" s="5"/>
    </row>
    <row r="1065" spans="1:25" ht="15.75" customHeight="1" x14ac:dyDescent="0.25">
      <c r="A1065" s="2">
        <v>43889</v>
      </c>
      <c r="B1065" s="3">
        <v>66933</v>
      </c>
      <c r="C1065" s="4" t="s">
        <v>38</v>
      </c>
      <c r="D1065" s="4" t="str">
        <f t="shared" si="32"/>
        <v>Finance</v>
      </c>
      <c r="E1065" s="4" t="str">
        <f t="shared" si="33"/>
        <v>Manager</v>
      </c>
      <c r="F1065" s="13">
        <v>721</v>
      </c>
      <c r="G1065" s="13">
        <v>4</v>
      </c>
      <c r="H1065" s="13">
        <v>1</v>
      </c>
      <c r="I1065" s="2">
        <v>31975</v>
      </c>
      <c r="J1065" s="15">
        <v>554995</v>
      </c>
      <c r="K1065" s="4" t="s">
        <v>18</v>
      </c>
      <c r="L1065" s="27">
        <f t="shared" si="34"/>
        <v>1987</v>
      </c>
      <c r="M1065" s="27">
        <f t="shared" si="35"/>
        <v>2</v>
      </c>
      <c r="N1065" s="27">
        <f t="shared" ca="1" si="36"/>
        <v>39</v>
      </c>
      <c r="O1065" s="27" t="str" cm="1">
        <f t="array" ref="O1065">_xlfn.IFS($F1065&gt;=750,"Excellent",$F1065&gt;=700,"Good",$F1065&gt;=650,"Moderate",
$F1065&lt;650,"Risky"
)</f>
        <v>Good</v>
      </c>
      <c r="P1065" s="27" t="str" cm="1">
        <f t="array" ref="P1065">_xlfn.IFS(
AND(F1065&gt;=750,H1065&lt;=2),"Low Risk",
AND(F1065&gt;=700,H1065&lt;=5),"Medium Risk",
TRUE,"High Risk"
)</f>
        <v>Medium Risk</v>
      </c>
      <c r="Q1065" s="5"/>
      <c r="R1065" s="5"/>
      <c r="S1065" s="5"/>
      <c r="T1065" s="5"/>
      <c r="U1065" s="5"/>
      <c r="V1065" s="5"/>
      <c r="W1065" s="5"/>
      <c r="X1065" s="5"/>
      <c r="Y1065" s="5"/>
    </row>
    <row r="1066" spans="1:25" ht="15.75" customHeight="1" x14ac:dyDescent="0.25">
      <c r="A1066" s="2">
        <v>44093</v>
      </c>
      <c r="B1066" s="3">
        <v>52669</v>
      </c>
      <c r="C1066" s="4" t="s">
        <v>28</v>
      </c>
      <c r="D1066" s="4" t="str">
        <f t="shared" si="32"/>
        <v>Growth</v>
      </c>
      <c r="E1066" s="4" t="str">
        <f t="shared" si="33"/>
        <v>Director</v>
      </c>
      <c r="F1066" s="13">
        <v>777</v>
      </c>
      <c r="G1066" s="13">
        <v>3</v>
      </c>
      <c r="H1066" s="13">
        <v>1</v>
      </c>
      <c r="I1066" s="2">
        <v>32612</v>
      </c>
      <c r="J1066" s="15">
        <v>878597</v>
      </c>
      <c r="K1066" s="4" t="s">
        <v>18</v>
      </c>
      <c r="L1066" s="27">
        <f t="shared" si="34"/>
        <v>1989</v>
      </c>
      <c r="M1066" s="27">
        <f t="shared" si="35"/>
        <v>9</v>
      </c>
      <c r="N1066" s="27">
        <f t="shared" ca="1" si="36"/>
        <v>37</v>
      </c>
      <c r="O1066" s="27" t="str" cm="1">
        <f t="array" ref="O1066">_xlfn.IFS($F1066&gt;=750,"Excellent",$F1066&gt;=700,"Good",$F1066&gt;=650,"Moderate",
$F1066&lt;650,"Risky"
)</f>
        <v>Excellent</v>
      </c>
      <c r="P1066" s="27" t="str" cm="1">
        <f t="array" ref="P1066">_xlfn.IFS(
AND(F1066&gt;=750,H1066&lt;=2),"Low Risk",
AND(F1066&gt;=700,H1066&lt;=5),"Medium Risk",
TRUE,"High Risk"
)</f>
        <v>Low Risk</v>
      </c>
      <c r="Q1066" s="5"/>
      <c r="R1066" s="5"/>
      <c r="S1066" s="5"/>
      <c r="T1066" s="5"/>
      <c r="U1066" s="5"/>
      <c r="V1066" s="5"/>
      <c r="W1066" s="5"/>
      <c r="X1066" s="5"/>
      <c r="Y1066" s="5"/>
    </row>
    <row r="1067" spans="1:25" ht="15.75" customHeight="1" x14ac:dyDescent="0.25">
      <c r="A1067" s="2">
        <v>43993</v>
      </c>
      <c r="B1067" s="3">
        <v>34096</v>
      </c>
      <c r="C1067" s="4" t="s">
        <v>29</v>
      </c>
      <c r="D1067" s="4" t="str">
        <f t="shared" si="32"/>
        <v>Sales</v>
      </c>
      <c r="E1067" s="4" t="str">
        <f t="shared" si="33"/>
        <v>Director</v>
      </c>
      <c r="F1067" s="13">
        <v>762</v>
      </c>
      <c r="G1067" s="13">
        <v>1</v>
      </c>
      <c r="H1067" s="13">
        <v>7</v>
      </c>
      <c r="I1067" s="2">
        <v>31330</v>
      </c>
      <c r="J1067" s="15">
        <v>787237</v>
      </c>
      <c r="K1067" s="4" t="s">
        <v>14</v>
      </c>
      <c r="L1067" s="27">
        <f t="shared" si="34"/>
        <v>1985</v>
      </c>
      <c r="M1067" s="27">
        <f t="shared" si="35"/>
        <v>6</v>
      </c>
      <c r="N1067" s="27">
        <f t="shared" ca="1" si="36"/>
        <v>41</v>
      </c>
      <c r="O1067" s="27" t="str" cm="1">
        <f t="array" ref="O1067">_xlfn.IFS($F1067&gt;=750,"Excellent",$F1067&gt;=700,"Good",$F1067&gt;=650,"Moderate",
$F1067&lt;650,"Risky"
)</f>
        <v>Excellent</v>
      </c>
      <c r="P1067" s="27" t="str" cm="1">
        <f t="array" ref="P1067">_xlfn.IFS(
AND(F1067&gt;=750,H1067&lt;=2),"Low Risk",
AND(F1067&gt;=700,H1067&lt;=5),"Medium Risk",
TRUE,"High Risk"
)</f>
        <v>High Risk</v>
      </c>
      <c r="Q1067" s="5"/>
      <c r="R1067" s="5"/>
      <c r="S1067" s="5"/>
      <c r="T1067" s="5"/>
      <c r="U1067" s="5"/>
      <c r="V1067" s="5"/>
      <c r="W1067" s="5"/>
      <c r="X1067" s="5"/>
      <c r="Y1067" s="5"/>
    </row>
    <row r="1068" spans="1:25" ht="15.75" customHeight="1" x14ac:dyDescent="0.25">
      <c r="A1068" s="2">
        <v>43959</v>
      </c>
      <c r="B1068" s="3">
        <v>52047</v>
      </c>
      <c r="C1068" s="4" t="s">
        <v>30</v>
      </c>
      <c r="D1068" s="4" t="str">
        <f t="shared" si="32"/>
        <v>Operation</v>
      </c>
      <c r="E1068" s="4" t="str">
        <f t="shared" si="33"/>
        <v>Director</v>
      </c>
      <c r="F1068" s="13">
        <v>717</v>
      </c>
      <c r="G1068" s="13">
        <v>2</v>
      </c>
      <c r="H1068" s="13">
        <v>5</v>
      </c>
      <c r="I1068" s="2">
        <v>33057</v>
      </c>
      <c r="J1068" s="15">
        <v>731639</v>
      </c>
      <c r="K1068" s="4" t="s">
        <v>21</v>
      </c>
      <c r="L1068" s="27">
        <f t="shared" si="34"/>
        <v>1990</v>
      </c>
      <c r="M1068" s="27">
        <f t="shared" si="35"/>
        <v>5</v>
      </c>
      <c r="N1068" s="27">
        <f t="shared" ca="1" si="36"/>
        <v>36</v>
      </c>
      <c r="O1068" s="27" t="str" cm="1">
        <f t="array" ref="O1068">_xlfn.IFS($F1068&gt;=750,"Excellent",$F1068&gt;=700,"Good",$F1068&gt;=650,"Moderate",
$F1068&lt;650,"Risky"
)</f>
        <v>Good</v>
      </c>
      <c r="P1068" s="27" t="str" cm="1">
        <f t="array" ref="P1068">_xlfn.IFS(
AND(F1068&gt;=750,H1068&lt;=2),"Low Risk",
AND(F1068&gt;=700,H1068&lt;=5),"Medium Risk",
TRUE,"High Risk"
)</f>
        <v>Medium Risk</v>
      </c>
      <c r="Q1068" s="5"/>
      <c r="R1068" s="5"/>
      <c r="S1068" s="5"/>
      <c r="T1068" s="5"/>
      <c r="U1068" s="5"/>
      <c r="V1068" s="5"/>
      <c r="W1068" s="5"/>
      <c r="X1068" s="5"/>
      <c r="Y1068" s="5"/>
    </row>
    <row r="1069" spans="1:25" ht="15.75" customHeight="1" x14ac:dyDescent="0.25">
      <c r="A1069" s="2">
        <v>44103</v>
      </c>
      <c r="B1069" s="3">
        <v>84754</v>
      </c>
      <c r="C1069" s="4" t="s">
        <v>31</v>
      </c>
      <c r="D1069" s="4" t="str">
        <f t="shared" si="32"/>
        <v>Finance</v>
      </c>
      <c r="E1069" s="4" t="str">
        <f t="shared" si="33"/>
        <v>Intern</v>
      </c>
      <c r="F1069" s="13">
        <v>737</v>
      </c>
      <c r="G1069" s="13">
        <v>1</v>
      </c>
      <c r="H1069" s="13">
        <v>3</v>
      </c>
      <c r="I1069" s="2">
        <v>33986</v>
      </c>
      <c r="J1069" s="15">
        <v>915415</v>
      </c>
      <c r="K1069" s="4" t="s">
        <v>18</v>
      </c>
      <c r="L1069" s="27">
        <f t="shared" si="34"/>
        <v>1993</v>
      </c>
      <c r="M1069" s="27">
        <f t="shared" si="35"/>
        <v>9</v>
      </c>
      <c r="N1069" s="27">
        <f t="shared" ca="1" si="36"/>
        <v>33</v>
      </c>
      <c r="O1069" s="27" t="str" cm="1">
        <f t="array" ref="O1069">_xlfn.IFS($F1069&gt;=750,"Excellent",$F1069&gt;=700,"Good",$F1069&gt;=650,"Moderate",
$F1069&lt;650,"Risky"
)</f>
        <v>Good</v>
      </c>
      <c r="P1069" s="27" t="str" cm="1">
        <f t="array" ref="P1069">_xlfn.IFS(
AND(F1069&gt;=750,H1069&lt;=2),"Low Risk",
AND(F1069&gt;=700,H1069&lt;=5),"Medium Risk",
TRUE,"High Risk"
)</f>
        <v>Medium Risk</v>
      </c>
      <c r="Q1069" s="5"/>
      <c r="R1069" s="5"/>
      <c r="S1069" s="5"/>
      <c r="T1069" s="5"/>
      <c r="U1069" s="5"/>
      <c r="V1069" s="5"/>
      <c r="W1069" s="5"/>
      <c r="X1069" s="5"/>
      <c r="Y1069" s="5"/>
    </row>
    <row r="1070" spans="1:25" ht="15.75" customHeight="1" x14ac:dyDescent="0.25">
      <c r="A1070" s="2">
        <v>43947</v>
      </c>
      <c r="B1070" s="3">
        <v>18361</v>
      </c>
      <c r="C1070" s="4" t="s">
        <v>27</v>
      </c>
      <c r="D1070" s="4" t="str">
        <f t="shared" si="32"/>
        <v>Operation</v>
      </c>
      <c r="E1070" s="4" t="str">
        <f t="shared" si="33"/>
        <v>Intern</v>
      </c>
      <c r="F1070" s="13">
        <v>769</v>
      </c>
      <c r="G1070" s="13">
        <v>2</v>
      </c>
      <c r="H1070" s="13">
        <v>5</v>
      </c>
      <c r="I1070" s="2">
        <v>30588</v>
      </c>
      <c r="J1070" s="15">
        <v>786099</v>
      </c>
      <c r="K1070" s="4" t="s">
        <v>21</v>
      </c>
      <c r="L1070" s="27">
        <f t="shared" si="34"/>
        <v>1983</v>
      </c>
      <c r="M1070" s="27">
        <f t="shared" si="35"/>
        <v>4</v>
      </c>
      <c r="N1070" s="27">
        <f t="shared" ca="1" si="36"/>
        <v>43</v>
      </c>
      <c r="O1070" s="27" t="str" cm="1">
        <f t="array" ref="O1070">_xlfn.IFS($F1070&gt;=750,"Excellent",$F1070&gt;=700,"Good",$F1070&gt;=650,"Moderate",
$F1070&lt;650,"Risky"
)</f>
        <v>Excellent</v>
      </c>
      <c r="P1070" s="27" t="str" cm="1">
        <f t="array" ref="P1070">_xlfn.IFS(
AND(F1070&gt;=750,H1070&lt;=2),"Low Risk",
AND(F1070&gt;=700,H1070&lt;=5),"Medium Risk",
TRUE,"High Risk"
)</f>
        <v>Medium Risk</v>
      </c>
      <c r="Q1070" s="5"/>
      <c r="R1070" s="5"/>
      <c r="S1070" s="5"/>
      <c r="T1070" s="5"/>
      <c r="U1070" s="5"/>
      <c r="V1070" s="5"/>
      <c r="W1070" s="5"/>
      <c r="X1070" s="5"/>
      <c r="Y1070" s="5"/>
    </row>
    <row r="1071" spans="1:25" ht="15.75" customHeight="1" x14ac:dyDescent="0.25">
      <c r="A1071" s="2">
        <v>43970</v>
      </c>
      <c r="B1071" s="3">
        <v>30488</v>
      </c>
      <c r="C1071" s="4" t="s">
        <v>20</v>
      </c>
      <c r="D1071" s="4" t="str">
        <f t="shared" si="32"/>
        <v>Operation</v>
      </c>
      <c r="E1071" s="4" t="str">
        <f t="shared" si="33"/>
        <v>Manager</v>
      </c>
      <c r="F1071" s="13">
        <v>752</v>
      </c>
      <c r="G1071" s="13">
        <v>2</v>
      </c>
      <c r="H1071" s="13">
        <v>4</v>
      </c>
      <c r="I1071" s="2">
        <v>34178</v>
      </c>
      <c r="J1071" s="15">
        <v>839620</v>
      </c>
      <c r="K1071" s="4" t="s">
        <v>14</v>
      </c>
      <c r="L1071" s="27">
        <f t="shared" si="34"/>
        <v>1993</v>
      </c>
      <c r="M1071" s="27">
        <f t="shared" si="35"/>
        <v>5</v>
      </c>
      <c r="N1071" s="27">
        <f t="shared" ca="1" si="36"/>
        <v>33</v>
      </c>
      <c r="O1071" s="27" t="str" cm="1">
        <f t="array" ref="O1071">_xlfn.IFS($F1071&gt;=750,"Excellent",$F1071&gt;=700,"Good",$F1071&gt;=650,"Moderate",
$F1071&lt;650,"Risky"
)</f>
        <v>Excellent</v>
      </c>
      <c r="P1071" s="27" t="str" cm="1">
        <f t="array" ref="P1071">_xlfn.IFS(
AND(F1071&gt;=750,H1071&lt;=2),"Low Risk",
AND(F1071&gt;=700,H1071&lt;=5),"Medium Risk",
TRUE,"High Risk"
)</f>
        <v>Medium Risk</v>
      </c>
      <c r="Q1071" s="5"/>
      <c r="R1071" s="5"/>
      <c r="S1071" s="5"/>
      <c r="T1071" s="5"/>
      <c r="U1071" s="5"/>
      <c r="V1071" s="5"/>
      <c r="W1071" s="5"/>
      <c r="X1071" s="5"/>
      <c r="Y1071" s="5"/>
    </row>
    <row r="1072" spans="1:25" ht="15.75" customHeight="1" x14ac:dyDescent="0.25">
      <c r="A1072" s="2">
        <v>43888</v>
      </c>
      <c r="B1072" s="3">
        <v>77076</v>
      </c>
      <c r="C1072" s="4" t="s">
        <v>39</v>
      </c>
      <c r="D1072" s="4" t="str">
        <f t="shared" si="32"/>
        <v>Growth</v>
      </c>
      <c r="E1072" s="4" t="str">
        <f t="shared" si="33"/>
        <v>Executive</v>
      </c>
      <c r="F1072" s="13">
        <v>727</v>
      </c>
      <c r="G1072" s="13">
        <v>4</v>
      </c>
      <c r="H1072" s="13">
        <v>2</v>
      </c>
      <c r="I1072" s="2">
        <v>30025</v>
      </c>
      <c r="J1072" s="15">
        <v>842570</v>
      </c>
      <c r="K1072" s="4" t="s">
        <v>14</v>
      </c>
      <c r="L1072" s="27">
        <f t="shared" si="34"/>
        <v>1982</v>
      </c>
      <c r="M1072" s="27">
        <f t="shared" si="35"/>
        <v>2</v>
      </c>
      <c r="N1072" s="27">
        <f t="shared" ca="1" si="36"/>
        <v>44</v>
      </c>
      <c r="O1072" s="27" t="str" cm="1">
        <f t="array" ref="O1072">_xlfn.IFS($F1072&gt;=750,"Excellent",$F1072&gt;=700,"Good",$F1072&gt;=650,"Moderate",
$F1072&lt;650,"Risky"
)</f>
        <v>Good</v>
      </c>
      <c r="P1072" s="27" t="str" cm="1">
        <f t="array" ref="P1072">_xlfn.IFS(
AND(F1072&gt;=750,H1072&lt;=2),"Low Risk",
AND(F1072&gt;=700,H1072&lt;=5),"Medium Risk",
TRUE,"High Risk"
)</f>
        <v>Medium Risk</v>
      </c>
      <c r="Q1072" s="5"/>
      <c r="R1072" s="5"/>
      <c r="S1072" s="5"/>
      <c r="T1072" s="5"/>
      <c r="U1072" s="5"/>
      <c r="V1072" s="5"/>
      <c r="W1072" s="5"/>
      <c r="X1072" s="5"/>
      <c r="Y1072" s="5"/>
    </row>
    <row r="1073" spans="1:25" ht="15.75" customHeight="1" x14ac:dyDescent="0.25">
      <c r="A1073" s="2">
        <v>44021</v>
      </c>
      <c r="B1073" s="3">
        <v>51851</v>
      </c>
      <c r="C1073" s="4" t="s">
        <v>26</v>
      </c>
      <c r="D1073" s="4" t="str">
        <f t="shared" si="32"/>
        <v>Strategy</v>
      </c>
      <c r="E1073" s="4" t="str">
        <f t="shared" si="33"/>
        <v>Manager</v>
      </c>
      <c r="F1073" s="13">
        <v>765</v>
      </c>
      <c r="G1073" s="13">
        <v>4</v>
      </c>
      <c r="H1073" s="13">
        <v>1</v>
      </c>
      <c r="I1073" s="2">
        <v>31868</v>
      </c>
      <c r="J1073" s="15">
        <v>528387</v>
      </c>
      <c r="K1073" s="4" t="s">
        <v>14</v>
      </c>
      <c r="L1073" s="27">
        <f t="shared" si="34"/>
        <v>1987</v>
      </c>
      <c r="M1073" s="27">
        <f t="shared" si="35"/>
        <v>7</v>
      </c>
      <c r="N1073" s="27">
        <f t="shared" ca="1" si="36"/>
        <v>39</v>
      </c>
      <c r="O1073" s="27" t="str" cm="1">
        <f t="array" ref="O1073">_xlfn.IFS($F1073&gt;=750,"Excellent",$F1073&gt;=700,"Good",$F1073&gt;=650,"Moderate",
$F1073&lt;650,"Risky"
)</f>
        <v>Excellent</v>
      </c>
      <c r="P1073" s="27" t="str" cm="1">
        <f t="array" ref="P1073">_xlfn.IFS(
AND(F1073&gt;=750,H1073&lt;=2),"Low Risk",
AND(F1073&gt;=700,H1073&lt;=5),"Medium Risk",
TRUE,"High Risk"
)</f>
        <v>Low Risk</v>
      </c>
      <c r="Q1073" s="5"/>
      <c r="R1073" s="5"/>
      <c r="S1073" s="5"/>
      <c r="T1073" s="5"/>
      <c r="U1073" s="5"/>
      <c r="V1073" s="5"/>
      <c r="W1073" s="5"/>
      <c r="X1073" s="5"/>
      <c r="Y1073" s="5"/>
    </row>
    <row r="1074" spans="1:25" ht="15.75" customHeight="1" x14ac:dyDescent="0.25">
      <c r="A1074" s="2">
        <v>44004</v>
      </c>
      <c r="B1074" s="3">
        <v>78225</v>
      </c>
      <c r="C1074" s="4" t="s">
        <v>13</v>
      </c>
      <c r="D1074" s="4" t="str">
        <f t="shared" si="32"/>
        <v>Marketing</v>
      </c>
      <c r="E1074" s="4" t="str">
        <f t="shared" si="33"/>
        <v>Director</v>
      </c>
      <c r="F1074" s="13">
        <v>701</v>
      </c>
      <c r="G1074" s="13">
        <v>2</v>
      </c>
      <c r="H1074" s="13">
        <v>3</v>
      </c>
      <c r="I1074" s="2">
        <v>33462</v>
      </c>
      <c r="J1074" s="15">
        <v>932665</v>
      </c>
      <c r="K1074" s="4" t="s">
        <v>21</v>
      </c>
      <c r="L1074" s="27">
        <f t="shared" si="34"/>
        <v>1991</v>
      </c>
      <c r="M1074" s="27">
        <f t="shared" si="35"/>
        <v>6</v>
      </c>
      <c r="N1074" s="27">
        <f t="shared" ca="1" si="36"/>
        <v>35</v>
      </c>
      <c r="O1074" s="27" t="str" cm="1">
        <f t="array" ref="O1074">_xlfn.IFS($F1074&gt;=750,"Excellent",$F1074&gt;=700,"Good",$F1074&gt;=650,"Moderate",
$F1074&lt;650,"Risky"
)</f>
        <v>Good</v>
      </c>
      <c r="P1074" s="27" t="str" cm="1">
        <f t="array" ref="P1074">_xlfn.IFS(
AND(F1074&gt;=750,H1074&lt;=2),"Low Risk",
AND(F1074&gt;=700,H1074&lt;=5),"Medium Risk",
TRUE,"High Risk"
)</f>
        <v>Medium Risk</v>
      </c>
      <c r="Q1074" s="5"/>
      <c r="R1074" s="5"/>
      <c r="S1074" s="5"/>
      <c r="T1074" s="5"/>
      <c r="U1074" s="5"/>
      <c r="V1074" s="5"/>
      <c r="W1074" s="5"/>
      <c r="X1074" s="5"/>
      <c r="Y1074" s="5"/>
    </row>
    <row r="1075" spans="1:25" ht="15.75" customHeight="1" x14ac:dyDescent="0.25">
      <c r="A1075" s="2">
        <v>44135</v>
      </c>
      <c r="B1075" s="3">
        <v>19307</v>
      </c>
      <c r="C1075" s="4" t="s">
        <v>19</v>
      </c>
      <c r="D1075" s="4" t="str">
        <f t="shared" si="32"/>
        <v>Marketing</v>
      </c>
      <c r="E1075" s="4" t="str">
        <f t="shared" si="33"/>
        <v>Manager</v>
      </c>
      <c r="F1075" s="13">
        <v>765</v>
      </c>
      <c r="G1075" s="13">
        <v>5</v>
      </c>
      <c r="H1075" s="13">
        <v>7</v>
      </c>
      <c r="I1075" s="2">
        <v>30439</v>
      </c>
      <c r="J1075" s="15">
        <v>791645</v>
      </c>
      <c r="K1075" s="4" t="s">
        <v>14</v>
      </c>
      <c r="L1075" s="27">
        <f t="shared" si="34"/>
        <v>1983</v>
      </c>
      <c r="M1075" s="27">
        <f t="shared" si="35"/>
        <v>10</v>
      </c>
      <c r="N1075" s="27">
        <f t="shared" ca="1" si="36"/>
        <v>43</v>
      </c>
      <c r="O1075" s="27" t="str" cm="1">
        <f t="array" ref="O1075">_xlfn.IFS($F1075&gt;=750,"Excellent",$F1075&gt;=700,"Good",$F1075&gt;=650,"Moderate",
$F1075&lt;650,"Risky"
)</f>
        <v>Excellent</v>
      </c>
      <c r="P1075" s="27" t="str" cm="1">
        <f t="array" ref="P1075">_xlfn.IFS(
AND(F1075&gt;=750,H1075&lt;=2),"Low Risk",
AND(F1075&gt;=700,H1075&lt;=5),"Medium Risk",
TRUE,"High Risk"
)</f>
        <v>High Risk</v>
      </c>
      <c r="Q1075" s="5"/>
      <c r="R1075" s="5"/>
      <c r="S1075" s="5"/>
      <c r="T1075" s="5"/>
      <c r="U1075" s="5"/>
      <c r="V1075" s="5"/>
      <c r="W1075" s="5"/>
      <c r="X1075" s="5"/>
      <c r="Y1075" s="5"/>
    </row>
    <row r="1076" spans="1:25" ht="15.75" customHeight="1" x14ac:dyDescent="0.25">
      <c r="A1076" s="2">
        <v>43887</v>
      </c>
      <c r="B1076" s="3">
        <v>42060</v>
      </c>
      <c r="C1076" s="4" t="s">
        <v>26</v>
      </c>
      <c r="D1076" s="4" t="str">
        <f t="shared" si="32"/>
        <v>Strategy</v>
      </c>
      <c r="E1076" s="4" t="str">
        <f t="shared" si="33"/>
        <v>Manager</v>
      </c>
      <c r="F1076" s="13">
        <v>731</v>
      </c>
      <c r="G1076" s="13">
        <v>4</v>
      </c>
      <c r="H1076" s="13">
        <v>4</v>
      </c>
      <c r="I1076" s="2">
        <v>33238</v>
      </c>
      <c r="J1076" s="15">
        <v>973062</v>
      </c>
      <c r="K1076" s="4" t="s">
        <v>21</v>
      </c>
      <c r="L1076" s="27">
        <f t="shared" si="34"/>
        <v>1990</v>
      </c>
      <c r="M1076" s="27">
        <f t="shared" si="35"/>
        <v>2</v>
      </c>
      <c r="N1076" s="27">
        <f t="shared" ca="1" si="36"/>
        <v>36</v>
      </c>
      <c r="O1076" s="27" t="str" cm="1">
        <f t="array" ref="O1076">_xlfn.IFS($F1076&gt;=750,"Excellent",$F1076&gt;=700,"Good",$F1076&gt;=650,"Moderate",
$F1076&lt;650,"Risky"
)</f>
        <v>Good</v>
      </c>
      <c r="P1076" s="27" t="str" cm="1">
        <f t="array" ref="P1076">_xlfn.IFS(
AND(F1076&gt;=750,H1076&lt;=2),"Low Risk",
AND(F1076&gt;=700,H1076&lt;=5),"Medium Risk",
TRUE,"High Risk"
)</f>
        <v>Medium Risk</v>
      </c>
      <c r="Q1076" s="5"/>
      <c r="R1076" s="5"/>
      <c r="S1076" s="5"/>
      <c r="T1076" s="5"/>
      <c r="U1076" s="5"/>
      <c r="V1076" s="5"/>
      <c r="W1076" s="5"/>
      <c r="X1076" s="5"/>
      <c r="Y1076" s="5"/>
    </row>
    <row r="1077" spans="1:25" ht="15.75" customHeight="1" x14ac:dyDescent="0.25">
      <c r="A1077" s="2">
        <v>44104</v>
      </c>
      <c r="B1077" s="3">
        <v>85001</v>
      </c>
      <c r="C1077" s="4" t="s">
        <v>19</v>
      </c>
      <c r="D1077" s="4" t="str">
        <f t="shared" si="32"/>
        <v>Marketing</v>
      </c>
      <c r="E1077" s="4" t="str">
        <f t="shared" si="33"/>
        <v>Manager</v>
      </c>
      <c r="F1077" s="13">
        <v>787</v>
      </c>
      <c r="G1077" s="13">
        <v>3</v>
      </c>
      <c r="H1077" s="13">
        <v>2</v>
      </c>
      <c r="I1077" s="2">
        <v>30286</v>
      </c>
      <c r="J1077" s="15">
        <v>931330</v>
      </c>
      <c r="K1077" s="4" t="s">
        <v>14</v>
      </c>
      <c r="L1077" s="27">
        <f t="shared" si="34"/>
        <v>1982</v>
      </c>
      <c r="M1077" s="27">
        <f t="shared" si="35"/>
        <v>9</v>
      </c>
      <c r="N1077" s="27">
        <f t="shared" ca="1" si="36"/>
        <v>44</v>
      </c>
      <c r="O1077" s="27" t="str" cm="1">
        <f t="array" ref="O1077">_xlfn.IFS($F1077&gt;=750,"Excellent",$F1077&gt;=700,"Good",$F1077&gt;=650,"Moderate",
$F1077&lt;650,"Risky"
)</f>
        <v>Excellent</v>
      </c>
      <c r="P1077" s="27" t="str" cm="1">
        <f t="array" ref="P1077">_xlfn.IFS(
AND(F1077&gt;=750,H1077&lt;=2),"Low Risk",
AND(F1077&gt;=700,H1077&lt;=5),"Medium Risk",
TRUE,"High Risk"
)</f>
        <v>Low Risk</v>
      </c>
      <c r="Q1077" s="5"/>
      <c r="R1077" s="5"/>
      <c r="S1077" s="5"/>
      <c r="T1077" s="5"/>
      <c r="U1077" s="5"/>
      <c r="V1077" s="5"/>
      <c r="W1077" s="5"/>
      <c r="X1077" s="5"/>
      <c r="Y1077" s="5"/>
    </row>
    <row r="1078" spans="1:25" ht="15.75" customHeight="1" x14ac:dyDescent="0.25">
      <c r="A1078" s="2">
        <v>43844</v>
      </c>
      <c r="B1078" s="3">
        <v>13133</v>
      </c>
      <c r="C1078" s="4" t="s">
        <v>35</v>
      </c>
      <c r="D1078" s="4" t="str">
        <f t="shared" si="32"/>
        <v>Growth</v>
      </c>
      <c r="E1078" s="4" t="str">
        <f t="shared" si="33"/>
        <v>Intern</v>
      </c>
      <c r="F1078" s="13">
        <v>795</v>
      </c>
      <c r="G1078" s="13">
        <v>5</v>
      </c>
      <c r="H1078" s="13">
        <v>6</v>
      </c>
      <c r="I1078" s="2">
        <v>31633</v>
      </c>
      <c r="J1078" s="15">
        <v>873159</v>
      </c>
      <c r="K1078" s="4" t="s">
        <v>14</v>
      </c>
      <c r="L1078" s="27">
        <f t="shared" si="34"/>
        <v>1986</v>
      </c>
      <c r="M1078" s="27">
        <f t="shared" si="35"/>
        <v>1</v>
      </c>
      <c r="N1078" s="27">
        <f t="shared" ca="1" si="36"/>
        <v>40</v>
      </c>
      <c r="O1078" s="27" t="str" cm="1">
        <f t="array" ref="O1078">_xlfn.IFS($F1078&gt;=750,"Excellent",$F1078&gt;=700,"Good",$F1078&gt;=650,"Moderate",
$F1078&lt;650,"Risky"
)</f>
        <v>Excellent</v>
      </c>
      <c r="P1078" s="27" t="str" cm="1">
        <f t="array" ref="P1078">_xlfn.IFS(
AND(F1078&gt;=750,H1078&lt;=2),"Low Risk",
AND(F1078&gt;=700,H1078&lt;=5),"Medium Risk",
TRUE,"High Risk"
)</f>
        <v>High Risk</v>
      </c>
      <c r="Q1078" s="5"/>
      <c r="R1078" s="5"/>
      <c r="S1078" s="5"/>
      <c r="T1078" s="5"/>
      <c r="U1078" s="5"/>
      <c r="V1078" s="5"/>
      <c r="W1078" s="5"/>
      <c r="X1078" s="5"/>
      <c r="Y1078" s="5"/>
    </row>
    <row r="1079" spans="1:25" ht="15.75" customHeight="1" x14ac:dyDescent="0.25">
      <c r="A1079" s="2">
        <v>44173</v>
      </c>
      <c r="B1079" s="3">
        <v>47674</v>
      </c>
      <c r="C1079" s="4" t="s">
        <v>20</v>
      </c>
      <c r="D1079" s="4" t="str">
        <f t="shared" si="32"/>
        <v>Operation</v>
      </c>
      <c r="E1079" s="4" t="str">
        <f t="shared" si="33"/>
        <v>Manager</v>
      </c>
      <c r="F1079" s="13">
        <v>789</v>
      </c>
      <c r="G1079" s="13">
        <v>3</v>
      </c>
      <c r="H1079" s="13">
        <v>3</v>
      </c>
      <c r="I1079" s="2">
        <v>31697</v>
      </c>
      <c r="J1079" s="15">
        <v>541750</v>
      </c>
      <c r="K1079" s="4" t="s">
        <v>18</v>
      </c>
      <c r="L1079" s="27">
        <f t="shared" si="34"/>
        <v>1986</v>
      </c>
      <c r="M1079" s="27">
        <f t="shared" si="35"/>
        <v>12</v>
      </c>
      <c r="N1079" s="27">
        <f t="shared" ca="1" si="36"/>
        <v>40</v>
      </c>
      <c r="O1079" s="27" t="str" cm="1">
        <f t="array" ref="O1079">_xlfn.IFS($F1079&gt;=750,"Excellent",$F1079&gt;=700,"Good",$F1079&gt;=650,"Moderate",
$F1079&lt;650,"Risky"
)</f>
        <v>Excellent</v>
      </c>
      <c r="P1079" s="27" t="str" cm="1">
        <f t="array" ref="P1079">_xlfn.IFS(
AND(F1079&gt;=750,H1079&lt;=2),"Low Risk",
AND(F1079&gt;=700,H1079&lt;=5),"Medium Risk",
TRUE,"High Risk"
)</f>
        <v>Medium Risk</v>
      </c>
      <c r="Q1079" s="5"/>
      <c r="R1079" s="5"/>
      <c r="S1079" s="5"/>
      <c r="T1079" s="5"/>
      <c r="U1079" s="5"/>
      <c r="V1079" s="5"/>
      <c r="W1079" s="5"/>
      <c r="X1079" s="5"/>
      <c r="Y1079" s="5"/>
    </row>
    <row r="1080" spans="1:25" ht="15.75" customHeight="1" x14ac:dyDescent="0.25">
      <c r="A1080" s="2">
        <v>43985</v>
      </c>
      <c r="B1080" s="3">
        <v>90047</v>
      </c>
      <c r="C1080" s="4" t="s">
        <v>28</v>
      </c>
      <c r="D1080" s="4" t="str">
        <f t="shared" si="32"/>
        <v>Growth</v>
      </c>
      <c r="E1080" s="4" t="str">
        <f t="shared" si="33"/>
        <v>Director</v>
      </c>
      <c r="F1080" s="13">
        <v>723</v>
      </c>
      <c r="G1080" s="13">
        <v>1</v>
      </c>
      <c r="H1080" s="13">
        <v>6</v>
      </c>
      <c r="I1080" s="2">
        <v>32086</v>
      </c>
      <c r="J1080" s="15">
        <v>720035</v>
      </c>
      <c r="K1080" s="4" t="s">
        <v>14</v>
      </c>
      <c r="L1080" s="27">
        <f t="shared" si="34"/>
        <v>1987</v>
      </c>
      <c r="M1080" s="27">
        <f t="shared" si="35"/>
        <v>6</v>
      </c>
      <c r="N1080" s="27">
        <f t="shared" ca="1" si="36"/>
        <v>39</v>
      </c>
      <c r="O1080" s="27" t="str" cm="1">
        <f t="array" ref="O1080">_xlfn.IFS($F1080&gt;=750,"Excellent",$F1080&gt;=700,"Good",$F1080&gt;=650,"Moderate",
$F1080&lt;650,"Risky"
)</f>
        <v>Good</v>
      </c>
      <c r="P1080" s="27" t="str" cm="1">
        <f t="array" ref="P1080">_xlfn.IFS(
AND(F1080&gt;=750,H1080&lt;=2),"Low Risk",
AND(F1080&gt;=700,H1080&lt;=5),"Medium Risk",
TRUE,"High Risk"
)</f>
        <v>High Risk</v>
      </c>
      <c r="Q1080" s="5"/>
      <c r="R1080" s="5"/>
      <c r="S1080" s="5"/>
      <c r="T1080" s="5"/>
      <c r="U1080" s="5"/>
      <c r="V1080" s="5"/>
      <c r="W1080" s="5"/>
      <c r="X1080" s="5"/>
      <c r="Y1080" s="5"/>
    </row>
    <row r="1081" spans="1:25" ht="15.75" customHeight="1" x14ac:dyDescent="0.25">
      <c r="A1081" s="2">
        <v>43892</v>
      </c>
      <c r="B1081" s="3">
        <v>78042</v>
      </c>
      <c r="C1081" s="4" t="s">
        <v>35</v>
      </c>
      <c r="D1081" s="4" t="str">
        <f t="shared" si="32"/>
        <v>Growth</v>
      </c>
      <c r="E1081" s="4" t="str">
        <f t="shared" si="33"/>
        <v>Intern</v>
      </c>
      <c r="F1081" s="13">
        <v>766</v>
      </c>
      <c r="G1081" s="13">
        <v>5</v>
      </c>
      <c r="H1081" s="13">
        <v>9</v>
      </c>
      <c r="I1081" s="2">
        <v>29928</v>
      </c>
      <c r="J1081" s="15">
        <v>816203</v>
      </c>
      <c r="K1081" s="4" t="s">
        <v>18</v>
      </c>
      <c r="L1081" s="27">
        <f t="shared" si="34"/>
        <v>1981</v>
      </c>
      <c r="M1081" s="27">
        <f t="shared" si="35"/>
        <v>3</v>
      </c>
      <c r="N1081" s="27">
        <f t="shared" ca="1" si="36"/>
        <v>45</v>
      </c>
      <c r="O1081" s="27" t="str" cm="1">
        <f t="array" ref="O1081">_xlfn.IFS($F1081&gt;=750,"Excellent",$F1081&gt;=700,"Good",$F1081&gt;=650,"Moderate",
$F1081&lt;650,"Risky"
)</f>
        <v>Excellent</v>
      </c>
      <c r="P1081" s="27" t="str" cm="1">
        <f t="array" ref="P1081">_xlfn.IFS(
AND(F1081&gt;=750,H1081&lt;=2),"Low Risk",
AND(F1081&gt;=700,H1081&lt;=5),"Medium Risk",
TRUE,"High Risk"
)</f>
        <v>High Risk</v>
      </c>
      <c r="Q1081" s="5"/>
      <c r="R1081" s="5"/>
      <c r="S1081" s="5"/>
      <c r="T1081" s="5"/>
      <c r="U1081" s="5"/>
      <c r="V1081" s="5"/>
      <c r="W1081" s="5"/>
      <c r="X1081" s="5"/>
      <c r="Y1081" s="5"/>
    </row>
    <row r="1082" spans="1:25" ht="15.75" customHeight="1" x14ac:dyDescent="0.25">
      <c r="A1082" s="2">
        <v>44170</v>
      </c>
      <c r="B1082" s="3">
        <v>61426</v>
      </c>
      <c r="C1082" s="4" t="s">
        <v>19</v>
      </c>
      <c r="D1082" s="4" t="str">
        <f t="shared" si="32"/>
        <v>Marketing</v>
      </c>
      <c r="E1082" s="4" t="str">
        <f t="shared" si="33"/>
        <v>Manager</v>
      </c>
      <c r="F1082" s="13">
        <v>718</v>
      </c>
      <c r="G1082" s="13">
        <v>2</v>
      </c>
      <c r="H1082" s="13">
        <v>4</v>
      </c>
      <c r="I1082" s="2">
        <v>30957</v>
      </c>
      <c r="J1082" s="15">
        <v>863899</v>
      </c>
      <c r="K1082" s="4" t="s">
        <v>18</v>
      </c>
      <c r="L1082" s="27">
        <f t="shared" si="34"/>
        <v>1984</v>
      </c>
      <c r="M1082" s="27">
        <f t="shared" si="35"/>
        <v>12</v>
      </c>
      <c r="N1082" s="27">
        <f t="shared" ca="1" si="36"/>
        <v>42</v>
      </c>
      <c r="O1082" s="27" t="str" cm="1">
        <f t="array" ref="O1082">_xlfn.IFS($F1082&gt;=750,"Excellent",$F1082&gt;=700,"Good",$F1082&gt;=650,"Moderate",
$F1082&lt;650,"Risky"
)</f>
        <v>Good</v>
      </c>
      <c r="P1082" s="27" t="str" cm="1">
        <f t="array" ref="P1082">_xlfn.IFS(
AND(F1082&gt;=750,H1082&lt;=2),"Low Risk",
AND(F1082&gt;=700,H1082&lt;=5),"Medium Risk",
TRUE,"High Risk"
)</f>
        <v>Medium Risk</v>
      </c>
      <c r="Q1082" s="5"/>
      <c r="R1082" s="5"/>
      <c r="S1082" s="5"/>
      <c r="T1082" s="5"/>
      <c r="U1082" s="5"/>
      <c r="V1082" s="5"/>
      <c r="W1082" s="5"/>
      <c r="X1082" s="5"/>
      <c r="Y1082" s="5"/>
    </row>
    <row r="1083" spans="1:25" ht="15.75" customHeight="1" x14ac:dyDescent="0.25">
      <c r="A1083" s="2">
        <v>44103</v>
      </c>
      <c r="B1083" s="3">
        <v>12276</v>
      </c>
      <c r="C1083" s="4" t="s">
        <v>38</v>
      </c>
      <c r="D1083" s="4" t="str">
        <f t="shared" si="32"/>
        <v>Finance</v>
      </c>
      <c r="E1083" s="4" t="str">
        <f t="shared" si="33"/>
        <v>Manager</v>
      </c>
      <c r="F1083" s="13">
        <v>745</v>
      </c>
      <c r="G1083" s="13">
        <v>3</v>
      </c>
      <c r="H1083" s="13">
        <v>3</v>
      </c>
      <c r="I1083" s="2">
        <v>29505</v>
      </c>
      <c r="J1083" s="15">
        <v>952092</v>
      </c>
      <c r="K1083" s="4" t="s">
        <v>14</v>
      </c>
      <c r="L1083" s="27">
        <f t="shared" si="34"/>
        <v>1980</v>
      </c>
      <c r="M1083" s="27">
        <f t="shared" si="35"/>
        <v>9</v>
      </c>
      <c r="N1083" s="27">
        <f t="shared" ca="1" si="36"/>
        <v>46</v>
      </c>
      <c r="O1083" s="27" t="str" cm="1">
        <f t="array" ref="O1083">_xlfn.IFS($F1083&gt;=750,"Excellent",$F1083&gt;=700,"Good",$F1083&gt;=650,"Moderate",
$F1083&lt;650,"Risky"
)</f>
        <v>Good</v>
      </c>
      <c r="P1083" s="27" t="str" cm="1">
        <f t="array" ref="P1083">_xlfn.IFS(
AND(F1083&gt;=750,H1083&lt;=2),"Low Risk",
AND(F1083&gt;=700,H1083&lt;=5),"Medium Risk",
TRUE,"High Risk"
)</f>
        <v>Medium Risk</v>
      </c>
      <c r="Q1083" s="5"/>
      <c r="R1083" s="5"/>
      <c r="S1083" s="5"/>
      <c r="T1083" s="5"/>
      <c r="U1083" s="5"/>
      <c r="V1083" s="5"/>
      <c r="W1083" s="5"/>
      <c r="X1083" s="5"/>
      <c r="Y1083" s="5"/>
    </row>
    <row r="1084" spans="1:25" ht="15.75" customHeight="1" x14ac:dyDescent="0.25">
      <c r="A1084" s="2">
        <v>44061</v>
      </c>
      <c r="B1084" s="3">
        <v>57318</v>
      </c>
      <c r="C1084" s="4" t="s">
        <v>22</v>
      </c>
      <c r="D1084" s="4" t="str">
        <f t="shared" si="32"/>
        <v>Strategy</v>
      </c>
      <c r="E1084" s="4" t="str">
        <f t="shared" si="33"/>
        <v>Executive</v>
      </c>
      <c r="F1084" s="13">
        <v>739</v>
      </c>
      <c r="G1084" s="13">
        <v>4</v>
      </c>
      <c r="H1084" s="13">
        <v>4</v>
      </c>
      <c r="I1084" s="2">
        <v>31662</v>
      </c>
      <c r="J1084" s="15">
        <v>844742</v>
      </c>
      <c r="K1084" s="4" t="s">
        <v>14</v>
      </c>
      <c r="L1084" s="27">
        <f t="shared" si="34"/>
        <v>1986</v>
      </c>
      <c r="M1084" s="27">
        <f t="shared" si="35"/>
        <v>8</v>
      </c>
      <c r="N1084" s="27">
        <f t="shared" ca="1" si="36"/>
        <v>40</v>
      </c>
      <c r="O1084" s="27" t="str" cm="1">
        <f t="array" ref="O1084">_xlfn.IFS($F1084&gt;=750,"Excellent",$F1084&gt;=700,"Good",$F1084&gt;=650,"Moderate",
$F1084&lt;650,"Risky"
)</f>
        <v>Good</v>
      </c>
      <c r="P1084" s="27" t="str" cm="1">
        <f t="array" ref="P1084">_xlfn.IFS(
AND(F1084&gt;=750,H1084&lt;=2),"Low Risk",
AND(F1084&gt;=700,H1084&lt;=5),"Medium Risk",
TRUE,"High Risk"
)</f>
        <v>Medium Risk</v>
      </c>
      <c r="Q1084" s="5"/>
      <c r="R1084" s="5"/>
      <c r="S1084" s="5"/>
      <c r="T1084" s="5"/>
      <c r="U1084" s="5"/>
      <c r="V1084" s="5"/>
      <c r="W1084" s="5"/>
      <c r="X1084" s="5"/>
      <c r="Y1084" s="5"/>
    </row>
    <row r="1085" spans="1:25" ht="15.75" customHeight="1" x14ac:dyDescent="0.25">
      <c r="A1085" s="2">
        <v>43837</v>
      </c>
      <c r="B1085" s="3">
        <v>50692</v>
      </c>
      <c r="C1085" s="4" t="s">
        <v>20</v>
      </c>
      <c r="D1085" s="4" t="str">
        <f t="shared" si="32"/>
        <v>Operation</v>
      </c>
      <c r="E1085" s="4" t="str">
        <f t="shared" si="33"/>
        <v>Manager</v>
      </c>
      <c r="F1085" s="13">
        <v>766</v>
      </c>
      <c r="G1085" s="13">
        <v>3</v>
      </c>
      <c r="H1085" s="13">
        <v>7</v>
      </c>
      <c r="I1085" s="2">
        <v>33119</v>
      </c>
      <c r="J1085" s="15">
        <v>673770</v>
      </c>
      <c r="K1085" s="4" t="s">
        <v>18</v>
      </c>
      <c r="L1085" s="27">
        <f t="shared" si="34"/>
        <v>1990</v>
      </c>
      <c r="M1085" s="27">
        <f t="shared" si="35"/>
        <v>1</v>
      </c>
      <c r="N1085" s="27">
        <f t="shared" ca="1" si="36"/>
        <v>36</v>
      </c>
      <c r="O1085" s="27" t="str" cm="1">
        <f t="array" ref="O1085">_xlfn.IFS($F1085&gt;=750,"Excellent",$F1085&gt;=700,"Good",$F1085&gt;=650,"Moderate",
$F1085&lt;650,"Risky"
)</f>
        <v>Excellent</v>
      </c>
      <c r="P1085" s="27" t="str" cm="1">
        <f t="array" ref="P1085">_xlfn.IFS(
AND(F1085&gt;=750,H1085&lt;=2),"Low Risk",
AND(F1085&gt;=700,H1085&lt;=5),"Medium Risk",
TRUE,"High Risk"
)</f>
        <v>High Risk</v>
      </c>
      <c r="Q1085" s="5"/>
      <c r="R1085" s="5"/>
      <c r="S1085" s="5"/>
      <c r="T1085" s="5"/>
      <c r="U1085" s="5"/>
      <c r="V1085" s="5"/>
      <c r="W1085" s="5"/>
      <c r="X1085" s="5"/>
      <c r="Y1085" s="5"/>
    </row>
    <row r="1086" spans="1:25" ht="15.75" customHeight="1" x14ac:dyDescent="0.25">
      <c r="A1086" s="2">
        <v>43937</v>
      </c>
      <c r="B1086" s="3">
        <v>87524</v>
      </c>
      <c r="C1086" s="4" t="s">
        <v>31</v>
      </c>
      <c r="D1086" s="4" t="str">
        <f t="shared" si="32"/>
        <v>Finance</v>
      </c>
      <c r="E1086" s="4" t="str">
        <f t="shared" si="33"/>
        <v>Intern</v>
      </c>
      <c r="F1086" s="13">
        <v>729</v>
      </c>
      <c r="G1086" s="13">
        <v>1</v>
      </c>
      <c r="H1086" s="13">
        <v>8</v>
      </c>
      <c r="I1086" s="2">
        <v>29739</v>
      </c>
      <c r="J1086" s="15">
        <v>956323</v>
      </c>
      <c r="K1086" s="4" t="s">
        <v>18</v>
      </c>
      <c r="L1086" s="27">
        <f t="shared" si="34"/>
        <v>1981</v>
      </c>
      <c r="M1086" s="27">
        <f t="shared" si="35"/>
        <v>4</v>
      </c>
      <c r="N1086" s="27">
        <f t="shared" ca="1" si="36"/>
        <v>45</v>
      </c>
      <c r="O1086" s="27" t="str" cm="1">
        <f t="array" ref="O1086">_xlfn.IFS($F1086&gt;=750,"Excellent",$F1086&gt;=700,"Good",$F1086&gt;=650,"Moderate",
$F1086&lt;650,"Risky"
)</f>
        <v>Good</v>
      </c>
      <c r="P1086" s="27" t="str" cm="1">
        <f t="array" ref="P1086">_xlfn.IFS(
AND(F1086&gt;=750,H1086&lt;=2),"Low Risk",
AND(F1086&gt;=700,H1086&lt;=5),"Medium Risk",
TRUE,"High Risk"
)</f>
        <v>High Risk</v>
      </c>
      <c r="Q1086" s="5"/>
      <c r="R1086" s="5"/>
      <c r="S1086" s="5"/>
      <c r="T1086" s="5"/>
      <c r="U1086" s="5"/>
      <c r="V1086" s="5"/>
      <c r="W1086" s="5"/>
      <c r="X1086" s="5"/>
      <c r="Y1086" s="5"/>
    </row>
    <row r="1087" spans="1:25" ht="15.75" customHeight="1" x14ac:dyDescent="0.25">
      <c r="A1087" s="2">
        <v>43896</v>
      </c>
      <c r="B1087" s="3">
        <v>54876</v>
      </c>
      <c r="C1087" s="4" t="s">
        <v>38</v>
      </c>
      <c r="D1087" s="4" t="str">
        <f t="shared" si="32"/>
        <v>Finance</v>
      </c>
      <c r="E1087" s="4" t="str">
        <f t="shared" si="33"/>
        <v>Manager</v>
      </c>
      <c r="F1087" s="13">
        <v>798</v>
      </c>
      <c r="G1087" s="13">
        <v>1</v>
      </c>
      <c r="H1087" s="13">
        <v>2</v>
      </c>
      <c r="I1087" s="2">
        <v>29293</v>
      </c>
      <c r="J1087" s="15">
        <v>912727</v>
      </c>
      <c r="K1087" s="4" t="s">
        <v>21</v>
      </c>
      <c r="L1087" s="27">
        <f t="shared" si="34"/>
        <v>1980</v>
      </c>
      <c r="M1087" s="27">
        <f t="shared" si="35"/>
        <v>3</v>
      </c>
      <c r="N1087" s="27">
        <f t="shared" ca="1" si="36"/>
        <v>46</v>
      </c>
      <c r="O1087" s="27" t="str" cm="1">
        <f t="array" ref="O1087">_xlfn.IFS($F1087&gt;=750,"Excellent",$F1087&gt;=700,"Good",$F1087&gt;=650,"Moderate",
$F1087&lt;650,"Risky"
)</f>
        <v>Excellent</v>
      </c>
      <c r="P1087" s="27" t="str" cm="1">
        <f t="array" ref="P1087">_xlfn.IFS(
AND(F1087&gt;=750,H1087&lt;=2),"Low Risk",
AND(F1087&gt;=700,H1087&lt;=5),"Medium Risk",
TRUE,"High Risk"
)</f>
        <v>Low Risk</v>
      </c>
      <c r="Q1087" s="5"/>
      <c r="R1087" s="5"/>
      <c r="S1087" s="5"/>
      <c r="T1087" s="5"/>
      <c r="U1087" s="5"/>
      <c r="V1087" s="5"/>
      <c r="W1087" s="5"/>
      <c r="X1087" s="5"/>
      <c r="Y1087" s="5"/>
    </row>
    <row r="1088" spans="1:25" ht="15.75" customHeight="1" x14ac:dyDescent="0.25">
      <c r="A1088" s="2">
        <v>43927</v>
      </c>
      <c r="B1088" s="3">
        <v>95528</v>
      </c>
      <c r="C1088" s="4" t="s">
        <v>16</v>
      </c>
      <c r="D1088" s="4" t="str">
        <f t="shared" si="32"/>
        <v>Marketing</v>
      </c>
      <c r="E1088" s="4" t="str">
        <f t="shared" si="33"/>
        <v>Executive</v>
      </c>
      <c r="F1088" s="13">
        <v>767</v>
      </c>
      <c r="G1088" s="13">
        <v>2</v>
      </c>
      <c r="H1088" s="13">
        <v>10</v>
      </c>
      <c r="I1088" s="2">
        <v>34486</v>
      </c>
      <c r="J1088" s="15">
        <v>915427</v>
      </c>
      <c r="K1088" s="4" t="s">
        <v>18</v>
      </c>
      <c r="L1088" s="27">
        <f t="shared" si="34"/>
        <v>1994</v>
      </c>
      <c r="M1088" s="27">
        <f t="shared" si="35"/>
        <v>4</v>
      </c>
      <c r="N1088" s="27">
        <f t="shared" ca="1" si="36"/>
        <v>32</v>
      </c>
      <c r="O1088" s="27" t="str" cm="1">
        <f t="array" ref="O1088">_xlfn.IFS($F1088&gt;=750,"Excellent",$F1088&gt;=700,"Good",$F1088&gt;=650,"Moderate",
$F1088&lt;650,"Risky"
)</f>
        <v>Excellent</v>
      </c>
      <c r="P1088" s="27" t="str" cm="1">
        <f t="array" ref="P1088">_xlfn.IFS(
AND(F1088&gt;=750,H1088&lt;=2),"Low Risk",
AND(F1088&gt;=700,H1088&lt;=5),"Medium Risk",
TRUE,"High Risk"
)</f>
        <v>High Risk</v>
      </c>
      <c r="Q1088" s="5"/>
      <c r="R1088" s="5"/>
      <c r="S1088" s="5"/>
      <c r="T1088" s="5"/>
      <c r="U1088" s="5"/>
      <c r="V1088" s="5"/>
      <c r="W1088" s="5"/>
      <c r="X1088" s="5"/>
      <c r="Y1088" s="5"/>
    </row>
    <row r="1089" spans="1:25" ht="15.75" customHeight="1" x14ac:dyDescent="0.25">
      <c r="A1089" s="2">
        <v>44042</v>
      </c>
      <c r="B1089" s="3">
        <v>81067</v>
      </c>
      <c r="C1089" s="4" t="s">
        <v>30</v>
      </c>
      <c r="D1089" s="4" t="str">
        <f t="shared" si="32"/>
        <v>Operation</v>
      </c>
      <c r="E1089" s="4" t="str">
        <f t="shared" si="33"/>
        <v>Director</v>
      </c>
      <c r="F1089" s="13">
        <v>731</v>
      </c>
      <c r="G1089" s="13">
        <v>5</v>
      </c>
      <c r="H1089" s="13">
        <v>8</v>
      </c>
      <c r="I1089" s="2">
        <v>31343</v>
      </c>
      <c r="J1089" s="15">
        <v>806031</v>
      </c>
      <c r="K1089" s="4" t="s">
        <v>21</v>
      </c>
      <c r="L1089" s="27">
        <f t="shared" si="34"/>
        <v>1985</v>
      </c>
      <c r="M1089" s="27">
        <f t="shared" si="35"/>
        <v>7</v>
      </c>
      <c r="N1089" s="27">
        <f t="shared" ca="1" si="36"/>
        <v>41</v>
      </c>
      <c r="O1089" s="27" t="str" cm="1">
        <f t="array" ref="O1089">_xlfn.IFS($F1089&gt;=750,"Excellent",$F1089&gt;=700,"Good",$F1089&gt;=650,"Moderate",
$F1089&lt;650,"Risky"
)</f>
        <v>Good</v>
      </c>
      <c r="P1089" s="27" t="str" cm="1">
        <f t="array" ref="P1089">_xlfn.IFS(
AND(F1089&gt;=750,H1089&lt;=2),"Low Risk",
AND(F1089&gt;=700,H1089&lt;=5),"Medium Risk",
TRUE,"High Risk"
)</f>
        <v>High Risk</v>
      </c>
      <c r="Q1089" s="5"/>
      <c r="R1089" s="5"/>
      <c r="S1089" s="5"/>
      <c r="T1089" s="5"/>
      <c r="U1089" s="5"/>
      <c r="V1089" s="5"/>
      <c r="W1089" s="5"/>
      <c r="X1089" s="5"/>
      <c r="Y1089" s="5"/>
    </row>
    <row r="1090" spans="1:25" ht="15.75" customHeight="1" x14ac:dyDescent="0.25">
      <c r="A1090" s="2">
        <v>44043</v>
      </c>
      <c r="B1090" s="3">
        <v>51072</v>
      </c>
      <c r="C1090" s="4" t="s">
        <v>24</v>
      </c>
      <c r="D1090" s="4" t="str">
        <f t="shared" si="32"/>
        <v>Strategy</v>
      </c>
      <c r="E1090" s="4" t="str">
        <f t="shared" si="33"/>
        <v>Intern</v>
      </c>
      <c r="F1090" s="13">
        <v>703</v>
      </c>
      <c r="G1090" s="13">
        <v>4</v>
      </c>
      <c r="H1090" s="13">
        <v>6</v>
      </c>
      <c r="I1090" s="2">
        <v>34101</v>
      </c>
      <c r="J1090" s="15">
        <v>792854</v>
      </c>
      <c r="K1090" s="4" t="s">
        <v>14</v>
      </c>
      <c r="L1090" s="27">
        <f t="shared" si="34"/>
        <v>1993</v>
      </c>
      <c r="M1090" s="27">
        <f t="shared" si="35"/>
        <v>7</v>
      </c>
      <c r="N1090" s="27">
        <f t="shared" ca="1" si="36"/>
        <v>33</v>
      </c>
      <c r="O1090" s="27" t="str" cm="1">
        <f t="array" ref="O1090">_xlfn.IFS($F1090&gt;=750,"Excellent",$F1090&gt;=700,"Good",$F1090&gt;=650,"Moderate",
$F1090&lt;650,"Risky"
)</f>
        <v>Good</v>
      </c>
      <c r="P1090" s="27" t="str" cm="1">
        <f t="array" ref="P1090">_xlfn.IFS(
AND(F1090&gt;=750,H1090&lt;=2),"Low Risk",
AND(F1090&gt;=700,H1090&lt;=5),"Medium Risk",
TRUE,"High Risk"
)</f>
        <v>High Risk</v>
      </c>
      <c r="Q1090" s="5"/>
      <c r="R1090" s="5"/>
      <c r="S1090" s="5"/>
      <c r="T1090" s="5"/>
      <c r="U1090" s="5"/>
      <c r="V1090" s="5"/>
      <c r="W1090" s="5"/>
      <c r="X1090" s="5"/>
      <c r="Y1090" s="5"/>
    </row>
    <row r="1091" spans="1:25" ht="15.75" customHeight="1" x14ac:dyDescent="0.25">
      <c r="A1091" s="2">
        <v>44112</v>
      </c>
      <c r="B1091" s="3">
        <v>95387</v>
      </c>
      <c r="C1091" s="4" t="s">
        <v>33</v>
      </c>
      <c r="D1091" s="4" t="str">
        <f t="shared" si="32"/>
        <v>Sales</v>
      </c>
      <c r="E1091" s="4" t="str">
        <f t="shared" si="33"/>
        <v>Executive</v>
      </c>
      <c r="F1091" s="13">
        <v>767</v>
      </c>
      <c r="G1091" s="13">
        <v>5</v>
      </c>
      <c r="H1091" s="13">
        <v>10</v>
      </c>
      <c r="I1091" s="2">
        <v>33485</v>
      </c>
      <c r="J1091" s="15">
        <v>556417</v>
      </c>
      <c r="K1091" s="4" t="s">
        <v>14</v>
      </c>
      <c r="L1091" s="27">
        <f t="shared" si="34"/>
        <v>1991</v>
      </c>
      <c r="M1091" s="27">
        <f t="shared" si="35"/>
        <v>10</v>
      </c>
      <c r="N1091" s="27">
        <f t="shared" ref="N1091:N1096" ca="1" si="37" xml:space="preserve"> YEAR(TODAY()) - $L1091</f>
        <v>35</v>
      </c>
      <c r="O1091" s="27" t="str" cm="1">
        <f t="array" ref="O1091">_xlfn.IFS($F1091&gt;=750,"Excellent",$F1091&gt;=700,"Good",$F1091&gt;=650,"Moderate",
$F1091&lt;650,"Risky"
)</f>
        <v>Excellent</v>
      </c>
      <c r="P1091" s="27" t="str" cm="1">
        <f t="array" ref="P1091">_xlfn.IFS(
AND(F1091&gt;=750,H1091&lt;=2),"Low Risk",
AND(F1091&gt;=700,H1091&lt;=5),"Medium Risk",
TRUE,"High Risk"
)</f>
        <v>High Risk</v>
      </c>
      <c r="Q1091" s="5"/>
      <c r="R1091" s="5"/>
      <c r="S1091" s="5"/>
      <c r="T1091" s="5"/>
      <c r="U1091" s="5"/>
      <c r="V1091" s="5"/>
      <c r="W1091" s="5"/>
      <c r="X1091" s="5"/>
      <c r="Y1091" s="5"/>
    </row>
    <row r="1092" spans="1:25" ht="15.75" customHeight="1" x14ac:dyDescent="0.25">
      <c r="A1092" s="2">
        <v>44030</v>
      </c>
      <c r="B1092" s="3">
        <v>94660</v>
      </c>
      <c r="C1092" s="4" t="s">
        <v>29</v>
      </c>
      <c r="D1092" s="4" t="str">
        <f t="shared" si="32"/>
        <v>Sales</v>
      </c>
      <c r="E1092" s="4" t="str">
        <f t="shared" si="33"/>
        <v>Director</v>
      </c>
      <c r="F1092" s="13">
        <v>788</v>
      </c>
      <c r="G1092" s="13">
        <v>1</v>
      </c>
      <c r="H1092" s="13">
        <v>2</v>
      </c>
      <c r="I1092" s="2">
        <v>32896</v>
      </c>
      <c r="J1092" s="15">
        <v>722600</v>
      </c>
      <c r="K1092" s="4" t="s">
        <v>21</v>
      </c>
      <c r="L1092" s="27">
        <f t="shared" si="34"/>
        <v>1990</v>
      </c>
      <c r="M1092" s="27">
        <f t="shared" si="35"/>
        <v>7</v>
      </c>
      <c r="N1092" s="27">
        <f t="shared" ca="1" si="37"/>
        <v>36</v>
      </c>
      <c r="O1092" s="27" t="str" cm="1">
        <f t="array" ref="O1092">_xlfn.IFS($F1092&gt;=750,"Excellent",$F1092&gt;=700,"Good",$F1092&gt;=650,"Moderate",
$F1092&lt;650,"Risky"
)</f>
        <v>Excellent</v>
      </c>
      <c r="P1092" s="27" t="str" cm="1">
        <f t="array" ref="P1092">_xlfn.IFS(
AND(F1092&gt;=750,H1092&lt;=2),"Low Risk",
AND(F1092&gt;=700,H1092&lt;=5),"Medium Risk",
TRUE,"High Risk"
)</f>
        <v>Low Risk</v>
      </c>
      <c r="Q1092" s="5"/>
      <c r="R1092" s="5"/>
      <c r="S1092" s="5"/>
      <c r="T1092" s="5"/>
      <c r="U1092" s="5"/>
      <c r="V1092" s="5"/>
      <c r="W1092" s="5"/>
      <c r="X1092" s="5"/>
      <c r="Y1092" s="5"/>
    </row>
    <row r="1093" spans="1:25" ht="15.75" customHeight="1" x14ac:dyDescent="0.25">
      <c r="A1093" s="2">
        <v>44031</v>
      </c>
      <c r="B1093" s="3">
        <v>48357</v>
      </c>
      <c r="C1093" s="4" t="s">
        <v>39</v>
      </c>
      <c r="D1093" s="4" t="str">
        <f t="shared" si="32"/>
        <v>Growth</v>
      </c>
      <c r="E1093" s="4" t="str">
        <f t="shared" si="33"/>
        <v>Executive</v>
      </c>
      <c r="F1093" s="13">
        <v>710</v>
      </c>
      <c r="G1093" s="13">
        <v>3</v>
      </c>
      <c r="H1093" s="13">
        <v>2</v>
      </c>
      <c r="I1093" s="2">
        <v>33205</v>
      </c>
      <c r="J1093" s="15">
        <v>536867</v>
      </c>
      <c r="K1093" s="4" t="s">
        <v>14</v>
      </c>
      <c r="L1093" s="27">
        <f t="shared" si="34"/>
        <v>1990</v>
      </c>
      <c r="M1093" s="27">
        <f t="shared" si="35"/>
        <v>7</v>
      </c>
      <c r="N1093" s="27">
        <f t="shared" ca="1" si="37"/>
        <v>36</v>
      </c>
      <c r="O1093" s="27" t="str" cm="1">
        <f t="array" ref="O1093">_xlfn.IFS($F1093&gt;=750,"Excellent",$F1093&gt;=700,"Good",$F1093&gt;=650,"Moderate",
$F1093&lt;650,"Risky"
)</f>
        <v>Good</v>
      </c>
      <c r="P1093" s="27" t="str" cm="1">
        <f t="array" ref="P1093">_xlfn.IFS(
AND(F1093&gt;=750,H1093&lt;=2),"Low Risk",
AND(F1093&gt;=700,H1093&lt;=5),"Medium Risk",
TRUE,"High Risk"
)</f>
        <v>Medium Risk</v>
      </c>
      <c r="Q1093" s="5"/>
      <c r="R1093" s="5"/>
      <c r="S1093" s="5"/>
      <c r="T1093" s="5"/>
      <c r="U1093" s="5"/>
      <c r="V1093" s="5"/>
      <c r="W1093" s="5"/>
      <c r="X1093" s="5"/>
      <c r="Y1093" s="5"/>
    </row>
    <row r="1094" spans="1:25" ht="15.75" customHeight="1" x14ac:dyDescent="0.25">
      <c r="A1094" s="2">
        <v>44153</v>
      </c>
      <c r="B1094" s="3">
        <v>82429</v>
      </c>
      <c r="C1094" s="4" t="s">
        <v>28</v>
      </c>
      <c r="D1094" s="4" t="str">
        <f t="shared" si="32"/>
        <v>Growth</v>
      </c>
      <c r="E1094" s="4" t="str">
        <f t="shared" si="33"/>
        <v>Director</v>
      </c>
      <c r="F1094" s="13">
        <v>751</v>
      </c>
      <c r="G1094" s="13">
        <v>2</v>
      </c>
      <c r="H1094" s="13">
        <v>2</v>
      </c>
      <c r="I1094" s="2">
        <v>34620</v>
      </c>
      <c r="J1094" s="15">
        <v>797411</v>
      </c>
      <c r="K1094" s="4" t="s">
        <v>14</v>
      </c>
      <c r="L1094" s="27">
        <f t="shared" si="34"/>
        <v>1994</v>
      </c>
      <c r="M1094" s="27">
        <f t="shared" si="35"/>
        <v>11</v>
      </c>
      <c r="N1094" s="27">
        <f t="shared" ca="1" si="37"/>
        <v>32</v>
      </c>
      <c r="O1094" s="27" t="str" cm="1">
        <f t="array" ref="O1094">_xlfn.IFS($F1094&gt;=750,"Excellent",$F1094&gt;=700,"Good",$F1094&gt;=650,"Moderate",
$F1094&lt;650,"Risky"
)</f>
        <v>Excellent</v>
      </c>
      <c r="P1094" s="27" t="str" cm="1">
        <f t="array" ref="P1094">_xlfn.IFS(
AND(F1094&gt;=750,H1094&lt;=2),"Low Risk",
AND(F1094&gt;=700,H1094&lt;=5),"Medium Risk",
TRUE,"High Risk"
)</f>
        <v>Low Risk</v>
      </c>
      <c r="Q1094" s="5"/>
      <c r="R1094" s="5"/>
      <c r="S1094" s="5"/>
      <c r="T1094" s="5"/>
      <c r="U1094" s="5"/>
      <c r="V1094" s="5"/>
      <c r="W1094" s="5"/>
      <c r="X1094" s="5"/>
      <c r="Y1094" s="5"/>
    </row>
    <row r="1095" spans="1:25" ht="15.75" customHeight="1" x14ac:dyDescent="0.25">
      <c r="A1095" s="2">
        <v>43858</v>
      </c>
      <c r="B1095" s="3">
        <v>42072</v>
      </c>
      <c r="C1095" s="4" t="s">
        <v>16</v>
      </c>
      <c r="D1095" s="4" t="str">
        <f t="shared" si="32"/>
        <v>Marketing</v>
      </c>
      <c r="E1095" s="4" t="str">
        <f t="shared" si="33"/>
        <v>Executive</v>
      </c>
      <c r="F1095" s="13">
        <v>769</v>
      </c>
      <c r="G1095" s="13">
        <v>2</v>
      </c>
      <c r="H1095" s="13">
        <v>9</v>
      </c>
      <c r="I1095" s="2">
        <v>34601</v>
      </c>
      <c r="J1095" s="15">
        <v>776408</v>
      </c>
      <c r="K1095" s="4" t="s">
        <v>14</v>
      </c>
      <c r="L1095" s="27">
        <f t="shared" si="34"/>
        <v>1994</v>
      </c>
      <c r="M1095" s="27">
        <f t="shared" si="35"/>
        <v>1</v>
      </c>
      <c r="N1095" s="27">
        <f t="shared" ca="1" si="37"/>
        <v>32</v>
      </c>
      <c r="O1095" s="27" t="str" cm="1">
        <f t="array" ref="O1095">_xlfn.IFS($F1095&gt;=750,"Excellent",$F1095&gt;=700,"Good",$F1095&gt;=650,"Moderate",
$F1095&lt;650,"Risky"
)</f>
        <v>Excellent</v>
      </c>
      <c r="P1095" s="27" t="str" cm="1">
        <f t="array" ref="P1095">_xlfn.IFS(
AND(F1095&gt;=750,H1095&lt;=2),"Low Risk",
AND(F1095&gt;=700,H1095&lt;=5),"Medium Risk",
TRUE,"High Risk"
)</f>
        <v>High Risk</v>
      </c>
      <c r="Q1095" s="5"/>
      <c r="R1095" s="5"/>
      <c r="S1095" s="5"/>
      <c r="T1095" s="5"/>
      <c r="U1095" s="5"/>
      <c r="V1095" s="5"/>
      <c r="W1095" s="5"/>
      <c r="X1095" s="5"/>
      <c r="Y1095" s="5"/>
    </row>
    <row r="1096" spans="1:25" ht="15.75" customHeight="1" x14ac:dyDescent="0.25">
      <c r="A1096" s="2">
        <v>43836</v>
      </c>
      <c r="B1096" s="3">
        <v>96186</v>
      </c>
      <c r="C1096" s="4" t="s">
        <v>22</v>
      </c>
      <c r="D1096" s="4" t="str">
        <f t="shared" si="32"/>
        <v>Strategy</v>
      </c>
      <c r="E1096" s="4" t="str">
        <f t="shared" si="33"/>
        <v>Executive</v>
      </c>
      <c r="F1096" s="13">
        <v>798</v>
      </c>
      <c r="G1096" s="13">
        <v>3</v>
      </c>
      <c r="H1096" s="13">
        <v>9</v>
      </c>
      <c r="I1096" s="2">
        <v>34310</v>
      </c>
      <c r="J1096" s="15">
        <v>949902</v>
      </c>
      <c r="K1096" s="4" t="s">
        <v>18</v>
      </c>
      <c r="L1096" s="27">
        <f t="shared" si="34"/>
        <v>1993</v>
      </c>
      <c r="M1096" s="27">
        <f t="shared" si="35"/>
        <v>1</v>
      </c>
      <c r="N1096" s="27">
        <f t="shared" ca="1" si="37"/>
        <v>33</v>
      </c>
      <c r="O1096" s="27" t="str" cm="1">
        <f t="array" ref="O1096">_xlfn.IFS($F1096&gt;=750,"Excellent",$F1096&gt;=700,"Good",$F1096&gt;=650,"Moderate",
$F1096&lt;650,"Risky"
)</f>
        <v>Excellent</v>
      </c>
      <c r="P1096" s="27" t="str" cm="1">
        <f t="array" ref="P1096">_xlfn.IFS(
AND(F1096&gt;=750,H1096&lt;=2),"Low Risk",
AND(F1096&gt;=700,H1096&lt;=5),"Medium Risk",
TRUE,"High Risk"
)</f>
        <v>High Risk</v>
      </c>
      <c r="Q1096" s="5"/>
      <c r="R1096" s="5"/>
      <c r="S1096" s="5"/>
      <c r="T1096" s="5"/>
      <c r="U1096" s="5"/>
      <c r="V1096" s="5"/>
      <c r="W1096" s="5"/>
      <c r="X1096" s="5"/>
      <c r="Y1096" s="5"/>
    </row>
  </sheetData>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F9379-1CAE-4EBB-94E9-F99A7C676178}">
  <dimension ref="B1:P4"/>
  <sheetViews>
    <sheetView showGridLines="0" tabSelected="1" topLeftCell="A5" workbookViewId="0">
      <selection activeCell="A9" sqref="A9"/>
    </sheetView>
  </sheetViews>
  <sheetFormatPr defaultRowHeight="15.75" x14ac:dyDescent="0.25"/>
  <sheetData>
    <row r="1" spans="2:16" ht="15.75" customHeight="1" x14ac:dyDescent="0.25">
      <c r="B1" s="34" t="s">
        <v>41</v>
      </c>
      <c r="C1" s="35"/>
      <c r="D1" s="35"/>
      <c r="E1" s="35"/>
      <c r="F1" s="35"/>
      <c r="G1" s="35"/>
      <c r="H1" s="35"/>
      <c r="I1" s="35"/>
      <c r="J1" s="35"/>
      <c r="K1" s="35"/>
      <c r="L1" s="35"/>
      <c r="M1" s="35"/>
      <c r="N1" s="35"/>
      <c r="O1" s="35"/>
      <c r="P1" s="35"/>
    </row>
    <row r="2" spans="2:16" ht="15.75" customHeight="1" x14ac:dyDescent="0.25">
      <c r="B2" s="34"/>
      <c r="C2" s="35"/>
      <c r="D2" s="35"/>
      <c r="E2" s="35"/>
      <c r="F2" s="35"/>
      <c r="G2" s="35"/>
      <c r="H2" s="35"/>
      <c r="I2" s="35"/>
      <c r="J2" s="35"/>
      <c r="K2" s="35"/>
      <c r="L2" s="35"/>
      <c r="M2" s="35"/>
      <c r="N2" s="35"/>
      <c r="O2" s="35"/>
      <c r="P2" s="35"/>
    </row>
    <row r="3" spans="2:16" ht="17.25" x14ac:dyDescent="0.25">
      <c r="B3" s="32" t="s">
        <v>78</v>
      </c>
      <c r="C3" s="33"/>
      <c r="D3" s="33"/>
      <c r="E3" s="32" t="s">
        <v>79</v>
      </c>
      <c r="F3" s="33"/>
      <c r="G3" s="33"/>
      <c r="H3" s="32" t="s">
        <v>80</v>
      </c>
      <c r="I3" s="33"/>
      <c r="J3" s="33"/>
      <c r="K3" s="32" t="s">
        <v>81</v>
      </c>
      <c r="L3" s="33"/>
      <c r="M3" s="33"/>
    </row>
    <row r="4" spans="2:16" ht="15.75" customHeight="1" x14ac:dyDescent="0.25">
      <c r="B4" s="39">
        <f>COUNTA('Worked JustLoan dataset'!B$1:B$1096)</f>
        <v>1096</v>
      </c>
      <c r="C4" s="40"/>
      <c r="D4" s="40"/>
      <c r="E4" s="39">
        <f>SUM('Worked JustLoan dataset'!J$1:J$1096)</f>
        <v>822507545</v>
      </c>
      <c r="F4" s="40"/>
      <c r="G4" s="40"/>
      <c r="H4" s="41">
        <f>AVERAGE('Worked JustLoan dataset'!F$1:F$1096)</f>
        <v>749.04931506849312</v>
      </c>
      <c r="I4" s="42"/>
      <c r="J4" s="42"/>
      <c r="K4" s="41">
        <f>AVERAGE('Worked JustLoan dataset'!H$1:H$1096)</f>
        <v>5.3159817351598173</v>
      </c>
      <c r="L4" s="42"/>
      <c r="M4" s="42"/>
    </row>
  </sheetData>
  <mergeCells count="9">
    <mergeCell ref="B3:D3"/>
    <mergeCell ref="B4:D4"/>
    <mergeCell ref="E3:G3"/>
    <mergeCell ref="E4:G4"/>
    <mergeCell ref="B1:P2"/>
    <mergeCell ref="H4:J4"/>
    <mergeCell ref="K4:M4"/>
    <mergeCell ref="H3:J3"/>
    <mergeCell ref="K3:M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1E82-779D-44EA-AE7E-F0EA0762844C}">
  <dimension ref="A1"/>
  <sheetViews>
    <sheetView workbookViewId="0"/>
  </sheetViews>
  <sheetFormatPr defaultRowHeight="15.7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3:C27"/>
  <sheetViews>
    <sheetView workbookViewId="0"/>
  </sheetViews>
  <sheetFormatPr defaultColWidth="11.25" defaultRowHeight="15" customHeight="1" x14ac:dyDescent="0.25"/>
  <sheetData>
    <row r="3" spans="1:3" x14ac:dyDescent="0.25">
      <c r="A3" s="6">
        <v>1</v>
      </c>
      <c r="B3" s="7">
        <f ca="1">SUMIF('Worked JustLoan dataset'!$D$2:$D$1096,"Marketing",'Worked JustLoan dataset'!$J$2:$J1003)</f>
        <v>147524030</v>
      </c>
    </row>
    <row r="4" spans="1:3" x14ac:dyDescent="0.25">
      <c r="A4" s="6"/>
      <c r="B4" s="6"/>
    </row>
    <row r="5" spans="1:3" x14ac:dyDescent="0.25">
      <c r="A5" s="6">
        <v>2</v>
      </c>
      <c r="B5" s="7">
        <f>COUNTIF('Worked JustLoan dataset'!$D$2:$D$1096,"Finance")</f>
        <v>188</v>
      </c>
    </row>
    <row r="6" spans="1:3" x14ac:dyDescent="0.25">
      <c r="A6" s="6"/>
      <c r="B6" s="6"/>
    </row>
    <row r="7" spans="1:3" x14ac:dyDescent="0.25">
      <c r="A7" s="6">
        <v>3</v>
      </c>
      <c r="B7" s="36">
        <f>AVERAGEIF('Worked JustLoan dataset'!$F$1:$F$1096,800,'Worked JustLoan dataset'!$H$1:$H$1096)</f>
        <v>5.4666666666666668</v>
      </c>
    </row>
    <row r="8" spans="1:3" x14ac:dyDescent="0.25">
      <c r="A8" s="6"/>
      <c r="B8" s="6"/>
    </row>
    <row r="9" spans="1:3" x14ac:dyDescent="0.25">
      <c r="A9" s="6">
        <v>4</v>
      </c>
      <c r="B9" s="7">
        <f ca="1">SUMIF('Worked JustLoan dataset'!$D$2:$D$1096,"Finance",'Worked JustLoan dataset'!$J$2:$J1003)</f>
        <v>141581866</v>
      </c>
    </row>
    <row r="11" spans="1:3" x14ac:dyDescent="0.25">
      <c r="A11" s="6">
        <v>5</v>
      </c>
      <c r="B11" s="8" t="e">
        <f t="array" aca="1" ref="B11:B14" ca="1">_xludf.UNIQUE('Worked JustLoan dataset'!$K$1:$K$1096)</f>
        <v>#NAME?</v>
      </c>
    </row>
    <row r="12" spans="1:3" x14ac:dyDescent="0.25">
      <c r="B12" s="9" t="e">
        <f ca="1"/>
        <v>#NAME?</v>
      </c>
      <c r="C12" s="37">
        <f ca="1">COUNTIFS('Worked JustLoan dataset'!$E$1:$E$1096,"Director",'Worked JustLoan dataset'!$K$1:$K$1096,B12)</f>
        <v>0</v>
      </c>
    </row>
    <row r="13" spans="1:3" x14ac:dyDescent="0.25">
      <c r="B13" s="9" t="e">
        <f ca="1"/>
        <v>#NAME?</v>
      </c>
      <c r="C13" s="37">
        <f ca="1">COUNTIFS('Worked JustLoan dataset'!$E$1:$E$1096,"Director",'Worked JustLoan dataset'!$K$1:$K$1096,B13)</f>
        <v>0</v>
      </c>
    </row>
    <row r="14" spans="1:3" x14ac:dyDescent="0.25">
      <c r="B14" s="10" t="e">
        <f ca="1"/>
        <v>#NAME?</v>
      </c>
      <c r="C14" s="36">
        <f ca="1">COUNTIFS('Worked JustLoan dataset'!$E$1:$E$1096,"Director",'Worked JustLoan dataset'!$K$1:$K$1096,B14)</f>
        <v>0</v>
      </c>
    </row>
    <row r="16" spans="1:3" x14ac:dyDescent="0.25">
      <c r="A16" s="6">
        <v>6</v>
      </c>
      <c r="B16" s="7">
        <f>COUNTIF('Worked JustLoan dataset'!$E$2:$E$1096,"Director")</f>
        <v>287</v>
      </c>
    </row>
    <row r="18" spans="1:3" x14ac:dyDescent="0.25">
      <c r="A18" s="6">
        <v>7</v>
      </c>
      <c r="B18" s="11" t="e">
        <f t="array" aca="1" ref="B18:B21" ca="1">_xludf.UNIQUE('Worked JustLoan dataset'!$K$1:$K$1096)</f>
        <v>#NAME?</v>
      </c>
    </row>
    <row r="19" spans="1:3" x14ac:dyDescent="0.25">
      <c r="B19" s="9" t="e">
        <f ca="1"/>
        <v>#NAME?</v>
      </c>
      <c r="C19" s="37">
        <f ca="1">COUNTIFS('Worked JustLoan dataset'!$E$1:$E$1096,"Intern",'Worked JustLoan dataset'!$K$1:$K$1096,B19)</f>
        <v>0</v>
      </c>
    </row>
    <row r="20" spans="1:3" x14ac:dyDescent="0.25">
      <c r="B20" s="10" t="e">
        <f ca="1"/>
        <v>#NAME?</v>
      </c>
      <c r="C20" s="36">
        <f ca="1">COUNTIFS('Worked JustLoan dataset'!$E$1:$E$1096,"Intern",'Worked JustLoan dataset'!$K$1:$K$1096,B20)</f>
        <v>0</v>
      </c>
    </row>
    <row r="21" spans="1:3" x14ac:dyDescent="0.25">
      <c r="B21" s="9" t="e">
        <f ca="1"/>
        <v>#NAME?</v>
      </c>
      <c r="C21" s="37">
        <f ca="1">COUNTIFS('Worked JustLoan dataset'!$E$1:$E$1096,"Intern",'Worked JustLoan dataset'!$K$1:$K$1096,B21)</f>
        <v>0</v>
      </c>
    </row>
    <row r="23" spans="1:3" x14ac:dyDescent="0.25">
      <c r="A23" s="6">
        <v>8</v>
      </c>
      <c r="B23" s="36">
        <f>SUMIF('Worked JustLoan dataset'!$F$1:$F$1096,800,'Worked JustLoan dataset'!$J$1:$J$1096)</f>
        <v>11063495</v>
      </c>
    </row>
    <row r="25" spans="1:3" x14ac:dyDescent="0.25">
      <c r="A25" s="6">
        <v>9</v>
      </c>
      <c r="B25" s="36">
        <f>COUNTIF('Worked JustLoan dataset'!$L$1:$L$1096,1990)</f>
        <v>81</v>
      </c>
    </row>
    <row r="27" spans="1:3" x14ac:dyDescent="0.25">
      <c r="A27" s="6">
        <v>10</v>
      </c>
      <c r="B27" s="36">
        <f>COUNTIF('Worked JustLoan dataset'!$M$1:$M$1096,1)</f>
        <v>100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B684884-301B-485C-A585-DF35DDA369D6}">
  <ds:schemaRefs/>
</ds:datastoreItem>
</file>

<file path=customXml/itemProps2.xml><?xml version="1.0" encoding="utf-8"?>
<ds:datastoreItem xmlns:ds="http://schemas.openxmlformats.org/officeDocument/2006/customXml" ds:itemID="{130F6FF9-EE95-487B-84EB-53AAEA16161B}">
  <ds:schemaRefs/>
</ds:datastoreItem>
</file>

<file path=customXml/itemProps3.xml><?xml version="1.0" encoding="utf-8"?>
<ds:datastoreItem xmlns:ds="http://schemas.openxmlformats.org/officeDocument/2006/customXml" ds:itemID="{F59C58BF-C638-4A3F-8581-196BC189C232}">
  <ds:schemaRefs/>
</ds:datastoreItem>
</file>

<file path=customXml/itemProps4.xml><?xml version="1.0" encoding="utf-8"?>
<ds:datastoreItem xmlns:ds="http://schemas.openxmlformats.org/officeDocument/2006/customXml" ds:itemID="{E3215CF3-E2BB-4331-940A-535A5082548A}">
  <ds:schemaRefs/>
</ds:datastoreItem>
</file>

<file path=customXml/itemProps5.xml><?xml version="1.0" encoding="utf-8"?>
<ds:datastoreItem xmlns:ds="http://schemas.openxmlformats.org/officeDocument/2006/customXml" ds:itemID="{250A44C2-04BB-4D0B-B057-EAED9F2AECA3}">
  <ds:schemaRefs/>
</ds:datastoreItem>
</file>

<file path=customXml/itemProps6.xml><?xml version="1.0" encoding="utf-8"?>
<ds:datastoreItem xmlns:ds="http://schemas.openxmlformats.org/officeDocument/2006/customXml" ds:itemID="{DEE1A3FB-C15C-48D3-841B-BAC1BA6E9728}">
  <ds:schemaRefs/>
</ds:datastoreItem>
</file>

<file path=customXml/itemProps7.xml><?xml version="1.0" encoding="utf-8"?>
<ds:datastoreItem xmlns:ds="http://schemas.openxmlformats.org/officeDocument/2006/customXml" ds:itemID="{814A4CD4-DE8A-40A5-8C9F-AAB2530CCDA0}">
  <ds:schemaRefs/>
</ds:datastoreItem>
</file>

<file path=customXml/itemProps8.xml><?xml version="1.0" encoding="utf-8"?>
<ds:datastoreItem xmlns:ds="http://schemas.openxmlformats.org/officeDocument/2006/customXml" ds:itemID="{B77B0401-D0E7-42EB-80CF-11D0F58F9545}">
  <ds:schemaRefs/>
</ds:datastoreItem>
</file>

<file path=customXml/itemProps9.xml><?xml version="1.0" encoding="utf-8"?>
<ds:datastoreItem xmlns:ds="http://schemas.openxmlformats.org/officeDocument/2006/customXml" ds:itemID="{1CD3DF87-FBA8-4BEC-851E-537823F56A17}">
  <ds:schemaRefs/>
</ds:datastoreItem>
</file>

<file path=customXml/itemProps10.xml><?xml version="1.0" encoding="utf-8"?>
<ds:datastoreItem xmlns:ds="http://schemas.openxmlformats.org/officeDocument/2006/customXml" ds:itemID="{CB01069E-CFAF-4143-8DA4-A8CCAE7E53EA}">
  <ds:schemaRefs/>
</ds:datastoreItem>
</file>

<file path=customXml/itemProps11.xml><?xml version="1.0" encoding="utf-8"?>
<ds:datastoreItem xmlns:ds="http://schemas.openxmlformats.org/officeDocument/2006/customXml" ds:itemID="{0AC5B207-AB4B-49A7-B799-4079723F7B45}">
  <ds:schemaRefs/>
</ds:datastoreItem>
</file>

<file path=customXml/itemProps12.xml><?xml version="1.0" encoding="utf-8"?>
<ds:datastoreItem xmlns:ds="http://schemas.openxmlformats.org/officeDocument/2006/customXml" ds:itemID="{480E3775-BEC2-43EA-9B2F-353AD40E5CBB}">
  <ds:schemaRefs/>
</ds:datastoreItem>
</file>

<file path=customXml/itemProps13.xml><?xml version="1.0" encoding="utf-8"?>
<ds:datastoreItem xmlns:ds="http://schemas.openxmlformats.org/officeDocument/2006/customXml" ds:itemID="{1895756A-2270-4DF2-991C-D09DBFF42476}">
  <ds:schemaRefs/>
</ds:datastoreItem>
</file>

<file path=customXml/itemProps14.xml><?xml version="1.0" encoding="utf-8"?>
<ds:datastoreItem xmlns:ds="http://schemas.openxmlformats.org/officeDocument/2006/customXml" ds:itemID="{EBE9F263-73CA-473C-9FA8-5F41869A1FF0}">
  <ds:schemaRefs/>
</ds:datastoreItem>
</file>

<file path=customXml/itemProps15.xml><?xml version="1.0" encoding="utf-8"?>
<ds:datastoreItem xmlns:ds="http://schemas.openxmlformats.org/officeDocument/2006/customXml" ds:itemID="{196E644F-D115-466A-A052-84C73DECE2E9}">
  <ds:schemaRefs/>
</ds:datastoreItem>
</file>

<file path=customXml/itemProps16.xml><?xml version="1.0" encoding="utf-8"?>
<ds:datastoreItem xmlns:ds="http://schemas.openxmlformats.org/officeDocument/2006/customXml" ds:itemID="{B002DAD4-0107-46C1-B1DF-CBC0A4B79E5A}">
  <ds:schemaRefs/>
</ds:datastoreItem>
</file>

<file path=customXml/itemProps17.xml><?xml version="1.0" encoding="utf-8"?>
<ds:datastoreItem xmlns:ds="http://schemas.openxmlformats.org/officeDocument/2006/customXml" ds:itemID="{DE5686FC-8283-4E97-809F-627C0208AA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Worked JustLoan dataset</vt:lpstr>
      <vt:lpstr>Dashbord</vt:lpstr>
      <vt:lpstr>Sheet1</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a11949</cp:lastModifiedBy>
  <dcterms:created xsi:type="dcterms:W3CDTF">2026-03-11T07:40:40Z</dcterms:created>
  <dcterms:modified xsi:type="dcterms:W3CDTF">2026-03-11T12:11:41Z</dcterms:modified>
</cp:coreProperties>
</file>